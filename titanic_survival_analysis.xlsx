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agar\Downloads\"/>
    </mc:Choice>
  </mc:AlternateContent>
  <xr:revisionPtr revIDLastSave="0" documentId="8_{A596A86E-A79E-425F-BBCC-D6F2D911AEE6}" xr6:coauthVersionLast="47" xr6:coauthVersionMax="47" xr10:uidLastSave="{00000000-0000-0000-0000-000000000000}"/>
  <bookViews>
    <workbookView xWindow="-108" yWindow="-108" windowWidth="23256" windowHeight="12456" firstSheet="1" activeTab="3" xr2:uid="{990B01B1-59E9-45B9-99D6-FB6787CB25E7}"/>
  </bookViews>
  <sheets>
    <sheet name="titanic" sheetId="1" r:id="rId1"/>
    <sheet name="Clean Data" sheetId="2" r:id="rId2"/>
    <sheet name="Pivot Table" sheetId="3" r:id="rId3"/>
    <sheet name="DASHBOARD" sheetId="4" r:id="rId4"/>
  </sheets>
  <definedNames>
    <definedName name="_xlnm._FilterDatabase" localSheetId="0" hidden="1">titanic!$A$1:$R$1</definedName>
    <definedName name="Slicer_adult_male">#N/A</definedName>
    <definedName name="Slicer_alone">#N/A</definedName>
    <definedName name="Slicer_New_surviv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2" i="1"/>
  <c r="C14" i="3"/>
  <c r="C12" i="3"/>
  <c r="C13" i="3"/>
  <c r="B4" i="3"/>
  <c r="A8" i="4" l="1"/>
  <c r="E16" i="3"/>
  <c r="O8" i="4" s="1"/>
  <c r="C18" i="3"/>
  <c r="A19" i="3"/>
</calcChain>
</file>

<file path=xl/sharedStrings.xml><?xml version="1.0" encoding="utf-8"?>
<sst xmlns="http://schemas.openxmlformats.org/spreadsheetml/2006/main" count="15286" uniqueCount="75">
  <si>
    <t>survived</t>
  </si>
  <si>
    <t>pclass</t>
  </si>
  <si>
    <t>sex</t>
  </si>
  <si>
    <t>age</t>
  </si>
  <si>
    <t>sibsp</t>
  </si>
  <si>
    <t>parch</t>
  </si>
  <si>
    <t>fare</t>
  </si>
  <si>
    <t>class</t>
  </si>
  <si>
    <t>who</t>
  </si>
  <si>
    <t>adult_male</t>
  </si>
  <si>
    <t>embark_town</t>
  </si>
  <si>
    <t>alive</t>
  </si>
  <si>
    <t>alone</t>
  </si>
  <si>
    <t>male</t>
  </si>
  <si>
    <t>Third</t>
  </si>
  <si>
    <t>man</t>
  </si>
  <si>
    <t>Southampton</t>
  </si>
  <si>
    <t>no</t>
  </si>
  <si>
    <t>female</t>
  </si>
  <si>
    <t>First</t>
  </si>
  <si>
    <t>woman</t>
  </si>
  <si>
    <t>Cherbourg</t>
  </si>
  <si>
    <t>yes</t>
  </si>
  <si>
    <t>Queenstown</t>
  </si>
  <si>
    <t>child</t>
  </si>
  <si>
    <t>Second</t>
  </si>
  <si>
    <t>Not Survived</t>
  </si>
  <si>
    <t>Survived</t>
  </si>
  <si>
    <t>New_survived</t>
  </si>
  <si>
    <t>PCLASS</t>
  </si>
  <si>
    <t>First Class</t>
  </si>
  <si>
    <t>Second Class</t>
  </si>
  <si>
    <t>Third Class</t>
  </si>
  <si>
    <t xml:space="preserve">Gender </t>
  </si>
  <si>
    <t>WHO</t>
  </si>
  <si>
    <t>Alive</t>
  </si>
  <si>
    <t>Male</t>
  </si>
  <si>
    <t>Man</t>
  </si>
  <si>
    <t>No</t>
  </si>
  <si>
    <t>Female</t>
  </si>
  <si>
    <t>Woman</t>
  </si>
  <si>
    <t>Yes</t>
  </si>
  <si>
    <t>Child</t>
  </si>
  <si>
    <t>PCLASS2</t>
  </si>
  <si>
    <t>WHO3</t>
  </si>
  <si>
    <t>Alive4</t>
  </si>
  <si>
    <t>Q1- Total passenger</t>
  </si>
  <si>
    <t>Count of New_survived</t>
  </si>
  <si>
    <t>Q2- Survived vs Non survived</t>
  </si>
  <si>
    <t>Row Labels</t>
  </si>
  <si>
    <t>Grand Total</t>
  </si>
  <si>
    <t>Q3- Survived Rate</t>
  </si>
  <si>
    <t>Q4- Gender vs Count</t>
  </si>
  <si>
    <t xml:space="preserve">Count of Gender </t>
  </si>
  <si>
    <t>Q5- Pclass vs Count</t>
  </si>
  <si>
    <t>Count of PCLASS2</t>
  </si>
  <si>
    <t>Q6- Embarked Vs Count</t>
  </si>
  <si>
    <t>Count of embark_town</t>
  </si>
  <si>
    <t>Q7- Gender vs Survived</t>
  </si>
  <si>
    <t>Column Labels</t>
  </si>
  <si>
    <t>Q8- Pclass vs Survived</t>
  </si>
  <si>
    <t>Q9- Embark_Town vs Survived</t>
  </si>
  <si>
    <t>Q10- Alone vs Count</t>
  </si>
  <si>
    <t>FALSE</t>
  </si>
  <si>
    <t>TRUE</t>
  </si>
  <si>
    <t>Count of alone</t>
  </si>
  <si>
    <t>Q11- Alone vs Survived</t>
  </si>
  <si>
    <t>Q12- Adult_Male vs Count</t>
  </si>
  <si>
    <t>Count of adult_male</t>
  </si>
  <si>
    <t>Q13- Adult_Male vs Survived</t>
  </si>
  <si>
    <t>Q14- Who vs Count</t>
  </si>
  <si>
    <t>Count of WHO3</t>
  </si>
  <si>
    <t>Titanic Dashboard</t>
  </si>
  <si>
    <t>Total Passenger</t>
  </si>
  <si>
    <t>Survived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</si>
</sst>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22"/>
      <color theme="1"/>
      <name val="Calibri"/>
      <family val="2"/>
      <scheme val="minor"/>
    </font>
    <font>
      <b/>
      <u/>
      <sz val="22"/>
      <color theme="1"/>
      <name val="Calibri"/>
      <family val="2"/>
      <scheme val="minor"/>
    </font>
    <font>
      <b/>
      <u/>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3" tint="-0.249977111117893"/>
        <bgColor indexed="64"/>
      </patternFill>
    </fill>
    <fill>
      <patternFill patternType="solid">
        <fgColor theme="0"/>
        <bgColor indexed="64"/>
      </patternFill>
    </fill>
    <fill>
      <patternFill patternType="solid">
        <fgColor theme="4"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9">
    <xf numFmtId="0" fontId="0" fillId="0" borderId="0" xfId="0"/>
    <xf numFmtId="0" fontId="0" fillId="33" borderId="0" xfId="0" applyFill="1"/>
    <xf numFmtId="0" fontId="18" fillId="0" borderId="0" xfId="0" applyFont="1"/>
    <xf numFmtId="0" fontId="0" fillId="0" borderId="0" xfId="0" pivotButton="1"/>
    <xf numFmtId="0" fontId="0" fillId="0" borderId="0" xfId="0" applyAlignment="1">
      <alignment horizontal="left"/>
    </xf>
    <xf numFmtId="10" fontId="0" fillId="0" borderId="0" xfId="0" applyNumberFormat="1"/>
    <xf numFmtId="9" fontId="0" fillId="0" borderId="0" xfId="42" applyFont="1"/>
    <xf numFmtId="0" fontId="0" fillId="35" borderId="0" xfId="0" applyFill="1"/>
    <xf numFmtId="0" fontId="19" fillId="36" borderId="12" xfId="0" applyFont="1" applyFill="1" applyBorder="1" applyAlignment="1">
      <alignment horizontal="center" vertical="center"/>
    </xf>
    <xf numFmtId="0" fontId="19" fillId="36" borderId="10" xfId="0" applyFont="1" applyFill="1" applyBorder="1" applyAlignment="1">
      <alignment horizontal="center" vertical="center"/>
    </xf>
    <xf numFmtId="0" fontId="19" fillId="36" borderId="15" xfId="0" applyFont="1" applyFill="1" applyBorder="1" applyAlignment="1">
      <alignment horizontal="center" vertical="center"/>
    </xf>
    <xf numFmtId="0" fontId="0" fillId="36" borderId="0" xfId="0" applyFont="1" applyFill="1"/>
    <xf numFmtId="0" fontId="19" fillId="36" borderId="13" xfId="0" applyFont="1" applyFill="1" applyBorder="1" applyAlignment="1">
      <alignment horizontal="center" vertical="center"/>
    </xf>
    <xf numFmtId="0" fontId="19" fillId="36" borderId="0" xfId="0" applyFont="1" applyFill="1" applyBorder="1" applyAlignment="1">
      <alignment horizontal="center" vertical="center"/>
    </xf>
    <xf numFmtId="0" fontId="19" fillId="36" borderId="16" xfId="0" applyFont="1" applyFill="1" applyBorder="1" applyAlignment="1">
      <alignment horizontal="center" vertical="center"/>
    </xf>
    <xf numFmtId="0" fontId="19" fillId="36" borderId="0" xfId="0" applyFont="1" applyFill="1" applyAlignment="1">
      <alignment vertical="center"/>
    </xf>
    <xf numFmtId="0" fontId="19" fillId="36" borderId="14" xfId="0" applyFont="1" applyFill="1" applyBorder="1" applyAlignment="1">
      <alignment horizontal="center" vertical="center"/>
    </xf>
    <xf numFmtId="0" fontId="19" fillId="36" borderId="11" xfId="0" applyFont="1" applyFill="1" applyBorder="1" applyAlignment="1">
      <alignment horizontal="center" vertical="center"/>
    </xf>
    <xf numFmtId="0" fontId="19" fillId="36" borderId="17" xfId="0" applyFont="1" applyFill="1" applyBorder="1" applyAlignment="1">
      <alignment horizontal="center" vertical="center"/>
    </xf>
    <xf numFmtId="10" fontId="19" fillId="36" borderId="0" xfId="0" applyNumberFormat="1" applyFont="1" applyFill="1" applyAlignment="1">
      <alignment vertical="center"/>
    </xf>
    <xf numFmtId="10" fontId="19" fillId="36" borderId="12" xfId="0" applyNumberFormat="1" applyFont="1" applyFill="1" applyBorder="1" applyAlignment="1">
      <alignment horizontal="center" vertical="center"/>
    </xf>
    <xf numFmtId="10" fontId="19" fillId="36" borderId="10" xfId="0" applyNumberFormat="1" applyFont="1" applyFill="1" applyBorder="1" applyAlignment="1">
      <alignment horizontal="center" vertical="center"/>
    </xf>
    <xf numFmtId="10" fontId="19" fillId="36" borderId="15" xfId="0" applyNumberFormat="1" applyFont="1" applyFill="1" applyBorder="1" applyAlignment="1">
      <alignment horizontal="center" vertical="center"/>
    </xf>
    <xf numFmtId="10" fontId="19" fillId="36" borderId="14" xfId="0" applyNumberFormat="1" applyFont="1" applyFill="1" applyBorder="1" applyAlignment="1">
      <alignment horizontal="center" vertical="center"/>
    </xf>
    <xf numFmtId="10" fontId="19" fillId="36" borderId="11" xfId="0" applyNumberFormat="1" applyFont="1" applyFill="1" applyBorder="1" applyAlignment="1">
      <alignment horizontal="center" vertical="center"/>
    </xf>
    <xf numFmtId="10" fontId="19" fillId="36" borderId="17" xfId="0" applyNumberFormat="1" applyFont="1" applyFill="1" applyBorder="1" applyAlignment="1">
      <alignment horizontal="center" vertical="center"/>
    </xf>
    <xf numFmtId="0" fontId="20" fillId="34" borderId="0" xfId="0" applyFont="1" applyFill="1" applyAlignment="1">
      <alignment horizontal="center" vertical="center"/>
    </xf>
    <xf numFmtId="0" fontId="21" fillId="34"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font>
        <b/>
        <color theme="1"/>
      </font>
      <border>
        <bottom style="thin">
          <color theme="6"/>
        </bottom>
        <vertical/>
        <horizontal/>
      </border>
    </dxf>
    <dxf>
      <font>
        <color theme="1"/>
      </font>
      <fill>
        <patternFill>
          <bgColor theme="4" tint="0.59996337778862885"/>
        </patternFill>
      </fill>
      <border diagonalUp="0" diagonalDown="0">
        <left style="thin">
          <color theme="1" tint="0.24994659260841701"/>
        </left>
        <right style="thin">
          <color theme="1" tint="0.24994659260841701"/>
        </right>
        <top style="thin">
          <color theme="1" tint="0.24994659260841701"/>
        </top>
        <bottom style="thin">
          <color theme="1" tint="0.24994659260841701"/>
        </bottom>
        <vertical/>
        <horizontal/>
      </border>
    </dxf>
    <dxf>
      <font>
        <b/>
        <color theme="1"/>
      </font>
      <border>
        <bottom style="thin">
          <color theme="6"/>
        </bottom>
        <vertical/>
        <horizontal/>
      </border>
    </dxf>
    <dxf>
      <font>
        <color theme="1"/>
      </font>
      <fill>
        <patternFill>
          <bgColor theme="4" tint="0.79998168889431442"/>
        </patternFill>
      </fill>
      <border>
        <left style="thin">
          <color theme="6"/>
        </left>
        <right style="thin">
          <color theme="6"/>
        </right>
        <top style="thin">
          <color theme="6"/>
        </top>
        <bottom style="thin">
          <color theme="6"/>
        </bottom>
        <vertical/>
        <horizontal/>
      </border>
    </dxf>
    <dxf>
      <fill>
        <patternFill>
          <fgColor theme="4" tint="0.59996337778862885"/>
          <bgColor theme="3" tint="0.79998168889431442"/>
        </patternFill>
      </fill>
      <border diagonalUp="0" diagonalDown="0">
        <left/>
        <right/>
        <top/>
        <bottom/>
        <vertical/>
        <horizontal/>
      </border>
    </dxf>
    <dxf>
      <fill>
        <patternFill>
          <bgColor theme="4" tint="0.79998168889431442"/>
        </patternFill>
      </fill>
    </dxf>
    <dxf>
      <fill>
        <patternFill>
          <bgColor theme="4" tint="0.39994506668294322"/>
        </patternFill>
      </fill>
      <border>
        <left style="thin">
          <color auto="1"/>
        </left>
        <right style="thin">
          <color auto="1"/>
        </right>
        <top style="thin">
          <color auto="1"/>
        </top>
        <bottom style="thin">
          <color auto="1"/>
        </bottom>
      </border>
    </dxf>
  </dxfs>
  <tableStyles count="5" defaultTableStyle="TableStyleMedium2" defaultPivotStyle="PivotStyleLight16">
    <tableStyle name="Slicer Style 1" pivot="0" table="0" count="1" xr9:uid="{C8AB744C-9258-456B-99E7-DA571176B7B5}">
      <tableStyleElement type="wholeTable" dxfId="6"/>
    </tableStyle>
    <tableStyle name="Slicer Style 2" pivot="0" table="0" count="1" xr9:uid="{9E31CB42-0754-436E-8631-C6F318E9EF04}">
      <tableStyleElement type="wholeTable" dxfId="5"/>
    </tableStyle>
    <tableStyle name="Slicer Style 3" pivot="0" table="0" count="1" xr9:uid="{1F42AD40-FA8C-4913-A872-81296D3AB3C1}">
      <tableStyleElement type="headerRow" dxfId="4"/>
    </tableStyle>
    <tableStyle name="SlicerStyleLight3 2" pivot="0" table="0" count="10" xr9:uid="{8893E530-6A19-4CE6-AC30-B50ABDEBA073}">
      <tableStyleElement type="wholeTable" dxfId="3"/>
      <tableStyleElement type="headerRow" dxfId="2"/>
    </tableStyle>
    <tableStyle name="SlicerStyleLight3 2 2" pivot="0" table="0" count="10" xr9:uid="{0DBE6BD1-0CD2-4FB1-BA16-B8DDB7E941C7}">
      <tableStyleElement type="wholeTable" dxfId="1"/>
      <tableStyleElement type="headerRow" dxfId="0"/>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Light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[titanic_sagar.xlsx]Pivot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9E-42D3-818E-6DC4D17C9A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9E-42D3-818E-6DC4D17C9A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9E-42D3-818E-6DC4D17C9A9F}"/>
              </c:ext>
            </c:extLst>
          </c:dPt>
          <c:cat>
            <c:strRef>
              <c:f>'Pivot Table'!$A$32:$A$35</c:f>
              <c:strCache>
                <c:ptCount val="3"/>
                <c:pt idx="0">
                  <c:v>First Class</c:v>
                </c:pt>
                <c:pt idx="1">
                  <c:v>Second Class</c:v>
                </c:pt>
                <c:pt idx="2">
                  <c:v>Third Class</c:v>
                </c:pt>
              </c:strCache>
            </c:strRef>
          </c:cat>
          <c:val>
            <c:numRef>
              <c:f>'Pivot Table'!$B$32:$B$35</c:f>
              <c:numCache>
                <c:formatCode>General</c:formatCode>
                <c:ptCount val="3"/>
                <c:pt idx="0">
                  <c:v>216</c:v>
                </c:pt>
                <c:pt idx="1">
                  <c:v>184</c:v>
                </c:pt>
                <c:pt idx="2">
                  <c:v>491</c:v>
                </c:pt>
              </c:numCache>
            </c:numRef>
          </c:val>
          <c:extLst>
            <c:ext xmlns:c16="http://schemas.microsoft.com/office/drawing/2014/chart" uri="{C3380CC4-5D6E-409C-BE32-E72D297353CC}">
              <c16:uniqueId val="{00000000-4EEA-42E7-941E-DB846B1172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[titanic_sagar.xlsx]Pivot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t>Survived vs Not Survived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tx2">
                <a:lumMod val="20000"/>
                <a:lumOff val="80000"/>
              </a:schemeClr>
            </a:solidFill>
          </a:ln>
          <a:effectLst>
            <a:outerShdw blurRad="57150" dist="19050" dir="5400000" algn="ctr" rotWithShape="0">
              <a:srgbClr val="000000">
                <a:alpha val="63000"/>
              </a:srgbClr>
            </a:outerShdw>
          </a:effectLst>
        </c:spPr>
      </c:pivotFmt>
    </c:pivotFmts>
    <c:plotArea>
      <c:layout>
        <c:manualLayout>
          <c:layoutTarget val="inner"/>
          <c:xMode val="edge"/>
          <c:yMode val="edge"/>
          <c:x val="0.14980479098917579"/>
          <c:y val="0.21548427282099539"/>
          <c:w val="0.73530156991415896"/>
          <c:h val="0.53774387576552929"/>
        </c:manualLayout>
      </c:layout>
      <c:barChart>
        <c:barDir val="col"/>
        <c:grouping val="clustered"/>
        <c:varyColors val="0"/>
        <c:ser>
          <c:idx val="0"/>
          <c:order val="0"/>
          <c:tx>
            <c:strRef>
              <c:f>'Pivot Table'!$B$11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solidFill>
                  <a:schemeClr val="tx2">
                    <a:lumMod val="20000"/>
                    <a:lumOff val="8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38-4FA1-97AA-5209C2834D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Table'!$A$12:$A$14</c:f>
              <c:strCache>
                <c:ptCount val="2"/>
                <c:pt idx="0">
                  <c:v>Not Survived</c:v>
                </c:pt>
                <c:pt idx="1">
                  <c:v>Survived</c:v>
                </c:pt>
              </c:strCache>
            </c:strRef>
          </c:cat>
          <c:val>
            <c:numRef>
              <c:f>'Pivot Table'!$B$12:$B$14</c:f>
              <c:numCache>
                <c:formatCode>General</c:formatCode>
                <c:ptCount val="2"/>
                <c:pt idx="0">
                  <c:v>549</c:v>
                </c:pt>
                <c:pt idx="1">
                  <c:v>342</c:v>
                </c:pt>
              </c:numCache>
            </c:numRef>
          </c:val>
          <c:extLst>
            <c:ext xmlns:c16="http://schemas.microsoft.com/office/drawing/2014/chart" uri="{C3380CC4-5D6E-409C-BE32-E72D297353CC}">
              <c16:uniqueId val="{00000000-B838-4FA1-97AA-5209C2834DD2}"/>
            </c:ext>
          </c:extLst>
        </c:ser>
        <c:dLbls>
          <c:dLblPos val="outEnd"/>
          <c:showLegendKey val="0"/>
          <c:showVal val="1"/>
          <c:showCatName val="0"/>
          <c:showSerName val="0"/>
          <c:showPercent val="0"/>
          <c:showBubbleSize val="0"/>
        </c:dLbls>
        <c:gapWidth val="100"/>
        <c:overlap val="-24"/>
        <c:axId val="1298418480"/>
        <c:axId val="1297811968"/>
      </c:barChart>
      <c:catAx>
        <c:axId val="1298418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7811968"/>
        <c:crosses val="autoZero"/>
        <c:auto val="1"/>
        <c:lblAlgn val="ctr"/>
        <c:lblOffset val="100"/>
        <c:noMultiLvlLbl val="0"/>
      </c:catAx>
      <c:valAx>
        <c:axId val="1297811968"/>
        <c:scaling>
          <c:orientation val="minMax"/>
        </c:scaling>
        <c:delete val="1"/>
        <c:axPos val="l"/>
        <c:numFmt formatCode="General" sourceLinked="1"/>
        <c:majorTickMark val="none"/>
        <c:minorTickMark val="none"/>
        <c:tickLblPos val="nextTo"/>
        <c:crossAx val="1298418480"/>
        <c:crosses val="autoZero"/>
        <c:crossBetween val="between"/>
      </c:valAx>
      <c:spPr>
        <a:solidFill>
          <a:schemeClr val="accent2">
            <a:lumMod val="75000"/>
            <a:alpha val="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bg2">
          <a:lumMod val="5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[titanic_sagar.xlsx]Pivot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Female</a:t>
            </a:r>
            <a:r>
              <a:rPr lang="en-US" baseline="0">
                <a:solidFill>
                  <a:schemeClr val="tx1"/>
                </a:solidFill>
              </a:rPr>
              <a:t> and Male</a:t>
            </a:r>
            <a:endParaRPr lang="en-US">
              <a:solidFill>
                <a:schemeClr val="tx1"/>
              </a:solidFill>
            </a:endParaRPr>
          </a:p>
        </c:rich>
      </c:tx>
      <c:layout>
        <c:manualLayout>
          <c:xMode val="edge"/>
          <c:yMode val="edge"/>
          <c:x val="0.34843761635583892"/>
          <c:y val="5.39903732195573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solidFill>
              <a:schemeClr val="accent2">
                <a:lumMod val="50000"/>
              </a:schemeClr>
            </a:solidFill>
          </a:ln>
          <a:effectLst/>
        </c:spPr>
      </c:pivotFmt>
      <c:pivotFmt>
        <c:idx val="4"/>
        <c:spPr>
          <a:solidFill>
            <a:schemeClr val="accent1">
              <a:lumMod val="75000"/>
            </a:schemeClr>
          </a:solidFill>
          <a:ln>
            <a:noFill/>
          </a:ln>
          <a:effectLst/>
        </c:spPr>
      </c:pivotFmt>
    </c:pivotFmts>
    <c:plotArea>
      <c:layout>
        <c:manualLayout>
          <c:layoutTarget val="inner"/>
          <c:xMode val="edge"/>
          <c:yMode val="edge"/>
          <c:x val="9.9385361262982863E-2"/>
          <c:y val="0.17527274225240125"/>
          <c:w val="0.82161925371820321"/>
          <c:h val="0.73439882167946058"/>
        </c:manualLayout>
      </c:layout>
      <c:barChart>
        <c:barDir val="bar"/>
        <c:grouping val="clustered"/>
        <c:varyColors val="0"/>
        <c:ser>
          <c:idx val="0"/>
          <c:order val="0"/>
          <c:tx>
            <c:strRef>
              <c:f>'Pivot Table'!$B$23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2-5C79-4E0A-9051-0A3D458A05DC}"/>
              </c:ext>
            </c:extLst>
          </c:dPt>
          <c:dPt>
            <c:idx val="1"/>
            <c:invertIfNegative val="0"/>
            <c:bubble3D val="0"/>
            <c:spPr>
              <a:solidFill>
                <a:schemeClr val="accent2">
                  <a:lumMod val="50000"/>
                </a:schemeClr>
              </a:solidFill>
              <a:ln>
                <a:solidFill>
                  <a:schemeClr val="accent2">
                    <a:lumMod val="50000"/>
                  </a:schemeClr>
                </a:solidFill>
              </a:ln>
              <a:effectLst/>
            </c:spPr>
            <c:extLst>
              <c:ext xmlns:c16="http://schemas.microsoft.com/office/drawing/2014/chart" uri="{C3380CC4-5D6E-409C-BE32-E72D297353CC}">
                <c16:uniqueId val="{00000001-5C79-4E0A-9051-0A3D458A05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Table'!$A$24:$A$26</c:f>
              <c:strCache>
                <c:ptCount val="2"/>
                <c:pt idx="0">
                  <c:v>Female</c:v>
                </c:pt>
                <c:pt idx="1">
                  <c:v>Male</c:v>
                </c:pt>
              </c:strCache>
            </c:strRef>
          </c:cat>
          <c:val>
            <c:numRef>
              <c:f>'Pivot Table'!$B$24:$B$26</c:f>
              <c:numCache>
                <c:formatCode>General</c:formatCode>
                <c:ptCount val="2"/>
                <c:pt idx="0">
                  <c:v>314</c:v>
                </c:pt>
                <c:pt idx="1">
                  <c:v>577</c:v>
                </c:pt>
              </c:numCache>
            </c:numRef>
          </c:val>
          <c:extLst>
            <c:ext xmlns:c16="http://schemas.microsoft.com/office/drawing/2014/chart" uri="{C3380CC4-5D6E-409C-BE32-E72D297353CC}">
              <c16:uniqueId val="{00000000-5C79-4E0A-9051-0A3D458A05DC}"/>
            </c:ext>
          </c:extLst>
        </c:ser>
        <c:dLbls>
          <c:showLegendKey val="0"/>
          <c:showVal val="0"/>
          <c:showCatName val="0"/>
          <c:showSerName val="0"/>
          <c:showPercent val="0"/>
          <c:showBubbleSize val="0"/>
        </c:dLbls>
        <c:gapWidth val="182"/>
        <c:axId val="1470543056"/>
        <c:axId val="1470535376"/>
      </c:barChart>
      <c:catAx>
        <c:axId val="1470543056"/>
        <c:scaling>
          <c:orientation val="minMax"/>
        </c:scaling>
        <c:delete val="1"/>
        <c:axPos val="l"/>
        <c:numFmt formatCode="General" sourceLinked="1"/>
        <c:majorTickMark val="none"/>
        <c:minorTickMark val="none"/>
        <c:tickLblPos val="nextTo"/>
        <c:crossAx val="1470535376"/>
        <c:crosses val="autoZero"/>
        <c:auto val="1"/>
        <c:lblAlgn val="ctr"/>
        <c:lblOffset val="100"/>
        <c:noMultiLvlLbl val="0"/>
      </c:catAx>
      <c:valAx>
        <c:axId val="1470535376"/>
        <c:scaling>
          <c:orientation val="minMax"/>
        </c:scaling>
        <c:delete val="1"/>
        <c:axPos val="b"/>
        <c:numFmt formatCode="General" sourceLinked="1"/>
        <c:majorTickMark val="none"/>
        <c:minorTickMark val="none"/>
        <c:tickLblPos val="nextTo"/>
        <c:crossAx val="1470543056"/>
        <c:crosses val="autoZero"/>
        <c:crossBetween val="between"/>
      </c:valAx>
      <c:spPr>
        <a:solidFill>
          <a:schemeClr val="bg2">
            <a:lumMod val="75000"/>
          </a:schemeClr>
        </a:solidFill>
        <a:ln>
          <a:solidFill>
            <a:schemeClr val="bg2">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[titanic_sagar.xlsx]Pivot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PCLAS</a:t>
            </a:r>
            <a:r>
              <a:rPr lang="en-IN"/>
              <a:t>S</a:t>
            </a:r>
          </a:p>
        </c:rich>
      </c:tx>
      <c:layout>
        <c:manualLayout>
          <c:xMode val="edge"/>
          <c:yMode val="edge"/>
          <c:x val="0.41735269446601103"/>
          <c:y val="5.4311050670466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tx2">
              <a:lumMod val="60000"/>
              <a:lumOff val="40000"/>
            </a:schemeClr>
          </a:solidFill>
          <a:ln w="19050">
            <a:solidFill>
              <a:schemeClr val="lt1"/>
            </a:solidFill>
          </a:ln>
          <a:effectLst/>
        </c:spPr>
        <c:marker>
          <c:symbol val="none"/>
        </c:marker>
        <c:dLbl>
          <c:idx val="0"/>
          <c:spPr>
            <a:solidFill>
              <a:srgbClr val="E7E6E6">
                <a:lumMod val="75000"/>
              </a:srgbClr>
            </a:solidFill>
            <a:ln>
              <a:solidFill>
                <a:srgbClr val="E7E6E6">
                  <a:lumMod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75000"/>
            </a:schemeClr>
          </a:solidFill>
          <a:ln w="19050">
            <a:solidFill>
              <a:schemeClr val="accent2">
                <a:lumMod val="75000"/>
              </a:schemeClr>
            </a:solidFill>
          </a:ln>
          <a:effectLst/>
        </c:spPr>
      </c:pivotFmt>
      <c:pivotFmt>
        <c:idx val="7"/>
        <c:spPr>
          <a:solidFill>
            <a:schemeClr val="accent1">
              <a:lumMod val="75000"/>
            </a:schemeClr>
          </a:solidFill>
          <a:ln w="19050">
            <a:solidFill>
              <a:schemeClr val="accent1">
                <a:lumMod val="75000"/>
              </a:schemeClr>
            </a:solidFill>
          </a:ln>
          <a:effectLst/>
        </c:spPr>
      </c:pivotFmt>
      <c:pivotFmt>
        <c:idx val="8"/>
        <c:spPr>
          <a:solidFill>
            <a:schemeClr val="accent1">
              <a:lumMod val="60000"/>
              <a:lumOff val="40000"/>
            </a:schemeClr>
          </a:solidFill>
          <a:ln w="19050">
            <a:solidFill>
              <a:schemeClr val="accent1">
                <a:lumMod val="40000"/>
                <a:lumOff val="60000"/>
              </a:schemeClr>
            </a:solidFill>
          </a:ln>
          <a:effectLst/>
        </c:spPr>
        <c:dLbl>
          <c:idx val="0"/>
          <c:layout>
            <c:manualLayout>
              <c:x val="-2.6399912526904007E-3"/>
              <c:y val="3.3422185027979563E-2"/>
            </c:manualLayout>
          </c:layout>
          <c:spPr>
            <a:solidFill>
              <a:srgbClr val="E7E6E6">
                <a:lumMod val="75000"/>
              </a:srgbClr>
            </a:solidFill>
            <a:ln>
              <a:solidFill>
                <a:srgbClr val="E7E6E6">
                  <a:lumMod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Table'!$B$31</c:f>
              <c:strCache>
                <c:ptCount val="1"/>
                <c:pt idx="0">
                  <c:v>Total</c:v>
                </c:pt>
              </c:strCache>
            </c:strRef>
          </c:tx>
          <c:spPr>
            <a:solidFill>
              <a:schemeClr val="tx2">
                <a:lumMod val="60000"/>
                <a:lumOff val="40000"/>
              </a:schemeClr>
            </a:solidFill>
          </c:spPr>
          <c:dPt>
            <c:idx val="0"/>
            <c:bubble3D val="0"/>
            <c:spPr>
              <a:solidFill>
                <a:schemeClr val="accent2">
                  <a:lumMod val="75000"/>
                </a:schemeClr>
              </a:solidFill>
              <a:ln w="19050">
                <a:solidFill>
                  <a:schemeClr val="accent2">
                    <a:lumMod val="75000"/>
                  </a:schemeClr>
                </a:solidFill>
              </a:ln>
              <a:effectLst/>
            </c:spPr>
            <c:extLst>
              <c:ext xmlns:c16="http://schemas.microsoft.com/office/drawing/2014/chart" uri="{C3380CC4-5D6E-409C-BE32-E72D297353CC}">
                <c16:uniqueId val="{00000001-9AF2-457D-8E62-2C5FBA7D7209}"/>
              </c:ext>
            </c:extLst>
          </c:dPt>
          <c:dPt>
            <c:idx val="1"/>
            <c:bubble3D val="0"/>
            <c:spPr>
              <a:solidFill>
                <a:schemeClr val="accent1">
                  <a:lumMod val="75000"/>
                </a:schemeClr>
              </a:solidFill>
              <a:ln w="19050">
                <a:solidFill>
                  <a:schemeClr val="accent1">
                    <a:lumMod val="75000"/>
                  </a:schemeClr>
                </a:solidFill>
              </a:ln>
              <a:effectLst/>
            </c:spPr>
            <c:extLst>
              <c:ext xmlns:c16="http://schemas.microsoft.com/office/drawing/2014/chart" uri="{C3380CC4-5D6E-409C-BE32-E72D297353CC}">
                <c16:uniqueId val="{00000003-9AF2-457D-8E62-2C5FBA7D7209}"/>
              </c:ext>
            </c:extLst>
          </c:dPt>
          <c:dPt>
            <c:idx val="2"/>
            <c:bubble3D val="0"/>
            <c:spPr>
              <a:solidFill>
                <a:schemeClr val="accent1">
                  <a:lumMod val="60000"/>
                  <a:lumOff val="40000"/>
                </a:schemeClr>
              </a:solidFill>
              <a:ln w="19050">
                <a:solidFill>
                  <a:schemeClr val="accent1">
                    <a:lumMod val="40000"/>
                    <a:lumOff val="60000"/>
                  </a:schemeClr>
                </a:solidFill>
              </a:ln>
              <a:effectLst/>
            </c:spPr>
            <c:extLst>
              <c:ext xmlns:c16="http://schemas.microsoft.com/office/drawing/2014/chart" uri="{C3380CC4-5D6E-409C-BE32-E72D297353CC}">
                <c16:uniqueId val="{00000005-9AF2-457D-8E62-2C5FBA7D7209}"/>
              </c:ext>
            </c:extLst>
          </c:dPt>
          <c:dLbls>
            <c:dLbl>
              <c:idx val="2"/>
              <c:layout>
                <c:manualLayout>
                  <c:x val="-2.6399912526904007E-3"/>
                  <c:y val="3.3422185027979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AF2-457D-8E62-2C5FBA7D7209}"/>
                </c:ext>
              </c:extLst>
            </c:dLbl>
            <c:spPr>
              <a:solidFill>
                <a:srgbClr val="E7E6E6">
                  <a:lumMod val="75000"/>
                </a:srgbClr>
              </a:solidFill>
              <a:ln>
                <a:solidFill>
                  <a:srgbClr val="E7E6E6">
                    <a:lumMod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Table'!$A$32:$A$35</c:f>
              <c:strCache>
                <c:ptCount val="3"/>
                <c:pt idx="0">
                  <c:v>First Class</c:v>
                </c:pt>
                <c:pt idx="1">
                  <c:v>Second Class</c:v>
                </c:pt>
                <c:pt idx="2">
                  <c:v>Third Class</c:v>
                </c:pt>
              </c:strCache>
            </c:strRef>
          </c:cat>
          <c:val>
            <c:numRef>
              <c:f>'Pivot Table'!$B$32:$B$35</c:f>
              <c:numCache>
                <c:formatCode>General</c:formatCode>
                <c:ptCount val="3"/>
                <c:pt idx="0">
                  <c:v>216</c:v>
                </c:pt>
                <c:pt idx="1">
                  <c:v>184</c:v>
                </c:pt>
                <c:pt idx="2">
                  <c:v>491</c:v>
                </c:pt>
              </c:numCache>
            </c:numRef>
          </c:val>
          <c:extLst>
            <c:ext xmlns:c16="http://schemas.microsoft.com/office/drawing/2014/chart" uri="{C3380CC4-5D6E-409C-BE32-E72D297353CC}">
              <c16:uniqueId val="{00000006-9AF2-457D-8E62-2C5FBA7D720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65000"/>
          <a:lumOff val="3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[titanic_sagar.xlsx]Pivot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Embark_Town</a:t>
            </a:r>
            <a:r>
              <a:rPr lang="en-US" b="1" baseline="0">
                <a:solidFill>
                  <a:sysClr val="windowText" lastClr="000000"/>
                </a:solidFill>
              </a:rPr>
              <a:t> vs Survived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14525705115572E-2"/>
          <c:y val="0.17109767050615871"/>
          <c:w val="0.87100855638406083"/>
          <c:h val="0.75492558410190391"/>
        </c:manualLayout>
      </c:layout>
      <c:barChart>
        <c:barDir val="col"/>
        <c:grouping val="clustered"/>
        <c:varyColors val="0"/>
        <c:ser>
          <c:idx val="0"/>
          <c:order val="0"/>
          <c:tx>
            <c:strRef>
              <c:f>'Pivot Table'!$C$75:$C$76</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Table'!$B$77:$B$80</c:f>
              <c:strCache>
                <c:ptCount val="3"/>
                <c:pt idx="0">
                  <c:v>Cherbourg</c:v>
                </c:pt>
                <c:pt idx="1">
                  <c:v>Queenstown</c:v>
                </c:pt>
                <c:pt idx="2">
                  <c:v>Southampton</c:v>
                </c:pt>
              </c:strCache>
            </c:strRef>
          </c:cat>
          <c:val>
            <c:numRef>
              <c:f>'Pivot Table'!$C$77:$C$80</c:f>
              <c:numCache>
                <c:formatCode>General</c:formatCode>
                <c:ptCount val="3"/>
                <c:pt idx="0">
                  <c:v>75</c:v>
                </c:pt>
                <c:pt idx="1">
                  <c:v>47</c:v>
                </c:pt>
                <c:pt idx="2">
                  <c:v>427</c:v>
                </c:pt>
              </c:numCache>
            </c:numRef>
          </c:val>
          <c:extLst>
            <c:ext xmlns:c16="http://schemas.microsoft.com/office/drawing/2014/chart" uri="{C3380CC4-5D6E-409C-BE32-E72D297353CC}">
              <c16:uniqueId val="{00000000-C840-4DAD-9664-D39D6CB02AB0}"/>
            </c:ext>
          </c:extLst>
        </c:ser>
        <c:ser>
          <c:idx val="1"/>
          <c:order val="1"/>
          <c:tx>
            <c:strRef>
              <c:f>'Pivot Table'!$D$75:$D$76</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Table'!$B$77:$B$80</c:f>
              <c:strCache>
                <c:ptCount val="3"/>
                <c:pt idx="0">
                  <c:v>Cherbourg</c:v>
                </c:pt>
                <c:pt idx="1">
                  <c:v>Queenstown</c:v>
                </c:pt>
                <c:pt idx="2">
                  <c:v>Southampton</c:v>
                </c:pt>
              </c:strCache>
            </c:strRef>
          </c:cat>
          <c:val>
            <c:numRef>
              <c:f>'Pivot Table'!$D$77:$D$80</c:f>
              <c:numCache>
                <c:formatCode>General</c:formatCode>
                <c:ptCount val="3"/>
                <c:pt idx="0">
                  <c:v>93</c:v>
                </c:pt>
                <c:pt idx="1">
                  <c:v>30</c:v>
                </c:pt>
                <c:pt idx="2">
                  <c:v>219</c:v>
                </c:pt>
              </c:numCache>
            </c:numRef>
          </c:val>
          <c:extLst>
            <c:ext xmlns:c16="http://schemas.microsoft.com/office/drawing/2014/chart" uri="{C3380CC4-5D6E-409C-BE32-E72D297353CC}">
              <c16:uniqueId val="{00000001-2941-477F-A8D1-1FBA25E349BC}"/>
            </c:ext>
          </c:extLst>
        </c:ser>
        <c:dLbls>
          <c:dLblPos val="outEnd"/>
          <c:showLegendKey val="0"/>
          <c:showVal val="1"/>
          <c:showCatName val="0"/>
          <c:showSerName val="0"/>
          <c:showPercent val="0"/>
          <c:showBubbleSize val="0"/>
        </c:dLbls>
        <c:gapWidth val="219"/>
        <c:overlap val="-27"/>
        <c:axId val="1277000256"/>
        <c:axId val="1609324080"/>
      </c:barChart>
      <c:catAx>
        <c:axId val="127700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9324080"/>
        <c:crosses val="autoZero"/>
        <c:auto val="1"/>
        <c:lblAlgn val="ctr"/>
        <c:lblOffset val="100"/>
        <c:noMultiLvlLbl val="0"/>
      </c:catAx>
      <c:valAx>
        <c:axId val="1609324080"/>
        <c:scaling>
          <c:orientation val="minMax"/>
        </c:scaling>
        <c:delete val="1"/>
        <c:axPos val="l"/>
        <c:numFmt formatCode="General" sourceLinked="1"/>
        <c:majorTickMark val="none"/>
        <c:minorTickMark val="none"/>
        <c:tickLblPos val="nextTo"/>
        <c:crossAx val="127700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[titanic_sagar.xlsx]Pivot Table!PivotTable12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Aduit_male</a:t>
            </a:r>
            <a:r>
              <a:rPr lang="en-IN" b="1" baseline="0">
                <a:solidFill>
                  <a:sysClr val="windowText" lastClr="000000"/>
                </a:solidFill>
              </a:rPr>
              <a:t> vs Survived</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0314960629919"/>
          <c:y val="0.13323855351414407"/>
          <c:w val="0.67769685039370076"/>
          <c:h val="0.65853091280256637"/>
        </c:manualLayout>
      </c:layout>
      <c:barChart>
        <c:barDir val="col"/>
        <c:grouping val="clustered"/>
        <c:varyColors val="0"/>
        <c:ser>
          <c:idx val="0"/>
          <c:order val="0"/>
          <c:tx>
            <c:strRef>
              <c:f>'Pivot Table'!$C$117:$C$118</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Table'!$B$119:$B$121</c:f>
              <c:strCache>
                <c:ptCount val="2"/>
                <c:pt idx="0">
                  <c:v>FALSE</c:v>
                </c:pt>
                <c:pt idx="1">
                  <c:v>TRUE</c:v>
                </c:pt>
              </c:strCache>
            </c:strRef>
          </c:cat>
          <c:val>
            <c:numRef>
              <c:f>'Pivot Table'!$C$119:$C$121</c:f>
              <c:numCache>
                <c:formatCode>General</c:formatCode>
                <c:ptCount val="2"/>
                <c:pt idx="0">
                  <c:v>100</c:v>
                </c:pt>
                <c:pt idx="1">
                  <c:v>449</c:v>
                </c:pt>
              </c:numCache>
            </c:numRef>
          </c:val>
          <c:extLst>
            <c:ext xmlns:c16="http://schemas.microsoft.com/office/drawing/2014/chart" uri="{C3380CC4-5D6E-409C-BE32-E72D297353CC}">
              <c16:uniqueId val="{00000000-7690-477D-AF17-2A492BDC4BEA}"/>
            </c:ext>
          </c:extLst>
        </c:ser>
        <c:ser>
          <c:idx val="1"/>
          <c:order val="1"/>
          <c:tx>
            <c:strRef>
              <c:f>'Pivot Table'!$D$117:$D$118</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Table'!$B$119:$B$121</c:f>
              <c:strCache>
                <c:ptCount val="2"/>
                <c:pt idx="0">
                  <c:v>FALSE</c:v>
                </c:pt>
                <c:pt idx="1">
                  <c:v>TRUE</c:v>
                </c:pt>
              </c:strCache>
            </c:strRef>
          </c:cat>
          <c:val>
            <c:numRef>
              <c:f>'Pivot Table'!$D$119:$D$121</c:f>
              <c:numCache>
                <c:formatCode>General</c:formatCode>
                <c:ptCount val="2"/>
                <c:pt idx="0">
                  <c:v>254</c:v>
                </c:pt>
                <c:pt idx="1">
                  <c:v>88</c:v>
                </c:pt>
              </c:numCache>
            </c:numRef>
          </c:val>
          <c:extLst>
            <c:ext xmlns:c16="http://schemas.microsoft.com/office/drawing/2014/chart" uri="{C3380CC4-5D6E-409C-BE32-E72D297353CC}">
              <c16:uniqueId val="{00000001-43C9-4EFC-B06D-C454BD47ADC5}"/>
            </c:ext>
          </c:extLst>
        </c:ser>
        <c:dLbls>
          <c:dLblPos val="outEnd"/>
          <c:showLegendKey val="0"/>
          <c:showVal val="1"/>
          <c:showCatName val="0"/>
          <c:showSerName val="0"/>
          <c:showPercent val="0"/>
          <c:showBubbleSize val="0"/>
        </c:dLbls>
        <c:gapWidth val="219"/>
        <c:overlap val="-27"/>
        <c:axId val="1614041392"/>
        <c:axId val="1614042352"/>
      </c:barChart>
      <c:catAx>
        <c:axId val="161404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4042352"/>
        <c:crosses val="autoZero"/>
        <c:auto val="1"/>
        <c:lblAlgn val="ctr"/>
        <c:lblOffset val="100"/>
        <c:noMultiLvlLbl val="0"/>
      </c:catAx>
      <c:valAx>
        <c:axId val="1614042352"/>
        <c:scaling>
          <c:orientation val="minMax"/>
        </c:scaling>
        <c:delete val="1"/>
        <c:axPos val="l"/>
        <c:numFmt formatCode="General" sourceLinked="1"/>
        <c:majorTickMark val="none"/>
        <c:minorTickMark val="none"/>
        <c:tickLblPos val="nextTo"/>
        <c:crossAx val="161404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[titanic_sagar.xlsx]Pivot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WHO</a:t>
            </a:r>
          </a:p>
        </c:rich>
      </c:tx>
      <c:layout>
        <c:manualLayout>
          <c:xMode val="edge"/>
          <c:yMode val="edge"/>
          <c:x val="0.43755838411109677"/>
          <c:y val="4.6817433426447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accent1">
                <a:lumMod val="75000"/>
              </a:schemeClr>
            </a:solidFill>
          </a:ln>
          <a:effectLst/>
        </c:spPr>
        <c:marker>
          <c:symbol val="none"/>
        </c:marker>
        <c:dLbl>
          <c:idx val="0"/>
          <c:spPr>
            <a:solidFill>
              <a:srgbClr val="E7E6E6">
                <a:lumMod val="75000"/>
              </a:srgbClr>
            </a:solid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w="19050">
            <a:solidFill>
              <a:schemeClr val="accent1">
                <a:lumMod val="75000"/>
              </a:schemeClr>
            </a:solidFill>
          </a:ln>
          <a:effectLst/>
        </c:spPr>
        <c:dLbl>
          <c:idx val="0"/>
          <c:layout>
            <c:manualLayout>
              <c:x val="7.7593589026665119E-2"/>
              <c:y val="-0.12650860443505871"/>
            </c:manualLayout>
          </c:layout>
          <c:spPr>
            <a:solidFill>
              <a:srgbClr val="E7E6E6">
                <a:lumMod val="75000"/>
              </a:srgbClr>
            </a:solid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50000"/>
            </a:schemeClr>
          </a:solidFill>
          <a:ln w="19050">
            <a:solidFill>
              <a:schemeClr val="accent2">
                <a:lumMod val="50000"/>
              </a:schemeClr>
            </a:solidFill>
          </a:ln>
          <a:effectLst/>
        </c:spPr>
        <c:dLbl>
          <c:idx val="0"/>
          <c:layout>
            <c:manualLayout>
              <c:x val="7.7593589026665119E-2"/>
              <c:y val="0.1174722755468402"/>
            </c:manualLayout>
          </c:layout>
          <c:spPr>
            <a:solidFill>
              <a:srgbClr val="E7E6E6">
                <a:lumMod val="75000"/>
              </a:srgbClr>
            </a:solid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olidFill>
          <a:ln w="19050">
            <a:solidFill>
              <a:schemeClr val="accent2"/>
            </a:solidFill>
          </a:ln>
          <a:effectLst/>
        </c:spPr>
        <c:dLbl>
          <c:idx val="0"/>
          <c:layout>
            <c:manualLayout>
              <c:x val="-0.15927105115999685"/>
              <c:y val="-1.3554493332327716E-2"/>
            </c:manualLayout>
          </c:layout>
          <c:spPr>
            <a:solidFill>
              <a:srgbClr val="E7E6E6">
                <a:lumMod val="75000"/>
              </a:srgbClr>
            </a:solid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244943803931849"/>
          <c:y val="0.21244722572533858"/>
          <c:w val="0.44277438556508436"/>
          <c:h val="0.63020406267857476"/>
        </c:manualLayout>
      </c:layout>
      <c:doughnutChart>
        <c:varyColors val="1"/>
        <c:ser>
          <c:idx val="0"/>
          <c:order val="0"/>
          <c:tx>
            <c:strRef>
              <c:f>'Pivot Table'!$B$126</c:f>
              <c:strCache>
                <c:ptCount val="1"/>
                <c:pt idx="0">
                  <c:v>Total</c:v>
                </c:pt>
              </c:strCache>
            </c:strRef>
          </c:tx>
          <c:spPr>
            <a:ln>
              <a:solidFill>
                <a:schemeClr val="accent1">
                  <a:lumMod val="75000"/>
                </a:schemeClr>
              </a:solidFill>
            </a:ln>
          </c:spPr>
          <c:dPt>
            <c:idx val="0"/>
            <c:bubble3D val="0"/>
            <c:spPr>
              <a:solidFill>
                <a:schemeClr val="accent1">
                  <a:lumMod val="75000"/>
                </a:schemeClr>
              </a:solidFill>
              <a:ln w="19050">
                <a:solidFill>
                  <a:schemeClr val="accent1">
                    <a:lumMod val="75000"/>
                  </a:schemeClr>
                </a:solidFill>
              </a:ln>
              <a:effectLst/>
            </c:spPr>
            <c:extLst>
              <c:ext xmlns:c16="http://schemas.microsoft.com/office/drawing/2014/chart" uri="{C3380CC4-5D6E-409C-BE32-E72D297353CC}">
                <c16:uniqueId val="{00000001-73BF-4B01-9B7E-BA2776745227}"/>
              </c:ext>
            </c:extLst>
          </c:dPt>
          <c:dPt>
            <c:idx val="1"/>
            <c:bubble3D val="0"/>
            <c:spPr>
              <a:solidFill>
                <a:schemeClr val="accent2">
                  <a:lumMod val="50000"/>
                </a:schemeClr>
              </a:solidFill>
              <a:ln w="19050">
                <a:solidFill>
                  <a:schemeClr val="accent2">
                    <a:lumMod val="50000"/>
                  </a:schemeClr>
                </a:solidFill>
              </a:ln>
              <a:effectLst/>
            </c:spPr>
            <c:extLst>
              <c:ext xmlns:c16="http://schemas.microsoft.com/office/drawing/2014/chart" uri="{C3380CC4-5D6E-409C-BE32-E72D297353CC}">
                <c16:uniqueId val="{00000003-73BF-4B01-9B7E-BA2776745227}"/>
              </c:ext>
            </c:extLst>
          </c:dPt>
          <c:dPt>
            <c:idx val="2"/>
            <c:bubble3D val="0"/>
            <c:spPr>
              <a:solidFill>
                <a:schemeClr val="accent2"/>
              </a:solidFill>
              <a:ln w="19050">
                <a:solidFill>
                  <a:schemeClr val="accent2"/>
                </a:solidFill>
              </a:ln>
              <a:effectLst/>
            </c:spPr>
            <c:extLst>
              <c:ext xmlns:c16="http://schemas.microsoft.com/office/drawing/2014/chart" uri="{C3380CC4-5D6E-409C-BE32-E72D297353CC}">
                <c16:uniqueId val="{00000005-73BF-4B01-9B7E-BA2776745227}"/>
              </c:ext>
            </c:extLst>
          </c:dPt>
          <c:dLbls>
            <c:dLbl>
              <c:idx val="0"/>
              <c:layout>
                <c:manualLayout>
                  <c:x val="7.7593589026665119E-2"/>
                  <c:y val="-0.126508604435058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3BF-4B01-9B7E-BA2776745227}"/>
                </c:ext>
              </c:extLst>
            </c:dLbl>
            <c:dLbl>
              <c:idx val="1"/>
              <c:layout>
                <c:manualLayout>
                  <c:x val="7.7593589026665119E-2"/>
                  <c:y val="0.11747227554684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3BF-4B01-9B7E-BA2776745227}"/>
                </c:ext>
              </c:extLst>
            </c:dLbl>
            <c:dLbl>
              <c:idx val="2"/>
              <c:layout>
                <c:manualLayout>
                  <c:x val="-0.15927105115999685"/>
                  <c:y val="-1.35544933323277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3BF-4B01-9B7E-BA2776745227}"/>
                </c:ext>
              </c:extLst>
            </c:dLbl>
            <c:spPr>
              <a:solidFill>
                <a:srgbClr val="E7E6E6">
                  <a:lumMod val="75000"/>
                </a:srgbClr>
              </a:solid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Table'!$A$127:$A$130</c:f>
              <c:strCache>
                <c:ptCount val="3"/>
                <c:pt idx="0">
                  <c:v>Child</c:v>
                </c:pt>
                <c:pt idx="1">
                  <c:v>Man</c:v>
                </c:pt>
                <c:pt idx="2">
                  <c:v>Woman</c:v>
                </c:pt>
              </c:strCache>
            </c:strRef>
          </c:cat>
          <c:val>
            <c:numRef>
              <c:f>'Pivot Table'!$B$127:$B$130</c:f>
              <c:numCache>
                <c:formatCode>General</c:formatCode>
                <c:ptCount val="3"/>
                <c:pt idx="0">
                  <c:v>83</c:v>
                </c:pt>
                <c:pt idx="1">
                  <c:v>537</c:v>
                </c:pt>
                <c:pt idx="2">
                  <c:v>271</c:v>
                </c:pt>
              </c:numCache>
            </c:numRef>
          </c:val>
          <c:extLst>
            <c:ext xmlns:c16="http://schemas.microsoft.com/office/drawing/2014/chart" uri="{C3380CC4-5D6E-409C-BE32-E72D297353CC}">
              <c16:uniqueId val="{00000006-73BF-4B01-9B7E-BA2776745227}"/>
            </c:ext>
          </c:extLst>
        </c:ser>
        <c:dLbls>
          <c:showLegendKey val="0"/>
          <c:showVal val="0"/>
          <c:showCatName val="0"/>
          <c:showSerName val="0"/>
          <c:showPercent val="0"/>
          <c:showBubbleSize val="0"/>
          <c:showLeaderLines val="0"/>
        </c:dLbls>
        <c:firstSliceAng val="0"/>
        <c:holeSize val="75"/>
      </c:doughnutChart>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959068</xdr:colOff>
      <xdr:row>26</xdr:row>
      <xdr:rowOff>57807</xdr:rowOff>
    </xdr:from>
    <xdr:to>
      <xdr:col>10</xdr:col>
      <xdr:colOff>97220</xdr:colOff>
      <xdr:row>41</xdr:row>
      <xdr:rowOff>42041</xdr:rowOff>
    </xdr:to>
    <xdr:graphicFrame macro="">
      <xdr:nvGraphicFramePr>
        <xdr:cNvPr id="5" name="Chart 4">
          <a:extLst>
            <a:ext uri="{FF2B5EF4-FFF2-40B4-BE49-F238E27FC236}">
              <a16:creationId xmlns:a16="http://schemas.microsoft.com/office/drawing/2014/main" id="{C4109D4F-7736-E9D3-DDCD-3C9128C8C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9</xdr:row>
      <xdr:rowOff>69971</xdr:rowOff>
    </xdr:from>
    <xdr:to>
      <xdr:col>5</xdr:col>
      <xdr:colOff>583406</xdr:colOff>
      <xdr:row>24</xdr:row>
      <xdr:rowOff>121856</xdr:rowOff>
    </xdr:to>
    <xdr:graphicFrame macro="">
      <xdr:nvGraphicFramePr>
        <xdr:cNvPr id="2" name="Chart 1">
          <a:extLst>
            <a:ext uri="{FF2B5EF4-FFF2-40B4-BE49-F238E27FC236}">
              <a16:creationId xmlns:a16="http://schemas.microsoft.com/office/drawing/2014/main" id="{1BF011F7-A6BF-455A-9FD4-EFCE73EF6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119063</xdr:colOff>
      <xdr:row>25</xdr:row>
      <xdr:rowOff>17570</xdr:rowOff>
    </xdr:from>
    <xdr:to>
      <xdr:col>17</xdr:col>
      <xdr:colOff>178594</xdr:colOff>
      <xdr:row>40</xdr:row>
      <xdr:rowOff>129702</xdr:rowOff>
    </xdr:to>
    <xdr:graphicFrame macro="">
      <xdr:nvGraphicFramePr>
        <xdr:cNvPr id="3" name="Chart 2">
          <a:extLst>
            <a:ext uri="{FF2B5EF4-FFF2-40B4-BE49-F238E27FC236}">
              <a16:creationId xmlns:a16="http://schemas.microsoft.com/office/drawing/2014/main" id="{2B4BFB93-865A-4079-8720-6223C3127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174424</xdr:rowOff>
    </xdr:from>
    <xdr:to>
      <xdr:col>5</xdr:col>
      <xdr:colOff>595313</xdr:colOff>
      <xdr:row>40</xdr:row>
      <xdr:rowOff>108857</xdr:rowOff>
    </xdr:to>
    <xdr:graphicFrame macro="">
      <xdr:nvGraphicFramePr>
        <xdr:cNvPr id="5" name="Chart 4">
          <a:extLst>
            <a:ext uri="{FF2B5EF4-FFF2-40B4-BE49-F238E27FC236}">
              <a16:creationId xmlns:a16="http://schemas.microsoft.com/office/drawing/2014/main" id="{EDE2611A-B8A5-4675-82C2-52269E00F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23811</xdr:colOff>
      <xdr:row>9</xdr:row>
      <xdr:rowOff>66364</xdr:rowOff>
    </xdr:from>
    <xdr:to>
      <xdr:col>12</xdr:col>
      <xdr:colOff>59531</xdr:colOff>
      <xdr:row>24</xdr:row>
      <xdr:rowOff>117101</xdr:rowOff>
    </xdr:to>
    <xdr:graphicFrame macro="">
      <xdr:nvGraphicFramePr>
        <xdr:cNvPr id="6" name="Chart 5">
          <a:extLst>
            <a:ext uri="{FF2B5EF4-FFF2-40B4-BE49-F238E27FC236}">
              <a16:creationId xmlns:a16="http://schemas.microsoft.com/office/drawing/2014/main" id="{D8D91318-034F-494C-91E5-3C89AE463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77760</xdr:colOff>
      <xdr:row>25</xdr:row>
      <xdr:rowOff>3216</xdr:rowOff>
    </xdr:from>
    <xdr:to>
      <xdr:col>12</xdr:col>
      <xdr:colOff>47625</xdr:colOff>
      <xdr:row>40</xdr:row>
      <xdr:rowOff>124407</xdr:rowOff>
    </xdr:to>
    <xdr:graphicFrame macro="">
      <xdr:nvGraphicFramePr>
        <xdr:cNvPr id="8" name="Chart 7">
          <a:extLst>
            <a:ext uri="{FF2B5EF4-FFF2-40B4-BE49-F238E27FC236}">
              <a16:creationId xmlns:a16="http://schemas.microsoft.com/office/drawing/2014/main" id="{90718EF1-F7F7-4D41-969F-717652842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107155</xdr:colOff>
      <xdr:row>9</xdr:row>
      <xdr:rowOff>69081</xdr:rowOff>
    </xdr:from>
    <xdr:to>
      <xdr:col>17</xdr:col>
      <xdr:colOff>178594</xdr:colOff>
      <xdr:row>24</xdr:row>
      <xdr:rowOff>130969</xdr:rowOff>
    </xdr:to>
    <xdr:graphicFrame macro="">
      <xdr:nvGraphicFramePr>
        <xdr:cNvPr id="9" name="Chart 8">
          <a:extLst>
            <a:ext uri="{FF2B5EF4-FFF2-40B4-BE49-F238E27FC236}">
              <a16:creationId xmlns:a16="http://schemas.microsoft.com/office/drawing/2014/main" id="{B4806BE1-BA8D-47A0-A2D4-F157D9BF1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269649</xdr:colOff>
      <xdr:row>27</xdr:row>
      <xdr:rowOff>160565</xdr:rowOff>
    </xdr:from>
    <xdr:to>
      <xdr:col>19</xdr:col>
      <xdr:colOff>581891</xdr:colOff>
      <xdr:row>40</xdr:row>
      <xdr:rowOff>110836</xdr:rowOff>
    </xdr:to>
    <mc:AlternateContent xmlns:mc="http://schemas.openxmlformats.org/markup-compatibility/2006">
      <mc:Choice xmlns:a14="http://schemas.microsoft.com/office/drawing/2010/main" Requires="a14">
        <xdr:graphicFrame macro="">
          <xdr:nvGraphicFramePr>
            <xdr:cNvPr id="4" name="New_survived">
              <a:extLst>
                <a:ext uri="{FF2B5EF4-FFF2-40B4-BE49-F238E27FC236}">
                  <a16:creationId xmlns:a16="http://schemas.microsoft.com/office/drawing/2014/main" id="{70C09176-C575-40E1-C870-57CA67CAA450}"/>
                </a:ext>
              </a:extLst>
            </xdr:cNvPr>
            <xdr:cNvGraphicFramePr/>
          </xdr:nvGraphicFramePr>
          <xdr:xfrm>
            <a:off x="0" y="0"/>
            <a:ext cx="0" cy="0"/>
          </xdr:xfrm>
          <a:graphic>
            <a:graphicData uri="http://schemas.microsoft.com/office/drawing/2010/slicer">
              <sle:slicer xmlns:sle="http://schemas.microsoft.com/office/drawing/2010/slicer" name="New_survived"/>
            </a:graphicData>
          </a:graphic>
        </xdr:graphicFrame>
      </mc:Choice>
      <mc:Fallback>
        <xdr:sp macro="" textlink="">
          <xdr:nvSpPr>
            <xdr:cNvPr id="0" name=""/>
            <xdr:cNvSpPr>
              <a:spLocks noTextEdit="1"/>
            </xdr:cNvSpPr>
          </xdr:nvSpPr>
          <xdr:spPr>
            <a:xfrm>
              <a:off x="10535083" y="5207018"/>
              <a:ext cx="1519940" cy="2380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260072</xdr:colOff>
      <xdr:row>17</xdr:row>
      <xdr:rowOff>144400</xdr:rowOff>
    </xdr:from>
    <xdr:to>
      <xdr:col>19</xdr:col>
      <xdr:colOff>599209</xdr:colOff>
      <xdr:row>27</xdr:row>
      <xdr:rowOff>96982</xdr:rowOff>
    </xdr:to>
    <mc:AlternateContent xmlns:mc="http://schemas.openxmlformats.org/markup-compatibility/2006">
      <mc:Choice xmlns:a14="http://schemas.microsoft.com/office/drawing/2010/main" Requires="a14">
        <xdr:graphicFrame macro="">
          <xdr:nvGraphicFramePr>
            <xdr:cNvPr id="12" name="adult_male">
              <a:extLst>
                <a:ext uri="{FF2B5EF4-FFF2-40B4-BE49-F238E27FC236}">
                  <a16:creationId xmlns:a16="http://schemas.microsoft.com/office/drawing/2014/main" id="{B308B4AD-DC6E-A091-55A7-B8BB1C8993FF}"/>
                </a:ext>
              </a:extLst>
            </xdr:cNvPr>
            <xdr:cNvGraphicFramePr/>
          </xdr:nvGraphicFramePr>
          <xdr:xfrm>
            <a:off x="0" y="0"/>
            <a:ext cx="0" cy="0"/>
          </xdr:xfrm>
          <a:graphic>
            <a:graphicData uri="http://schemas.microsoft.com/office/drawing/2010/slicer">
              <sle:slicer xmlns:sle="http://schemas.microsoft.com/office/drawing/2010/slicer" name="adult_male"/>
            </a:graphicData>
          </a:graphic>
        </xdr:graphicFrame>
      </mc:Choice>
      <mc:Fallback>
        <xdr:sp macro="" textlink="">
          <xdr:nvSpPr>
            <xdr:cNvPr id="0" name=""/>
            <xdr:cNvSpPr>
              <a:spLocks noTextEdit="1"/>
            </xdr:cNvSpPr>
          </xdr:nvSpPr>
          <xdr:spPr>
            <a:xfrm>
              <a:off x="10525506" y="3321796"/>
              <a:ext cx="1546835" cy="182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250030</xdr:colOff>
      <xdr:row>9</xdr:row>
      <xdr:rowOff>75595</xdr:rowOff>
    </xdr:from>
    <xdr:to>
      <xdr:col>19</xdr:col>
      <xdr:colOff>571500</xdr:colOff>
      <xdr:row>17</xdr:row>
      <xdr:rowOff>41563</xdr:rowOff>
    </xdr:to>
    <mc:AlternateContent xmlns:mc="http://schemas.openxmlformats.org/markup-compatibility/2006">
      <mc:Choice xmlns:a14="http://schemas.microsoft.com/office/drawing/2010/main" Requires="a14">
        <xdr:graphicFrame macro="">
          <xdr:nvGraphicFramePr>
            <xdr:cNvPr id="14" name="alone">
              <a:extLst>
                <a:ext uri="{FF2B5EF4-FFF2-40B4-BE49-F238E27FC236}">
                  <a16:creationId xmlns:a16="http://schemas.microsoft.com/office/drawing/2014/main" id="{F8CC5FA7-7456-F978-F3A7-ECE9D92EBD4B}"/>
                </a:ext>
              </a:extLst>
            </xdr:cNvPr>
            <xdr:cNvGraphicFramePr/>
          </xdr:nvGraphicFramePr>
          <xdr:xfrm>
            <a:off x="0" y="0"/>
            <a:ext cx="0" cy="0"/>
          </xdr:xfrm>
          <a:graphic>
            <a:graphicData uri="http://schemas.microsoft.com/office/drawing/2010/slicer">
              <sle:slicer xmlns:sle="http://schemas.microsoft.com/office/drawing/2010/slicer" name="alone"/>
            </a:graphicData>
          </a:graphic>
        </xdr:graphicFrame>
      </mc:Choice>
      <mc:Fallback>
        <xdr:sp macro="" textlink="">
          <xdr:nvSpPr>
            <xdr:cNvPr id="0" name=""/>
            <xdr:cNvSpPr>
              <a:spLocks noTextEdit="1"/>
            </xdr:cNvSpPr>
          </xdr:nvSpPr>
          <xdr:spPr>
            <a:xfrm>
              <a:off x="10515464" y="1757746"/>
              <a:ext cx="1529168" cy="1461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refreshedDate="46029.852577430553" createdVersion="8" refreshedVersion="8" minRefreshableVersion="3" recordCount="891" xr:uid="{48B306ED-88A0-4F0F-B7F4-0AA5D87E5478}">
  <cacheSource type="worksheet">
    <worksheetSource name="Table1"/>
  </cacheSource>
  <cacheFields count="18">
    <cacheField name="survived" numFmtId="0">
      <sharedItems containsSemiMixedTypes="0" containsString="0" containsNumber="1" containsInteger="1" minValue="0" maxValue="1"/>
    </cacheField>
    <cacheField name="New_survived" numFmtId="0">
      <sharedItems count="2">
        <s v="Not Survived"/>
        <s v="Survived"/>
      </sharedItems>
    </cacheField>
    <cacheField name="pclass" numFmtId="0">
      <sharedItems containsSemiMixedTypes="0" containsString="0" containsNumber="1" containsInteger="1" minValue="1" maxValue="3"/>
    </cacheField>
    <cacheField name="PCLASS2" numFmtId="0">
      <sharedItems count="3">
        <s v="Third Class"/>
        <s v="First Class"/>
        <s v="Second Class"/>
      </sharedItems>
    </cacheField>
    <cacheField name="sex" numFmtId="0">
      <sharedItems/>
    </cacheField>
    <cacheField name="Gender " numFmtId="0">
      <sharedItems count="2">
        <s v="Male"/>
        <s v="Female"/>
      </sharedItems>
    </cacheField>
    <cacheField name="age" numFmtId="0">
      <sharedItems containsSemiMixedTypes="0" containsString="0" containsNumber="1" minValue="0.42" maxValue="80"/>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re" numFmtId="0">
      <sharedItems containsSemiMixedTypes="0" containsString="0" containsNumber="1" minValue="0" maxValue="512.32920000000001"/>
    </cacheField>
    <cacheField name="class" numFmtId="0">
      <sharedItems/>
    </cacheField>
    <cacheField name="who" numFmtId="0">
      <sharedItems/>
    </cacheField>
    <cacheField name="WHO3" numFmtId="0">
      <sharedItems count="3">
        <s v="Man"/>
        <s v="Woman"/>
        <s v="Child"/>
      </sharedItems>
    </cacheField>
    <cacheField name="adult_male" numFmtId="0">
      <sharedItems count="2">
        <b v="1"/>
        <b v="0"/>
      </sharedItems>
    </cacheField>
    <cacheField name="embark_town" numFmtId="0">
      <sharedItems count="3">
        <s v="Southampton"/>
        <s v="Cherbourg"/>
        <s v="Queenstown"/>
      </sharedItems>
    </cacheField>
    <cacheField name="alive" numFmtId="0">
      <sharedItems/>
    </cacheField>
    <cacheField name="Alive4" numFmtId="0">
      <sharedItems/>
    </cacheField>
    <cacheField name="alone" numFmtId="0">
      <sharedItems count="2">
        <b v="0"/>
        <b v="1"/>
      </sharedItems>
    </cacheField>
  </cacheFields>
  <extLst>
    <ext xmlns:x14="http://schemas.microsoft.com/office/spreadsheetml/2009/9/main" uri="{725AE2AE-9491-48be-B2B4-4EB974FC3084}">
      <x14:pivotCacheDefinition pivotCacheId="620823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0"/>
    <x v="0"/>
    <n v="3"/>
    <x v="0"/>
    <s v="male"/>
    <x v="0"/>
    <n v="22"/>
    <n v="1"/>
    <n v="0"/>
    <n v="7.25"/>
    <s v="Third"/>
    <s v="man"/>
    <x v="0"/>
    <x v="0"/>
    <x v="0"/>
    <s v="no"/>
    <s v="No"/>
    <x v="0"/>
  </r>
  <r>
    <n v="1"/>
    <x v="1"/>
    <n v="1"/>
    <x v="1"/>
    <s v="female"/>
    <x v="1"/>
    <n v="38"/>
    <n v="1"/>
    <n v="0"/>
    <n v="71.283299999999997"/>
    <s v="First"/>
    <s v="woman"/>
    <x v="1"/>
    <x v="1"/>
    <x v="1"/>
    <s v="yes"/>
    <s v="Yes"/>
    <x v="0"/>
  </r>
  <r>
    <n v="1"/>
    <x v="1"/>
    <n v="3"/>
    <x v="0"/>
    <s v="female"/>
    <x v="1"/>
    <n v="26"/>
    <n v="0"/>
    <n v="0"/>
    <n v="7.9249999999999998"/>
    <s v="Third"/>
    <s v="woman"/>
    <x v="1"/>
    <x v="1"/>
    <x v="0"/>
    <s v="yes"/>
    <s v="Yes"/>
    <x v="1"/>
  </r>
  <r>
    <n v="1"/>
    <x v="1"/>
    <n v="1"/>
    <x v="1"/>
    <s v="female"/>
    <x v="1"/>
    <n v="35"/>
    <n v="1"/>
    <n v="0"/>
    <n v="53.1"/>
    <s v="First"/>
    <s v="woman"/>
    <x v="1"/>
    <x v="1"/>
    <x v="0"/>
    <s v="yes"/>
    <s v="Yes"/>
    <x v="0"/>
  </r>
  <r>
    <n v="0"/>
    <x v="0"/>
    <n v="3"/>
    <x v="0"/>
    <s v="male"/>
    <x v="0"/>
    <n v="35"/>
    <n v="0"/>
    <n v="0"/>
    <n v="8.0500000000000007"/>
    <s v="Third"/>
    <s v="man"/>
    <x v="0"/>
    <x v="0"/>
    <x v="0"/>
    <s v="no"/>
    <s v="No"/>
    <x v="1"/>
  </r>
  <r>
    <n v="0"/>
    <x v="0"/>
    <n v="3"/>
    <x v="0"/>
    <s v="male"/>
    <x v="0"/>
    <n v="30"/>
    <n v="0"/>
    <n v="0"/>
    <n v="8.4582999999999995"/>
    <s v="Third"/>
    <s v="man"/>
    <x v="0"/>
    <x v="0"/>
    <x v="2"/>
    <s v="no"/>
    <s v="No"/>
    <x v="1"/>
  </r>
  <r>
    <n v="0"/>
    <x v="0"/>
    <n v="1"/>
    <x v="1"/>
    <s v="male"/>
    <x v="0"/>
    <n v="54"/>
    <n v="0"/>
    <n v="0"/>
    <n v="51.862499999999997"/>
    <s v="First"/>
    <s v="man"/>
    <x v="0"/>
    <x v="0"/>
    <x v="0"/>
    <s v="no"/>
    <s v="No"/>
    <x v="1"/>
  </r>
  <r>
    <n v="0"/>
    <x v="0"/>
    <n v="3"/>
    <x v="0"/>
    <s v="male"/>
    <x v="0"/>
    <n v="2"/>
    <n v="3"/>
    <n v="1"/>
    <n v="21.074999999999999"/>
    <s v="Third"/>
    <s v="child"/>
    <x v="2"/>
    <x v="1"/>
    <x v="0"/>
    <s v="no"/>
    <s v="No"/>
    <x v="0"/>
  </r>
  <r>
    <n v="1"/>
    <x v="1"/>
    <n v="3"/>
    <x v="0"/>
    <s v="female"/>
    <x v="1"/>
    <n v="27"/>
    <n v="0"/>
    <n v="2"/>
    <n v="11.1333"/>
    <s v="Third"/>
    <s v="woman"/>
    <x v="1"/>
    <x v="1"/>
    <x v="0"/>
    <s v="yes"/>
    <s v="Yes"/>
    <x v="0"/>
  </r>
  <r>
    <n v="1"/>
    <x v="1"/>
    <n v="2"/>
    <x v="2"/>
    <s v="female"/>
    <x v="1"/>
    <n v="14"/>
    <n v="1"/>
    <n v="0"/>
    <n v="30.070799999999998"/>
    <s v="Second"/>
    <s v="child"/>
    <x v="2"/>
    <x v="1"/>
    <x v="1"/>
    <s v="yes"/>
    <s v="Yes"/>
    <x v="0"/>
  </r>
  <r>
    <n v="1"/>
    <x v="1"/>
    <n v="3"/>
    <x v="0"/>
    <s v="female"/>
    <x v="1"/>
    <n v="4"/>
    <n v="1"/>
    <n v="1"/>
    <n v="16.7"/>
    <s v="Third"/>
    <s v="child"/>
    <x v="2"/>
    <x v="1"/>
    <x v="0"/>
    <s v="yes"/>
    <s v="Yes"/>
    <x v="0"/>
  </r>
  <r>
    <n v="1"/>
    <x v="1"/>
    <n v="1"/>
    <x v="1"/>
    <s v="female"/>
    <x v="1"/>
    <n v="58"/>
    <n v="0"/>
    <n v="0"/>
    <n v="26.55"/>
    <s v="First"/>
    <s v="woman"/>
    <x v="1"/>
    <x v="1"/>
    <x v="0"/>
    <s v="yes"/>
    <s v="Yes"/>
    <x v="1"/>
  </r>
  <r>
    <n v="0"/>
    <x v="0"/>
    <n v="3"/>
    <x v="0"/>
    <s v="male"/>
    <x v="0"/>
    <n v="20"/>
    <n v="0"/>
    <n v="0"/>
    <n v="8.0500000000000007"/>
    <s v="Third"/>
    <s v="man"/>
    <x v="0"/>
    <x v="0"/>
    <x v="0"/>
    <s v="no"/>
    <s v="No"/>
    <x v="1"/>
  </r>
  <r>
    <n v="0"/>
    <x v="0"/>
    <n v="3"/>
    <x v="0"/>
    <s v="male"/>
    <x v="0"/>
    <n v="39"/>
    <n v="1"/>
    <n v="5"/>
    <n v="31.274999999999999"/>
    <s v="Third"/>
    <s v="man"/>
    <x v="0"/>
    <x v="0"/>
    <x v="0"/>
    <s v="no"/>
    <s v="No"/>
    <x v="0"/>
  </r>
  <r>
    <n v="0"/>
    <x v="0"/>
    <n v="3"/>
    <x v="0"/>
    <s v="female"/>
    <x v="1"/>
    <n v="14"/>
    <n v="0"/>
    <n v="0"/>
    <n v="7.8541999999999996"/>
    <s v="Third"/>
    <s v="child"/>
    <x v="2"/>
    <x v="1"/>
    <x v="0"/>
    <s v="no"/>
    <s v="No"/>
    <x v="1"/>
  </r>
  <r>
    <n v="1"/>
    <x v="1"/>
    <n v="2"/>
    <x v="2"/>
    <s v="female"/>
    <x v="1"/>
    <n v="55"/>
    <n v="0"/>
    <n v="0"/>
    <n v="16"/>
    <s v="Second"/>
    <s v="woman"/>
    <x v="1"/>
    <x v="1"/>
    <x v="0"/>
    <s v="yes"/>
    <s v="Yes"/>
    <x v="1"/>
  </r>
  <r>
    <n v="0"/>
    <x v="0"/>
    <n v="3"/>
    <x v="0"/>
    <s v="male"/>
    <x v="0"/>
    <n v="2"/>
    <n v="4"/>
    <n v="1"/>
    <n v="29.125"/>
    <s v="Third"/>
    <s v="child"/>
    <x v="2"/>
    <x v="1"/>
    <x v="2"/>
    <s v="no"/>
    <s v="No"/>
    <x v="0"/>
  </r>
  <r>
    <n v="1"/>
    <x v="1"/>
    <n v="2"/>
    <x v="2"/>
    <s v="male"/>
    <x v="0"/>
    <n v="30"/>
    <n v="0"/>
    <n v="0"/>
    <n v="13"/>
    <s v="Second"/>
    <s v="man"/>
    <x v="0"/>
    <x v="0"/>
    <x v="0"/>
    <s v="yes"/>
    <s v="Yes"/>
    <x v="1"/>
  </r>
  <r>
    <n v="0"/>
    <x v="0"/>
    <n v="3"/>
    <x v="0"/>
    <s v="female"/>
    <x v="1"/>
    <n v="31"/>
    <n v="1"/>
    <n v="0"/>
    <n v="18"/>
    <s v="Third"/>
    <s v="woman"/>
    <x v="1"/>
    <x v="1"/>
    <x v="0"/>
    <s v="no"/>
    <s v="No"/>
    <x v="0"/>
  </r>
  <r>
    <n v="1"/>
    <x v="1"/>
    <n v="3"/>
    <x v="0"/>
    <s v="female"/>
    <x v="1"/>
    <n v="30"/>
    <n v="0"/>
    <n v="0"/>
    <n v="7.2249999999999996"/>
    <s v="Third"/>
    <s v="woman"/>
    <x v="1"/>
    <x v="1"/>
    <x v="1"/>
    <s v="yes"/>
    <s v="Yes"/>
    <x v="1"/>
  </r>
  <r>
    <n v="0"/>
    <x v="0"/>
    <n v="2"/>
    <x v="2"/>
    <s v="male"/>
    <x v="0"/>
    <n v="35"/>
    <n v="0"/>
    <n v="0"/>
    <n v="26"/>
    <s v="Second"/>
    <s v="man"/>
    <x v="0"/>
    <x v="0"/>
    <x v="0"/>
    <s v="no"/>
    <s v="No"/>
    <x v="1"/>
  </r>
  <r>
    <n v="1"/>
    <x v="1"/>
    <n v="2"/>
    <x v="2"/>
    <s v="male"/>
    <x v="0"/>
    <n v="34"/>
    <n v="0"/>
    <n v="0"/>
    <n v="13"/>
    <s v="Second"/>
    <s v="man"/>
    <x v="0"/>
    <x v="0"/>
    <x v="0"/>
    <s v="yes"/>
    <s v="Yes"/>
    <x v="1"/>
  </r>
  <r>
    <n v="1"/>
    <x v="1"/>
    <n v="3"/>
    <x v="0"/>
    <s v="female"/>
    <x v="1"/>
    <n v="15"/>
    <n v="0"/>
    <n v="0"/>
    <n v="8.0291999999999994"/>
    <s v="Third"/>
    <s v="child"/>
    <x v="2"/>
    <x v="1"/>
    <x v="2"/>
    <s v="yes"/>
    <s v="Yes"/>
    <x v="1"/>
  </r>
  <r>
    <n v="1"/>
    <x v="1"/>
    <n v="1"/>
    <x v="1"/>
    <s v="male"/>
    <x v="0"/>
    <n v="28"/>
    <n v="0"/>
    <n v="0"/>
    <n v="35.5"/>
    <s v="First"/>
    <s v="man"/>
    <x v="0"/>
    <x v="0"/>
    <x v="0"/>
    <s v="yes"/>
    <s v="Yes"/>
    <x v="1"/>
  </r>
  <r>
    <n v="0"/>
    <x v="0"/>
    <n v="3"/>
    <x v="0"/>
    <s v="female"/>
    <x v="1"/>
    <n v="8"/>
    <n v="3"/>
    <n v="1"/>
    <n v="21.074999999999999"/>
    <s v="Third"/>
    <s v="child"/>
    <x v="2"/>
    <x v="1"/>
    <x v="0"/>
    <s v="no"/>
    <s v="No"/>
    <x v="0"/>
  </r>
  <r>
    <n v="1"/>
    <x v="1"/>
    <n v="3"/>
    <x v="0"/>
    <s v="female"/>
    <x v="1"/>
    <n v="38"/>
    <n v="1"/>
    <n v="5"/>
    <n v="31.387499999999999"/>
    <s v="Third"/>
    <s v="woman"/>
    <x v="1"/>
    <x v="1"/>
    <x v="0"/>
    <s v="yes"/>
    <s v="Yes"/>
    <x v="0"/>
  </r>
  <r>
    <n v="0"/>
    <x v="0"/>
    <n v="3"/>
    <x v="0"/>
    <s v="male"/>
    <x v="0"/>
    <n v="30"/>
    <n v="0"/>
    <n v="0"/>
    <n v="7.2249999999999996"/>
    <s v="Third"/>
    <s v="man"/>
    <x v="0"/>
    <x v="0"/>
    <x v="1"/>
    <s v="no"/>
    <s v="No"/>
    <x v="1"/>
  </r>
  <r>
    <n v="0"/>
    <x v="0"/>
    <n v="1"/>
    <x v="1"/>
    <s v="male"/>
    <x v="0"/>
    <n v="19"/>
    <n v="3"/>
    <n v="2"/>
    <n v="263"/>
    <s v="First"/>
    <s v="man"/>
    <x v="0"/>
    <x v="0"/>
    <x v="0"/>
    <s v="no"/>
    <s v="No"/>
    <x v="0"/>
  </r>
  <r>
    <n v="1"/>
    <x v="1"/>
    <n v="3"/>
    <x v="0"/>
    <s v="female"/>
    <x v="1"/>
    <n v="30"/>
    <n v="0"/>
    <n v="0"/>
    <n v="7.8792"/>
    <s v="Third"/>
    <s v="woman"/>
    <x v="1"/>
    <x v="1"/>
    <x v="2"/>
    <s v="yes"/>
    <s v="Yes"/>
    <x v="1"/>
  </r>
  <r>
    <n v="0"/>
    <x v="0"/>
    <n v="3"/>
    <x v="0"/>
    <s v="male"/>
    <x v="0"/>
    <n v="30"/>
    <n v="0"/>
    <n v="0"/>
    <n v="7.8958000000000004"/>
    <s v="Third"/>
    <s v="man"/>
    <x v="0"/>
    <x v="0"/>
    <x v="0"/>
    <s v="no"/>
    <s v="No"/>
    <x v="1"/>
  </r>
  <r>
    <n v="0"/>
    <x v="0"/>
    <n v="1"/>
    <x v="1"/>
    <s v="male"/>
    <x v="0"/>
    <n v="40"/>
    <n v="0"/>
    <n v="0"/>
    <n v="27.720800000000001"/>
    <s v="First"/>
    <s v="man"/>
    <x v="0"/>
    <x v="0"/>
    <x v="1"/>
    <s v="no"/>
    <s v="No"/>
    <x v="1"/>
  </r>
  <r>
    <n v="1"/>
    <x v="1"/>
    <n v="1"/>
    <x v="1"/>
    <s v="female"/>
    <x v="1"/>
    <n v="30"/>
    <n v="1"/>
    <n v="0"/>
    <n v="146.52080000000001"/>
    <s v="First"/>
    <s v="woman"/>
    <x v="1"/>
    <x v="1"/>
    <x v="1"/>
    <s v="yes"/>
    <s v="Yes"/>
    <x v="0"/>
  </r>
  <r>
    <n v="1"/>
    <x v="1"/>
    <n v="3"/>
    <x v="0"/>
    <s v="female"/>
    <x v="1"/>
    <n v="30"/>
    <n v="0"/>
    <n v="0"/>
    <n v="7.75"/>
    <s v="Third"/>
    <s v="woman"/>
    <x v="1"/>
    <x v="1"/>
    <x v="2"/>
    <s v="yes"/>
    <s v="Yes"/>
    <x v="1"/>
  </r>
  <r>
    <n v="0"/>
    <x v="0"/>
    <n v="2"/>
    <x v="2"/>
    <s v="male"/>
    <x v="0"/>
    <n v="66"/>
    <n v="0"/>
    <n v="0"/>
    <n v="10.5"/>
    <s v="Second"/>
    <s v="man"/>
    <x v="0"/>
    <x v="0"/>
    <x v="0"/>
    <s v="no"/>
    <s v="No"/>
    <x v="1"/>
  </r>
  <r>
    <n v="0"/>
    <x v="0"/>
    <n v="1"/>
    <x v="1"/>
    <s v="male"/>
    <x v="0"/>
    <n v="28"/>
    <n v="1"/>
    <n v="0"/>
    <n v="82.1708"/>
    <s v="First"/>
    <s v="man"/>
    <x v="0"/>
    <x v="0"/>
    <x v="1"/>
    <s v="no"/>
    <s v="No"/>
    <x v="0"/>
  </r>
  <r>
    <n v="0"/>
    <x v="0"/>
    <n v="1"/>
    <x v="1"/>
    <s v="male"/>
    <x v="0"/>
    <n v="42"/>
    <n v="1"/>
    <n v="0"/>
    <n v="52"/>
    <s v="First"/>
    <s v="man"/>
    <x v="0"/>
    <x v="0"/>
    <x v="0"/>
    <s v="no"/>
    <s v="No"/>
    <x v="0"/>
  </r>
  <r>
    <n v="1"/>
    <x v="1"/>
    <n v="3"/>
    <x v="0"/>
    <s v="male"/>
    <x v="0"/>
    <n v="30"/>
    <n v="0"/>
    <n v="0"/>
    <n v="7.2291999999999996"/>
    <s v="Third"/>
    <s v="man"/>
    <x v="0"/>
    <x v="0"/>
    <x v="1"/>
    <s v="yes"/>
    <s v="Yes"/>
    <x v="1"/>
  </r>
  <r>
    <n v="0"/>
    <x v="0"/>
    <n v="3"/>
    <x v="0"/>
    <s v="male"/>
    <x v="0"/>
    <n v="21"/>
    <n v="0"/>
    <n v="0"/>
    <n v="8.0500000000000007"/>
    <s v="Third"/>
    <s v="man"/>
    <x v="0"/>
    <x v="0"/>
    <x v="0"/>
    <s v="no"/>
    <s v="No"/>
    <x v="1"/>
  </r>
  <r>
    <n v="0"/>
    <x v="0"/>
    <n v="3"/>
    <x v="0"/>
    <s v="female"/>
    <x v="1"/>
    <n v="18"/>
    <n v="2"/>
    <n v="0"/>
    <n v="18"/>
    <s v="Third"/>
    <s v="woman"/>
    <x v="1"/>
    <x v="1"/>
    <x v="0"/>
    <s v="no"/>
    <s v="No"/>
    <x v="0"/>
  </r>
  <r>
    <n v="1"/>
    <x v="1"/>
    <n v="3"/>
    <x v="0"/>
    <s v="female"/>
    <x v="1"/>
    <n v="14"/>
    <n v="1"/>
    <n v="0"/>
    <n v="11.2417"/>
    <s v="Third"/>
    <s v="child"/>
    <x v="2"/>
    <x v="1"/>
    <x v="1"/>
    <s v="yes"/>
    <s v="Yes"/>
    <x v="0"/>
  </r>
  <r>
    <n v="0"/>
    <x v="0"/>
    <n v="3"/>
    <x v="0"/>
    <s v="female"/>
    <x v="1"/>
    <n v="40"/>
    <n v="1"/>
    <n v="0"/>
    <n v="9.4749999999999996"/>
    <s v="Third"/>
    <s v="woman"/>
    <x v="1"/>
    <x v="1"/>
    <x v="0"/>
    <s v="no"/>
    <s v="No"/>
    <x v="0"/>
  </r>
  <r>
    <n v="0"/>
    <x v="0"/>
    <n v="2"/>
    <x v="2"/>
    <s v="female"/>
    <x v="1"/>
    <n v="27"/>
    <n v="1"/>
    <n v="0"/>
    <n v="21"/>
    <s v="Second"/>
    <s v="woman"/>
    <x v="1"/>
    <x v="1"/>
    <x v="0"/>
    <s v="no"/>
    <s v="No"/>
    <x v="0"/>
  </r>
  <r>
    <n v="0"/>
    <x v="0"/>
    <n v="3"/>
    <x v="0"/>
    <s v="male"/>
    <x v="0"/>
    <n v="30"/>
    <n v="0"/>
    <n v="0"/>
    <n v="7.8958000000000004"/>
    <s v="Third"/>
    <s v="man"/>
    <x v="0"/>
    <x v="0"/>
    <x v="1"/>
    <s v="no"/>
    <s v="No"/>
    <x v="1"/>
  </r>
  <r>
    <n v="1"/>
    <x v="1"/>
    <n v="2"/>
    <x v="2"/>
    <s v="female"/>
    <x v="1"/>
    <n v="3"/>
    <n v="1"/>
    <n v="2"/>
    <n v="41.5792"/>
    <s v="Second"/>
    <s v="child"/>
    <x v="2"/>
    <x v="1"/>
    <x v="1"/>
    <s v="yes"/>
    <s v="Yes"/>
    <x v="0"/>
  </r>
  <r>
    <n v="1"/>
    <x v="1"/>
    <n v="3"/>
    <x v="0"/>
    <s v="female"/>
    <x v="1"/>
    <n v="19"/>
    <n v="0"/>
    <n v="0"/>
    <n v="7.8792"/>
    <s v="Third"/>
    <s v="woman"/>
    <x v="1"/>
    <x v="1"/>
    <x v="2"/>
    <s v="yes"/>
    <s v="Yes"/>
    <x v="1"/>
  </r>
  <r>
    <n v="0"/>
    <x v="0"/>
    <n v="3"/>
    <x v="0"/>
    <s v="male"/>
    <x v="0"/>
    <n v="30"/>
    <n v="0"/>
    <n v="0"/>
    <n v="8.0500000000000007"/>
    <s v="Third"/>
    <s v="man"/>
    <x v="0"/>
    <x v="0"/>
    <x v="0"/>
    <s v="no"/>
    <s v="No"/>
    <x v="1"/>
  </r>
  <r>
    <n v="0"/>
    <x v="0"/>
    <n v="3"/>
    <x v="0"/>
    <s v="male"/>
    <x v="0"/>
    <n v="30"/>
    <n v="1"/>
    <n v="0"/>
    <n v="15.5"/>
    <s v="Third"/>
    <s v="man"/>
    <x v="0"/>
    <x v="0"/>
    <x v="2"/>
    <s v="no"/>
    <s v="No"/>
    <x v="0"/>
  </r>
  <r>
    <n v="1"/>
    <x v="1"/>
    <n v="3"/>
    <x v="0"/>
    <s v="female"/>
    <x v="1"/>
    <n v="30"/>
    <n v="0"/>
    <n v="0"/>
    <n v="7.75"/>
    <s v="Third"/>
    <s v="woman"/>
    <x v="1"/>
    <x v="1"/>
    <x v="2"/>
    <s v="yes"/>
    <s v="Yes"/>
    <x v="1"/>
  </r>
  <r>
    <n v="0"/>
    <x v="0"/>
    <n v="3"/>
    <x v="0"/>
    <s v="male"/>
    <x v="0"/>
    <n v="30"/>
    <n v="2"/>
    <n v="0"/>
    <n v="21.679200000000002"/>
    <s v="Third"/>
    <s v="man"/>
    <x v="0"/>
    <x v="0"/>
    <x v="1"/>
    <s v="no"/>
    <s v="No"/>
    <x v="0"/>
  </r>
  <r>
    <n v="0"/>
    <x v="0"/>
    <n v="3"/>
    <x v="0"/>
    <s v="female"/>
    <x v="1"/>
    <n v="18"/>
    <n v="1"/>
    <n v="0"/>
    <n v="17.8"/>
    <s v="Third"/>
    <s v="woman"/>
    <x v="1"/>
    <x v="1"/>
    <x v="0"/>
    <s v="no"/>
    <s v="No"/>
    <x v="0"/>
  </r>
  <r>
    <n v="0"/>
    <x v="0"/>
    <n v="3"/>
    <x v="0"/>
    <s v="male"/>
    <x v="0"/>
    <n v="7"/>
    <n v="4"/>
    <n v="1"/>
    <n v="39.6875"/>
    <s v="Third"/>
    <s v="child"/>
    <x v="2"/>
    <x v="1"/>
    <x v="0"/>
    <s v="no"/>
    <s v="No"/>
    <x v="0"/>
  </r>
  <r>
    <n v="0"/>
    <x v="0"/>
    <n v="3"/>
    <x v="0"/>
    <s v="male"/>
    <x v="0"/>
    <n v="21"/>
    <n v="0"/>
    <n v="0"/>
    <n v="7.8"/>
    <s v="Third"/>
    <s v="man"/>
    <x v="0"/>
    <x v="0"/>
    <x v="0"/>
    <s v="no"/>
    <s v="No"/>
    <x v="1"/>
  </r>
  <r>
    <n v="1"/>
    <x v="1"/>
    <n v="1"/>
    <x v="1"/>
    <s v="female"/>
    <x v="1"/>
    <n v="49"/>
    <n v="1"/>
    <n v="0"/>
    <n v="76.729200000000006"/>
    <s v="First"/>
    <s v="woman"/>
    <x v="1"/>
    <x v="1"/>
    <x v="1"/>
    <s v="yes"/>
    <s v="Yes"/>
    <x v="0"/>
  </r>
  <r>
    <n v="1"/>
    <x v="1"/>
    <n v="2"/>
    <x v="2"/>
    <s v="female"/>
    <x v="1"/>
    <n v="29"/>
    <n v="1"/>
    <n v="0"/>
    <n v="26"/>
    <s v="Second"/>
    <s v="woman"/>
    <x v="1"/>
    <x v="1"/>
    <x v="0"/>
    <s v="yes"/>
    <s v="Yes"/>
    <x v="0"/>
  </r>
  <r>
    <n v="0"/>
    <x v="0"/>
    <n v="1"/>
    <x v="1"/>
    <s v="male"/>
    <x v="0"/>
    <n v="65"/>
    <n v="0"/>
    <n v="1"/>
    <n v="61.979199999999999"/>
    <s v="First"/>
    <s v="man"/>
    <x v="0"/>
    <x v="0"/>
    <x v="1"/>
    <s v="no"/>
    <s v="No"/>
    <x v="0"/>
  </r>
  <r>
    <n v="1"/>
    <x v="1"/>
    <n v="1"/>
    <x v="1"/>
    <s v="male"/>
    <x v="0"/>
    <n v="30"/>
    <n v="0"/>
    <n v="0"/>
    <n v="35.5"/>
    <s v="First"/>
    <s v="man"/>
    <x v="0"/>
    <x v="0"/>
    <x v="0"/>
    <s v="yes"/>
    <s v="Yes"/>
    <x v="1"/>
  </r>
  <r>
    <n v="1"/>
    <x v="1"/>
    <n v="2"/>
    <x v="2"/>
    <s v="female"/>
    <x v="1"/>
    <n v="21"/>
    <n v="0"/>
    <n v="0"/>
    <n v="10.5"/>
    <s v="Second"/>
    <s v="woman"/>
    <x v="1"/>
    <x v="1"/>
    <x v="0"/>
    <s v="yes"/>
    <s v="Yes"/>
    <x v="1"/>
  </r>
  <r>
    <n v="0"/>
    <x v="0"/>
    <n v="3"/>
    <x v="0"/>
    <s v="male"/>
    <x v="0"/>
    <n v="28.5"/>
    <n v="0"/>
    <n v="0"/>
    <n v="7.2291999999999996"/>
    <s v="Third"/>
    <s v="man"/>
    <x v="0"/>
    <x v="0"/>
    <x v="1"/>
    <s v="no"/>
    <s v="No"/>
    <x v="1"/>
  </r>
  <r>
    <n v="1"/>
    <x v="1"/>
    <n v="2"/>
    <x v="2"/>
    <s v="female"/>
    <x v="1"/>
    <n v="5"/>
    <n v="1"/>
    <n v="2"/>
    <n v="27.75"/>
    <s v="Second"/>
    <s v="child"/>
    <x v="2"/>
    <x v="1"/>
    <x v="0"/>
    <s v="yes"/>
    <s v="Yes"/>
    <x v="0"/>
  </r>
  <r>
    <n v="0"/>
    <x v="0"/>
    <n v="3"/>
    <x v="0"/>
    <s v="male"/>
    <x v="0"/>
    <n v="11"/>
    <n v="5"/>
    <n v="2"/>
    <n v="46.9"/>
    <s v="Third"/>
    <s v="child"/>
    <x v="2"/>
    <x v="1"/>
    <x v="0"/>
    <s v="no"/>
    <s v="No"/>
    <x v="0"/>
  </r>
  <r>
    <n v="0"/>
    <x v="0"/>
    <n v="3"/>
    <x v="0"/>
    <s v="male"/>
    <x v="0"/>
    <n v="22"/>
    <n v="0"/>
    <n v="0"/>
    <n v="7.2291999999999996"/>
    <s v="Third"/>
    <s v="man"/>
    <x v="0"/>
    <x v="0"/>
    <x v="1"/>
    <s v="no"/>
    <s v="No"/>
    <x v="1"/>
  </r>
  <r>
    <n v="1"/>
    <x v="1"/>
    <n v="1"/>
    <x v="1"/>
    <s v="female"/>
    <x v="1"/>
    <n v="38"/>
    <n v="0"/>
    <n v="0"/>
    <n v="80"/>
    <s v="First"/>
    <s v="woman"/>
    <x v="1"/>
    <x v="1"/>
    <x v="0"/>
    <s v="yes"/>
    <s v="Yes"/>
    <x v="1"/>
  </r>
  <r>
    <n v="0"/>
    <x v="0"/>
    <n v="1"/>
    <x v="1"/>
    <s v="male"/>
    <x v="0"/>
    <n v="45"/>
    <n v="1"/>
    <n v="0"/>
    <n v="83.474999999999994"/>
    <s v="First"/>
    <s v="man"/>
    <x v="0"/>
    <x v="0"/>
    <x v="0"/>
    <s v="no"/>
    <s v="No"/>
    <x v="0"/>
  </r>
  <r>
    <n v="0"/>
    <x v="0"/>
    <n v="3"/>
    <x v="0"/>
    <s v="male"/>
    <x v="0"/>
    <n v="4"/>
    <n v="3"/>
    <n v="2"/>
    <n v="27.9"/>
    <s v="Third"/>
    <s v="child"/>
    <x v="2"/>
    <x v="1"/>
    <x v="0"/>
    <s v="no"/>
    <s v="No"/>
    <x v="0"/>
  </r>
  <r>
    <n v="0"/>
    <x v="0"/>
    <n v="1"/>
    <x v="1"/>
    <s v="male"/>
    <x v="0"/>
    <n v="30"/>
    <n v="0"/>
    <n v="0"/>
    <n v="27.720800000000001"/>
    <s v="First"/>
    <s v="man"/>
    <x v="0"/>
    <x v="0"/>
    <x v="1"/>
    <s v="no"/>
    <s v="No"/>
    <x v="1"/>
  </r>
  <r>
    <n v="1"/>
    <x v="1"/>
    <n v="3"/>
    <x v="0"/>
    <s v="male"/>
    <x v="0"/>
    <n v="30"/>
    <n v="1"/>
    <n v="1"/>
    <n v="15.245799999999999"/>
    <s v="Third"/>
    <s v="man"/>
    <x v="0"/>
    <x v="0"/>
    <x v="1"/>
    <s v="yes"/>
    <s v="Yes"/>
    <x v="0"/>
  </r>
  <r>
    <n v="1"/>
    <x v="1"/>
    <n v="2"/>
    <x v="2"/>
    <s v="female"/>
    <x v="1"/>
    <n v="29"/>
    <n v="0"/>
    <n v="0"/>
    <n v="10.5"/>
    <s v="Second"/>
    <s v="woman"/>
    <x v="1"/>
    <x v="1"/>
    <x v="0"/>
    <s v="yes"/>
    <s v="Yes"/>
    <x v="1"/>
  </r>
  <r>
    <n v="0"/>
    <x v="0"/>
    <n v="3"/>
    <x v="0"/>
    <s v="male"/>
    <x v="0"/>
    <n v="19"/>
    <n v="0"/>
    <n v="0"/>
    <n v="8.1583000000000006"/>
    <s v="Third"/>
    <s v="man"/>
    <x v="0"/>
    <x v="0"/>
    <x v="0"/>
    <s v="no"/>
    <s v="No"/>
    <x v="1"/>
  </r>
  <r>
    <n v="1"/>
    <x v="1"/>
    <n v="3"/>
    <x v="0"/>
    <s v="female"/>
    <x v="1"/>
    <n v="17"/>
    <n v="4"/>
    <n v="2"/>
    <n v="7.9249999999999998"/>
    <s v="Third"/>
    <s v="woman"/>
    <x v="1"/>
    <x v="1"/>
    <x v="0"/>
    <s v="yes"/>
    <s v="Yes"/>
    <x v="0"/>
  </r>
  <r>
    <n v="0"/>
    <x v="0"/>
    <n v="3"/>
    <x v="0"/>
    <s v="male"/>
    <x v="0"/>
    <n v="26"/>
    <n v="2"/>
    <n v="0"/>
    <n v="8.6624999999999996"/>
    <s v="Third"/>
    <s v="man"/>
    <x v="0"/>
    <x v="0"/>
    <x v="0"/>
    <s v="no"/>
    <s v="No"/>
    <x v="0"/>
  </r>
  <r>
    <n v="0"/>
    <x v="0"/>
    <n v="2"/>
    <x v="2"/>
    <s v="male"/>
    <x v="0"/>
    <n v="32"/>
    <n v="0"/>
    <n v="0"/>
    <n v="10.5"/>
    <s v="Second"/>
    <s v="man"/>
    <x v="0"/>
    <x v="0"/>
    <x v="0"/>
    <s v="no"/>
    <s v="No"/>
    <x v="1"/>
  </r>
  <r>
    <n v="0"/>
    <x v="0"/>
    <n v="3"/>
    <x v="0"/>
    <s v="female"/>
    <x v="1"/>
    <n v="16"/>
    <n v="5"/>
    <n v="2"/>
    <n v="46.9"/>
    <s v="Third"/>
    <s v="woman"/>
    <x v="1"/>
    <x v="1"/>
    <x v="0"/>
    <s v="no"/>
    <s v="No"/>
    <x v="0"/>
  </r>
  <r>
    <n v="0"/>
    <x v="0"/>
    <n v="2"/>
    <x v="2"/>
    <s v="male"/>
    <x v="0"/>
    <n v="21"/>
    <n v="0"/>
    <n v="0"/>
    <n v="73.5"/>
    <s v="Second"/>
    <s v="man"/>
    <x v="0"/>
    <x v="0"/>
    <x v="0"/>
    <s v="no"/>
    <s v="No"/>
    <x v="1"/>
  </r>
  <r>
    <n v="0"/>
    <x v="0"/>
    <n v="3"/>
    <x v="0"/>
    <s v="male"/>
    <x v="0"/>
    <n v="26"/>
    <n v="1"/>
    <n v="0"/>
    <n v="14.4542"/>
    <s v="Third"/>
    <s v="man"/>
    <x v="0"/>
    <x v="0"/>
    <x v="1"/>
    <s v="no"/>
    <s v="No"/>
    <x v="0"/>
  </r>
  <r>
    <n v="1"/>
    <x v="1"/>
    <n v="3"/>
    <x v="0"/>
    <s v="male"/>
    <x v="0"/>
    <n v="32"/>
    <n v="0"/>
    <n v="0"/>
    <n v="56.495800000000003"/>
    <s v="Third"/>
    <s v="man"/>
    <x v="0"/>
    <x v="0"/>
    <x v="0"/>
    <s v="yes"/>
    <s v="Yes"/>
    <x v="1"/>
  </r>
  <r>
    <n v="0"/>
    <x v="0"/>
    <n v="3"/>
    <x v="0"/>
    <s v="male"/>
    <x v="0"/>
    <n v="25"/>
    <n v="0"/>
    <n v="0"/>
    <n v="7.65"/>
    <s v="Third"/>
    <s v="man"/>
    <x v="0"/>
    <x v="0"/>
    <x v="0"/>
    <s v="no"/>
    <s v="No"/>
    <x v="1"/>
  </r>
  <r>
    <n v="0"/>
    <x v="0"/>
    <n v="3"/>
    <x v="0"/>
    <s v="male"/>
    <x v="0"/>
    <n v="30"/>
    <n v="0"/>
    <n v="0"/>
    <n v="7.8958000000000004"/>
    <s v="Third"/>
    <s v="man"/>
    <x v="0"/>
    <x v="0"/>
    <x v="0"/>
    <s v="no"/>
    <s v="No"/>
    <x v="1"/>
  </r>
  <r>
    <n v="0"/>
    <x v="0"/>
    <n v="3"/>
    <x v="0"/>
    <s v="male"/>
    <x v="0"/>
    <n v="30"/>
    <n v="0"/>
    <n v="0"/>
    <n v="8.0500000000000007"/>
    <s v="Third"/>
    <s v="man"/>
    <x v="0"/>
    <x v="0"/>
    <x v="0"/>
    <s v="no"/>
    <s v="No"/>
    <x v="1"/>
  </r>
  <r>
    <n v="1"/>
    <x v="1"/>
    <n v="2"/>
    <x v="2"/>
    <s v="male"/>
    <x v="0"/>
    <n v="0.83"/>
    <n v="0"/>
    <n v="2"/>
    <n v="29"/>
    <s v="Second"/>
    <s v="child"/>
    <x v="2"/>
    <x v="1"/>
    <x v="0"/>
    <s v="yes"/>
    <s v="Yes"/>
    <x v="0"/>
  </r>
  <r>
    <n v="1"/>
    <x v="1"/>
    <n v="3"/>
    <x v="0"/>
    <s v="female"/>
    <x v="1"/>
    <n v="30"/>
    <n v="0"/>
    <n v="0"/>
    <n v="12.475"/>
    <s v="Third"/>
    <s v="woman"/>
    <x v="1"/>
    <x v="1"/>
    <x v="0"/>
    <s v="yes"/>
    <s v="Yes"/>
    <x v="1"/>
  </r>
  <r>
    <n v="0"/>
    <x v="0"/>
    <n v="3"/>
    <x v="0"/>
    <s v="male"/>
    <x v="0"/>
    <n v="22"/>
    <n v="0"/>
    <n v="0"/>
    <n v="9"/>
    <s v="Third"/>
    <s v="man"/>
    <x v="0"/>
    <x v="0"/>
    <x v="0"/>
    <s v="no"/>
    <s v="No"/>
    <x v="1"/>
  </r>
  <r>
    <n v="1"/>
    <x v="1"/>
    <n v="3"/>
    <x v="0"/>
    <s v="male"/>
    <x v="0"/>
    <n v="29"/>
    <n v="0"/>
    <n v="0"/>
    <n v="9.5"/>
    <s v="Third"/>
    <s v="man"/>
    <x v="0"/>
    <x v="0"/>
    <x v="0"/>
    <s v="yes"/>
    <s v="Yes"/>
    <x v="1"/>
  </r>
  <r>
    <n v="1"/>
    <x v="1"/>
    <n v="3"/>
    <x v="0"/>
    <s v="female"/>
    <x v="1"/>
    <n v="30"/>
    <n v="0"/>
    <n v="0"/>
    <n v="7.7874999999999996"/>
    <s v="Third"/>
    <s v="woman"/>
    <x v="1"/>
    <x v="1"/>
    <x v="2"/>
    <s v="yes"/>
    <s v="Yes"/>
    <x v="1"/>
  </r>
  <r>
    <n v="0"/>
    <x v="0"/>
    <n v="1"/>
    <x v="1"/>
    <s v="male"/>
    <x v="0"/>
    <n v="28"/>
    <n v="0"/>
    <n v="0"/>
    <n v="47.1"/>
    <s v="First"/>
    <s v="man"/>
    <x v="0"/>
    <x v="0"/>
    <x v="0"/>
    <s v="no"/>
    <s v="No"/>
    <x v="1"/>
  </r>
  <r>
    <n v="1"/>
    <x v="1"/>
    <n v="2"/>
    <x v="2"/>
    <s v="female"/>
    <x v="1"/>
    <n v="17"/>
    <n v="0"/>
    <n v="0"/>
    <n v="10.5"/>
    <s v="Second"/>
    <s v="woman"/>
    <x v="1"/>
    <x v="1"/>
    <x v="0"/>
    <s v="yes"/>
    <s v="Yes"/>
    <x v="1"/>
  </r>
  <r>
    <n v="1"/>
    <x v="1"/>
    <n v="3"/>
    <x v="0"/>
    <s v="female"/>
    <x v="1"/>
    <n v="33"/>
    <n v="3"/>
    <n v="0"/>
    <n v="15.85"/>
    <s v="Third"/>
    <s v="woman"/>
    <x v="1"/>
    <x v="1"/>
    <x v="0"/>
    <s v="yes"/>
    <s v="Yes"/>
    <x v="0"/>
  </r>
  <r>
    <n v="0"/>
    <x v="0"/>
    <n v="3"/>
    <x v="0"/>
    <s v="male"/>
    <x v="0"/>
    <n v="16"/>
    <n v="1"/>
    <n v="3"/>
    <n v="34.375"/>
    <s v="Third"/>
    <s v="man"/>
    <x v="0"/>
    <x v="0"/>
    <x v="0"/>
    <s v="no"/>
    <s v="No"/>
    <x v="0"/>
  </r>
  <r>
    <n v="0"/>
    <x v="0"/>
    <n v="3"/>
    <x v="0"/>
    <s v="male"/>
    <x v="0"/>
    <n v="30"/>
    <n v="0"/>
    <n v="0"/>
    <n v="8.0500000000000007"/>
    <s v="Third"/>
    <s v="man"/>
    <x v="0"/>
    <x v="0"/>
    <x v="0"/>
    <s v="no"/>
    <s v="No"/>
    <x v="1"/>
  </r>
  <r>
    <n v="1"/>
    <x v="1"/>
    <n v="1"/>
    <x v="1"/>
    <s v="female"/>
    <x v="1"/>
    <n v="23"/>
    <n v="3"/>
    <n v="2"/>
    <n v="263"/>
    <s v="First"/>
    <s v="woman"/>
    <x v="1"/>
    <x v="1"/>
    <x v="0"/>
    <s v="yes"/>
    <s v="Yes"/>
    <x v="0"/>
  </r>
  <r>
    <n v="0"/>
    <x v="0"/>
    <n v="3"/>
    <x v="0"/>
    <s v="male"/>
    <x v="0"/>
    <n v="24"/>
    <n v="0"/>
    <n v="0"/>
    <n v="8.0500000000000007"/>
    <s v="Third"/>
    <s v="man"/>
    <x v="0"/>
    <x v="0"/>
    <x v="0"/>
    <s v="no"/>
    <s v="No"/>
    <x v="1"/>
  </r>
  <r>
    <n v="0"/>
    <x v="0"/>
    <n v="3"/>
    <x v="0"/>
    <s v="male"/>
    <x v="0"/>
    <n v="29"/>
    <n v="0"/>
    <n v="0"/>
    <n v="8.0500000000000007"/>
    <s v="Third"/>
    <s v="man"/>
    <x v="0"/>
    <x v="0"/>
    <x v="0"/>
    <s v="no"/>
    <s v="No"/>
    <x v="1"/>
  </r>
  <r>
    <n v="0"/>
    <x v="0"/>
    <n v="3"/>
    <x v="0"/>
    <s v="male"/>
    <x v="0"/>
    <n v="20"/>
    <n v="0"/>
    <n v="0"/>
    <n v="7.8541999999999996"/>
    <s v="Third"/>
    <s v="man"/>
    <x v="0"/>
    <x v="0"/>
    <x v="0"/>
    <s v="no"/>
    <s v="No"/>
    <x v="1"/>
  </r>
  <r>
    <n v="0"/>
    <x v="0"/>
    <n v="1"/>
    <x v="1"/>
    <s v="male"/>
    <x v="0"/>
    <n v="46"/>
    <n v="1"/>
    <n v="0"/>
    <n v="61.174999999999997"/>
    <s v="First"/>
    <s v="man"/>
    <x v="0"/>
    <x v="0"/>
    <x v="0"/>
    <s v="no"/>
    <s v="No"/>
    <x v="0"/>
  </r>
  <r>
    <n v="0"/>
    <x v="0"/>
    <n v="3"/>
    <x v="0"/>
    <s v="male"/>
    <x v="0"/>
    <n v="26"/>
    <n v="1"/>
    <n v="2"/>
    <n v="20.574999999999999"/>
    <s v="Third"/>
    <s v="man"/>
    <x v="0"/>
    <x v="0"/>
    <x v="0"/>
    <s v="no"/>
    <s v="No"/>
    <x v="0"/>
  </r>
  <r>
    <n v="0"/>
    <x v="0"/>
    <n v="3"/>
    <x v="0"/>
    <s v="male"/>
    <x v="0"/>
    <n v="59"/>
    <n v="0"/>
    <n v="0"/>
    <n v="7.25"/>
    <s v="Third"/>
    <s v="man"/>
    <x v="0"/>
    <x v="0"/>
    <x v="0"/>
    <s v="no"/>
    <s v="No"/>
    <x v="1"/>
  </r>
  <r>
    <n v="0"/>
    <x v="0"/>
    <n v="3"/>
    <x v="0"/>
    <s v="male"/>
    <x v="0"/>
    <n v="30"/>
    <n v="0"/>
    <n v="0"/>
    <n v="8.0500000000000007"/>
    <s v="Third"/>
    <s v="man"/>
    <x v="0"/>
    <x v="0"/>
    <x v="0"/>
    <s v="no"/>
    <s v="No"/>
    <x v="1"/>
  </r>
  <r>
    <n v="0"/>
    <x v="0"/>
    <n v="1"/>
    <x v="1"/>
    <s v="male"/>
    <x v="0"/>
    <n v="71"/>
    <n v="0"/>
    <n v="0"/>
    <n v="34.654200000000003"/>
    <s v="First"/>
    <s v="man"/>
    <x v="0"/>
    <x v="0"/>
    <x v="1"/>
    <s v="no"/>
    <s v="No"/>
    <x v="1"/>
  </r>
  <r>
    <n v="1"/>
    <x v="1"/>
    <n v="1"/>
    <x v="1"/>
    <s v="male"/>
    <x v="0"/>
    <n v="23"/>
    <n v="0"/>
    <n v="1"/>
    <n v="63.3583"/>
    <s v="First"/>
    <s v="man"/>
    <x v="0"/>
    <x v="0"/>
    <x v="1"/>
    <s v="yes"/>
    <s v="Yes"/>
    <x v="0"/>
  </r>
  <r>
    <n v="1"/>
    <x v="1"/>
    <n v="2"/>
    <x v="2"/>
    <s v="female"/>
    <x v="1"/>
    <n v="34"/>
    <n v="0"/>
    <n v="1"/>
    <n v="23"/>
    <s v="Second"/>
    <s v="woman"/>
    <x v="1"/>
    <x v="1"/>
    <x v="0"/>
    <s v="yes"/>
    <s v="Yes"/>
    <x v="0"/>
  </r>
  <r>
    <n v="0"/>
    <x v="0"/>
    <n v="2"/>
    <x v="2"/>
    <s v="male"/>
    <x v="0"/>
    <n v="34"/>
    <n v="1"/>
    <n v="0"/>
    <n v="26"/>
    <s v="Second"/>
    <s v="man"/>
    <x v="0"/>
    <x v="0"/>
    <x v="0"/>
    <s v="no"/>
    <s v="No"/>
    <x v="0"/>
  </r>
  <r>
    <n v="0"/>
    <x v="0"/>
    <n v="3"/>
    <x v="0"/>
    <s v="female"/>
    <x v="1"/>
    <n v="28"/>
    <n v="0"/>
    <n v="0"/>
    <n v="7.8958000000000004"/>
    <s v="Third"/>
    <s v="woman"/>
    <x v="1"/>
    <x v="1"/>
    <x v="0"/>
    <s v="no"/>
    <s v="No"/>
    <x v="1"/>
  </r>
  <r>
    <n v="0"/>
    <x v="0"/>
    <n v="3"/>
    <x v="0"/>
    <s v="male"/>
    <x v="0"/>
    <n v="30"/>
    <n v="0"/>
    <n v="0"/>
    <n v="7.8958000000000004"/>
    <s v="Third"/>
    <s v="man"/>
    <x v="0"/>
    <x v="0"/>
    <x v="0"/>
    <s v="no"/>
    <s v="No"/>
    <x v="1"/>
  </r>
  <r>
    <n v="0"/>
    <x v="0"/>
    <n v="1"/>
    <x v="1"/>
    <s v="male"/>
    <x v="0"/>
    <n v="21"/>
    <n v="0"/>
    <n v="1"/>
    <n v="77.287499999999994"/>
    <s v="First"/>
    <s v="man"/>
    <x v="0"/>
    <x v="0"/>
    <x v="0"/>
    <s v="no"/>
    <s v="No"/>
    <x v="0"/>
  </r>
  <r>
    <n v="0"/>
    <x v="0"/>
    <n v="3"/>
    <x v="0"/>
    <s v="male"/>
    <x v="0"/>
    <n v="33"/>
    <n v="0"/>
    <n v="0"/>
    <n v="8.6541999999999994"/>
    <s v="Third"/>
    <s v="man"/>
    <x v="0"/>
    <x v="0"/>
    <x v="0"/>
    <s v="no"/>
    <s v="No"/>
    <x v="1"/>
  </r>
  <r>
    <n v="0"/>
    <x v="0"/>
    <n v="3"/>
    <x v="0"/>
    <s v="male"/>
    <x v="0"/>
    <n v="37"/>
    <n v="2"/>
    <n v="0"/>
    <n v="7.9249999999999998"/>
    <s v="Third"/>
    <s v="man"/>
    <x v="0"/>
    <x v="0"/>
    <x v="0"/>
    <s v="no"/>
    <s v="No"/>
    <x v="0"/>
  </r>
  <r>
    <n v="0"/>
    <x v="0"/>
    <n v="3"/>
    <x v="0"/>
    <s v="male"/>
    <x v="0"/>
    <n v="28"/>
    <n v="0"/>
    <n v="0"/>
    <n v="7.8958000000000004"/>
    <s v="Third"/>
    <s v="man"/>
    <x v="0"/>
    <x v="0"/>
    <x v="0"/>
    <s v="no"/>
    <s v="No"/>
    <x v="1"/>
  </r>
  <r>
    <n v="1"/>
    <x v="1"/>
    <n v="3"/>
    <x v="0"/>
    <s v="female"/>
    <x v="1"/>
    <n v="21"/>
    <n v="0"/>
    <n v="0"/>
    <n v="7.65"/>
    <s v="Third"/>
    <s v="woman"/>
    <x v="1"/>
    <x v="1"/>
    <x v="0"/>
    <s v="yes"/>
    <s v="Yes"/>
    <x v="1"/>
  </r>
  <r>
    <n v="1"/>
    <x v="1"/>
    <n v="3"/>
    <x v="0"/>
    <s v="male"/>
    <x v="0"/>
    <n v="30"/>
    <n v="0"/>
    <n v="0"/>
    <n v="7.7750000000000004"/>
    <s v="Third"/>
    <s v="man"/>
    <x v="0"/>
    <x v="0"/>
    <x v="0"/>
    <s v="yes"/>
    <s v="Yes"/>
    <x v="1"/>
  </r>
  <r>
    <n v="0"/>
    <x v="0"/>
    <n v="3"/>
    <x v="0"/>
    <s v="male"/>
    <x v="0"/>
    <n v="38"/>
    <n v="0"/>
    <n v="0"/>
    <n v="7.8958000000000004"/>
    <s v="Third"/>
    <s v="man"/>
    <x v="0"/>
    <x v="0"/>
    <x v="0"/>
    <s v="no"/>
    <s v="No"/>
    <x v="1"/>
  </r>
  <r>
    <n v="1"/>
    <x v="1"/>
    <n v="3"/>
    <x v="0"/>
    <s v="female"/>
    <x v="1"/>
    <n v="30"/>
    <n v="1"/>
    <n v="0"/>
    <n v="24.15"/>
    <s v="Third"/>
    <s v="woman"/>
    <x v="1"/>
    <x v="1"/>
    <x v="2"/>
    <s v="yes"/>
    <s v="Yes"/>
    <x v="0"/>
  </r>
  <r>
    <n v="0"/>
    <x v="0"/>
    <n v="1"/>
    <x v="1"/>
    <s v="male"/>
    <x v="0"/>
    <n v="47"/>
    <n v="0"/>
    <n v="0"/>
    <n v="52"/>
    <s v="First"/>
    <s v="man"/>
    <x v="0"/>
    <x v="0"/>
    <x v="0"/>
    <s v="no"/>
    <s v="No"/>
    <x v="1"/>
  </r>
  <r>
    <n v="0"/>
    <x v="0"/>
    <n v="3"/>
    <x v="0"/>
    <s v="female"/>
    <x v="1"/>
    <n v="14.5"/>
    <n v="1"/>
    <n v="0"/>
    <n v="14.4542"/>
    <s v="Third"/>
    <s v="child"/>
    <x v="2"/>
    <x v="1"/>
    <x v="1"/>
    <s v="no"/>
    <s v="No"/>
    <x v="0"/>
  </r>
  <r>
    <n v="0"/>
    <x v="0"/>
    <n v="3"/>
    <x v="0"/>
    <s v="male"/>
    <x v="0"/>
    <n v="22"/>
    <n v="0"/>
    <n v="0"/>
    <n v="8.0500000000000007"/>
    <s v="Third"/>
    <s v="man"/>
    <x v="0"/>
    <x v="0"/>
    <x v="0"/>
    <s v="no"/>
    <s v="No"/>
    <x v="1"/>
  </r>
  <r>
    <n v="0"/>
    <x v="0"/>
    <n v="3"/>
    <x v="0"/>
    <s v="female"/>
    <x v="1"/>
    <n v="20"/>
    <n v="1"/>
    <n v="0"/>
    <n v="9.8249999999999993"/>
    <s v="Third"/>
    <s v="woman"/>
    <x v="1"/>
    <x v="1"/>
    <x v="0"/>
    <s v="no"/>
    <s v="No"/>
    <x v="0"/>
  </r>
  <r>
    <n v="0"/>
    <x v="0"/>
    <n v="3"/>
    <x v="0"/>
    <s v="female"/>
    <x v="1"/>
    <n v="17"/>
    <n v="0"/>
    <n v="0"/>
    <n v="14.458299999999999"/>
    <s v="Third"/>
    <s v="woman"/>
    <x v="1"/>
    <x v="1"/>
    <x v="1"/>
    <s v="no"/>
    <s v="No"/>
    <x v="1"/>
  </r>
  <r>
    <n v="0"/>
    <x v="0"/>
    <n v="3"/>
    <x v="0"/>
    <s v="male"/>
    <x v="0"/>
    <n v="21"/>
    <n v="0"/>
    <n v="0"/>
    <n v="7.9249999999999998"/>
    <s v="Third"/>
    <s v="man"/>
    <x v="0"/>
    <x v="0"/>
    <x v="0"/>
    <s v="no"/>
    <s v="No"/>
    <x v="1"/>
  </r>
  <r>
    <n v="0"/>
    <x v="0"/>
    <n v="3"/>
    <x v="0"/>
    <s v="male"/>
    <x v="0"/>
    <n v="70.5"/>
    <n v="0"/>
    <n v="0"/>
    <n v="7.75"/>
    <s v="Third"/>
    <s v="man"/>
    <x v="0"/>
    <x v="0"/>
    <x v="2"/>
    <s v="no"/>
    <s v="No"/>
    <x v="1"/>
  </r>
  <r>
    <n v="0"/>
    <x v="0"/>
    <n v="2"/>
    <x v="2"/>
    <s v="male"/>
    <x v="0"/>
    <n v="29"/>
    <n v="1"/>
    <n v="0"/>
    <n v="21"/>
    <s v="Second"/>
    <s v="man"/>
    <x v="0"/>
    <x v="0"/>
    <x v="0"/>
    <s v="no"/>
    <s v="No"/>
    <x v="0"/>
  </r>
  <r>
    <n v="0"/>
    <x v="0"/>
    <n v="1"/>
    <x v="1"/>
    <s v="male"/>
    <x v="0"/>
    <n v="24"/>
    <n v="0"/>
    <n v="1"/>
    <n v="247.52080000000001"/>
    <s v="First"/>
    <s v="man"/>
    <x v="0"/>
    <x v="0"/>
    <x v="1"/>
    <s v="no"/>
    <s v="No"/>
    <x v="0"/>
  </r>
  <r>
    <n v="0"/>
    <x v="0"/>
    <n v="3"/>
    <x v="0"/>
    <s v="female"/>
    <x v="1"/>
    <n v="2"/>
    <n v="4"/>
    <n v="2"/>
    <n v="31.274999999999999"/>
    <s v="Third"/>
    <s v="child"/>
    <x v="2"/>
    <x v="1"/>
    <x v="0"/>
    <s v="no"/>
    <s v="No"/>
    <x v="0"/>
  </r>
  <r>
    <n v="0"/>
    <x v="0"/>
    <n v="2"/>
    <x v="2"/>
    <s v="male"/>
    <x v="0"/>
    <n v="21"/>
    <n v="2"/>
    <n v="0"/>
    <n v="73.5"/>
    <s v="Second"/>
    <s v="man"/>
    <x v="0"/>
    <x v="0"/>
    <x v="0"/>
    <s v="no"/>
    <s v="No"/>
    <x v="0"/>
  </r>
  <r>
    <n v="0"/>
    <x v="0"/>
    <n v="3"/>
    <x v="0"/>
    <s v="male"/>
    <x v="0"/>
    <n v="30"/>
    <n v="0"/>
    <n v="0"/>
    <n v="8.0500000000000007"/>
    <s v="Third"/>
    <s v="man"/>
    <x v="0"/>
    <x v="0"/>
    <x v="0"/>
    <s v="no"/>
    <s v="No"/>
    <x v="1"/>
  </r>
  <r>
    <n v="0"/>
    <x v="0"/>
    <n v="2"/>
    <x v="2"/>
    <s v="male"/>
    <x v="0"/>
    <n v="32.5"/>
    <n v="1"/>
    <n v="0"/>
    <n v="30.070799999999998"/>
    <s v="Second"/>
    <s v="man"/>
    <x v="0"/>
    <x v="0"/>
    <x v="1"/>
    <s v="no"/>
    <s v="No"/>
    <x v="0"/>
  </r>
  <r>
    <n v="1"/>
    <x v="1"/>
    <n v="2"/>
    <x v="2"/>
    <s v="female"/>
    <x v="1"/>
    <n v="32.5"/>
    <n v="0"/>
    <n v="0"/>
    <n v="13"/>
    <s v="Second"/>
    <s v="woman"/>
    <x v="1"/>
    <x v="1"/>
    <x v="0"/>
    <s v="yes"/>
    <s v="Yes"/>
    <x v="1"/>
  </r>
  <r>
    <n v="0"/>
    <x v="0"/>
    <n v="1"/>
    <x v="1"/>
    <s v="male"/>
    <x v="0"/>
    <n v="54"/>
    <n v="0"/>
    <n v="1"/>
    <n v="77.287499999999994"/>
    <s v="First"/>
    <s v="man"/>
    <x v="0"/>
    <x v="0"/>
    <x v="0"/>
    <s v="no"/>
    <s v="No"/>
    <x v="0"/>
  </r>
  <r>
    <n v="1"/>
    <x v="1"/>
    <n v="3"/>
    <x v="0"/>
    <s v="male"/>
    <x v="0"/>
    <n v="12"/>
    <n v="1"/>
    <n v="0"/>
    <n v="11.2417"/>
    <s v="Third"/>
    <s v="child"/>
    <x v="2"/>
    <x v="1"/>
    <x v="1"/>
    <s v="yes"/>
    <s v="Yes"/>
    <x v="0"/>
  </r>
  <r>
    <n v="0"/>
    <x v="0"/>
    <n v="3"/>
    <x v="0"/>
    <s v="male"/>
    <x v="0"/>
    <n v="30"/>
    <n v="0"/>
    <n v="0"/>
    <n v="7.75"/>
    <s v="Third"/>
    <s v="man"/>
    <x v="0"/>
    <x v="0"/>
    <x v="2"/>
    <s v="no"/>
    <s v="No"/>
    <x v="1"/>
  </r>
  <r>
    <n v="1"/>
    <x v="1"/>
    <n v="3"/>
    <x v="0"/>
    <s v="male"/>
    <x v="0"/>
    <n v="24"/>
    <n v="0"/>
    <n v="0"/>
    <n v="7.1417000000000002"/>
    <s v="Third"/>
    <s v="man"/>
    <x v="0"/>
    <x v="0"/>
    <x v="0"/>
    <s v="yes"/>
    <s v="Yes"/>
    <x v="1"/>
  </r>
  <r>
    <n v="1"/>
    <x v="1"/>
    <n v="3"/>
    <x v="0"/>
    <s v="female"/>
    <x v="1"/>
    <n v="30"/>
    <n v="1"/>
    <n v="1"/>
    <n v="22.3583"/>
    <s v="Third"/>
    <s v="woman"/>
    <x v="1"/>
    <x v="1"/>
    <x v="1"/>
    <s v="yes"/>
    <s v="Yes"/>
    <x v="0"/>
  </r>
  <r>
    <n v="0"/>
    <x v="0"/>
    <n v="3"/>
    <x v="0"/>
    <s v="male"/>
    <x v="0"/>
    <n v="45"/>
    <n v="0"/>
    <n v="0"/>
    <n v="6.9749999999999996"/>
    <s v="Third"/>
    <s v="man"/>
    <x v="0"/>
    <x v="0"/>
    <x v="0"/>
    <s v="no"/>
    <s v="No"/>
    <x v="1"/>
  </r>
  <r>
    <n v="0"/>
    <x v="0"/>
    <n v="3"/>
    <x v="0"/>
    <s v="male"/>
    <x v="0"/>
    <n v="33"/>
    <n v="0"/>
    <n v="0"/>
    <n v="7.8958000000000004"/>
    <s v="Third"/>
    <s v="man"/>
    <x v="0"/>
    <x v="0"/>
    <x v="1"/>
    <s v="no"/>
    <s v="No"/>
    <x v="1"/>
  </r>
  <r>
    <n v="0"/>
    <x v="0"/>
    <n v="3"/>
    <x v="0"/>
    <s v="male"/>
    <x v="0"/>
    <n v="20"/>
    <n v="0"/>
    <n v="0"/>
    <n v="7.05"/>
    <s v="Third"/>
    <s v="man"/>
    <x v="0"/>
    <x v="0"/>
    <x v="0"/>
    <s v="no"/>
    <s v="No"/>
    <x v="1"/>
  </r>
  <r>
    <n v="0"/>
    <x v="0"/>
    <n v="3"/>
    <x v="0"/>
    <s v="female"/>
    <x v="1"/>
    <n v="47"/>
    <n v="1"/>
    <n v="0"/>
    <n v="14.5"/>
    <s v="Third"/>
    <s v="woman"/>
    <x v="1"/>
    <x v="1"/>
    <x v="0"/>
    <s v="no"/>
    <s v="No"/>
    <x v="0"/>
  </r>
  <r>
    <n v="1"/>
    <x v="1"/>
    <n v="2"/>
    <x v="2"/>
    <s v="female"/>
    <x v="1"/>
    <n v="29"/>
    <n v="1"/>
    <n v="0"/>
    <n v="26"/>
    <s v="Second"/>
    <s v="woman"/>
    <x v="1"/>
    <x v="1"/>
    <x v="0"/>
    <s v="yes"/>
    <s v="Yes"/>
    <x v="0"/>
  </r>
  <r>
    <n v="0"/>
    <x v="0"/>
    <n v="2"/>
    <x v="2"/>
    <s v="male"/>
    <x v="0"/>
    <n v="25"/>
    <n v="0"/>
    <n v="0"/>
    <n v="13"/>
    <s v="Second"/>
    <s v="man"/>
    <x v="0"/>
    <x v="0"/>
    <x v="0"/>
    <s v="no"/>
    <s v="No"/>
    <x v="1"/>
  </r>
  <r>
    <n v="0"/>
    <x v="0"/>
    <n v="2"/>
    <x v="2"/>
    <s v="male"/>
    <x v="0"/>
    <n v="23"/>
    <n v="0"/>
    <n v="0"/>
    <n v="15.0458"/>
    <s v="Second"/>
    <s v="man"/>
    <x v="0"/>
    <x v="0"/>
    <x v="1"/>
    <s v="no"/>
    <s v="No"/>
    <x v="1"/>
  </r>
  <r>
    <n v="1"/>
    <x v="1"/>
    <n v="1"/>
    <x v="1"/>
    <s v="female"/>
    <x v="1"/>
    <n v="19"/>
    <n v="0"/>
    <n v="2"/>
    <n v="26.283300000000001"/>
    <s v="First"/>
    <s v="woman"/>
    <x v="1"/>
    <x v="1"/>
    <x v="0"/>
    <s v="yes"/>
    <s v="Yes"/>
    <x v="0"/>
  </r>
  <r>
    <n v="0"/>
    <x v="0"/>
    <n v="1"/>
    <x v="1"/>
    <s v="male"/>
    <x v="0"/>
    <n v="37"/>
    <n v="1"/>
    <n v="0"/>
    <n v="53.1"/>
    <s v="First"/>
    <s v="man"/>
    <x v="0"/>
    <x v="0"/>
    <x v="0"/>
    <s v="no"/>
    <s v="No"/>
    <x v="0"/>
  </r>
  <r>
    <n v="0"/>
    <x v="0"/>
    <n v="3"/>
    <x v="0"/>
    <s v="male"/>
    <x v="0"/>
    <n v="16"/>
    <n v="0"/>
    <n v="0"/>
    <n v="9.2166999999999994"/>
    <s v="Third"/>
    <s v="man"/>
    <x v="0"/>
    <x v="0"/>
    <x v="0"/>
    <s v="no"/>
    <s v="No"/>
    <x v="1"/>
  </r>
  <r>
    <n v="0"/>
    <x v="0"/>
    <n v="1"/>
    <x v="1"/>
    <s v="male"/>
    <x v="0"/>
    <n v="24"/>
    <n v="0"/>
    <n v="0"/>
    <n v="79.2"/>
    <s v="First"/>
    <s v="man"/>
    <x v="0"/>
    <x v="0"/>
    <x v="1"/>
    <s v="no"/>
    <s v="No"/>
    <x v="1"/>
  </r>
  <r>
    <n v="0"/>
    <x v="0"/>
    <n v="3"/>
    <x v="0"/>
    <s v="female"/>
    <x v="1"/>
    <n v="30"/>
    <n v="0"/>
    <n v="2"/>
    <n v="15.245799999999999"/>
    <s v="Third"/>
    <s v="woman"/>
    <x v="1"/>
    <x v="1"/>
    <x v="1"/>
    <s v="no"/>
    <s v="No"/>
    <x v="0"/>
  </r>
  <r>
    <n v="1"/>
    <x v="1"/>
    <n v="3"/>
    <x v="0"/>
    <s v="female"/>
    <x v="1"/>
    <n v="22"/>
    <n v="0"/>
    <n v="0"/>
    <n v="7.75"/>
    <s v="Third"/>
    <s v="woman"/>
    <x v="1"/>
    <x v="1"/>
    <x v="0"/>
    <s v="yes"/>
    <s v="Yes"/>
    <x v="1"/>
  </r>
  <r>
    <n v="1"/>
    <x v="1"/>
    <n v="3"/>
    <x v="0"/>
    <s v="female"/>
    <x v="1"/>
    <n v="24"/>
    <n v="1"/>
    <n v="0"/>
    <n v="15.85"/>
    <s v="Third"/>
    <s v="woman"/>
    <x v="1"/>
    <x v="1"/>
    <x v="0"/>
    <s v="yes"/>
    <s v="Yes"/>
    <x v="0"/>
  </r>
  <r>
    <n v="0"/>
    <x v="0"/>
    <n v="3"/>
    <x v="0"/>
    <s v="male"/>
    <x v="0"/>
    <n v="19"/>
    <n v="0"/>
    <n v="0"/>
    <n v="6.75"/>
    <s v="Third"/>
    <s v="man"/>
    <x v="0"/>
    <x v="0"/>
    <x v="2"/>
    <s v="no"/>
    <s v="No"/>
    <x v="1"/>
  </r>
  <r>
    <n v="0"/>
    <x v="0"/>
    <n v="2"/>
    <x v="2"/>
    <s v="male"/>
    <x v="0"/>
    <n v="18"/>
    <n v="0"/>
    <n v="0"/>
    <n v="11.5"/>
    <s v="Second"/>
    <s v="man"/>
    <x v="0"/>
    <x v="0"/>
    <x v="0"/>
    <s v="no"/>
    <s v="No"/>
    <x v="1"/>
  </r>
  <r>
    <n v="0"/>
    <x v="0"/>
    <n v="2"/>
    <x v="2"/>
    <s v="male"/>
    <x v="0"/>
    <n v="19"/>
    <n v="1"/>
    <n v="1"/>
    <n v="36.75"/>
    <s v="Second"/>
    <s v="man"/>
    <x v="0"/>
    <x v="0"/>
    <x v="0"/>
    <s v="no"/>
    <s v="No"/>
    <x v="0"/>
  </r>
  <r>
    <n v="1"/>
    <x v="1"/>
    <n v="3"/>
    <x v="0"/>
    <s v="male"/>
    <x v="0"/>
    <n v="27"/>
    <n v="0"/>
    <n v="0"/>
    <n v="7.7957999999999998"/>
    <s v="Third"/>
    <s v="man"/>
    <x v="0"/>
    <x v="0"/>
    <x v="0"/>
    <s v="yes"/>
    <s v="Yes"/>
    <x v="1"/>
  </r>
  <r>
    <n v="0"/>
    <x v="0"/>
    <n v="3"/>
    <x v="0"/>
    <s v="female"/>
    <x v="1"/>
    <n v="9"/>
    <n v="2"/>
    <n v="2"/>
    <n v="34.375"/>
    <s v="Third"/>
    <s v="child"/>
    <x v="2"/>
    <x v="1"/>
    <x v="0"/>
    <s v="no"/>
    <s v="No"/>
    <x v="0"/>
  </r>
  <r>
    <n v="0"/>
    <x v="0"/>
    <n v="2"/>
    <x v="2"/>
    <s v="male"/>
    <x v="0"/>
    <n v="36.5"/>
    <n v="0"/>
    <n v="2"/>
    <n v="26"/>
    <s v="Second"/>
    <s v="man"/>
    <x v="0"/>
    <x v="0"/>
    <x v="0"/>
    <s v="no"/>
    <s v="No"/>
    <x v="0"/>
  </r>
  <r>
    <n v="0"/>
    <x v="0"/>
    <n v="2"/>
    <x v="2"/>
    <s v="male"/>
    <x v="0"/>
    <n v="42"/>
    <n v="0"/>
    <n v="0"/>
    <n v="13"/>
    <s v="Second"/>
    <s v="man"/>
    <x v="0"/>
    <x v="0"/>
    <x v="0"/>
    <s v="no"/>
    <s v="No"/>
    <x v="1"/>
  </r>
  <r>
    <n v="0"/>
    <x v="0"/>
    <n v="2"/>
    <x v="2"/>
    <s v="male"/>
    <x v="0"/>
    <n v="51"/>
    <n v="0"/>
    <n v="0"/>
    <n v="12.525"/>
    <s v="Second"/>
    <s v="man"/>
    <x v="0"/>
    <x v="0"/>
    <x v="0"/>
    <s v="no"/>
    <s v="No"/>
    <x v="1"/>
  </r>
  <r>
    <n v="1"/>
    <x v="1"/>
    <n v="1"/>
    <x v="1"/>
    <s v="female"/>
    <x v="1"/>
    <n v="22"/>
    <n v="1"/>
    <n v="0"/>
    <n v="66.599999999999994"/>
    <s v="First"/>
    <s v="woman"/>
    <x v="1"/>
    <x v="1"/>
    <x v="0"/>
    <s v="yes"/>
    <s v="Yes"/>
    <x v="0"/>
  </r>
  <r>
    <n v="0"/>
    <x v="0"/>
    <n v="3"/>
    <x v="0"/>
    <s v="male"/>
    <x v="0"/>
    <n v="55.5"/>
    <n v="0"/>
    <n v="0"/>
    <n v="8.0500000000000007"/>
    <s v="Third"/>
    <s v="man"/>
    <x v="0"/>
    <x v="0"/>
    <x v="0"/>
    <s v="no"/>
    <s v="No"/>
    <x v="1"/>
  </r>
  <r>
    <n v="0"/>
    <x v="0"/>
    <n v="3"/>
    <x v="0"/>
    <s v="male"/>
    <x v="0"/>
    <n v="40.5"/>
    <n v="0"/>
    <n v="2"/>
    <n v="14.5"/>
    <s v="Third"/>
    <s v="man"/>
    <x v="0"/>
    <x v="0"/>
    <x v="0"/>
    <s v="no"/>
    <s v="No"/>
    <x v="0"/>
  </r>
  <r>
    <n v="0"/>
    <x v="0"/>
    <n v="3"/>
    <x v="0"/>
    <s v="male"/>
    <x v="0"/>
    <n v="30"/>
    <n v="0"/>
    <n v="0"/>
    <n v="7.3125"/>
    <s v="Third"/>
    <s v="man"/>
    <x v="0"/>
    <x v="0"/>
    <x v="0"/>
    <s v="no"/>
    <s v="No"/>
    <x v="1"/>
  </r>
  <r>
    <n v="0"/>
    <x v="0"/>
    <n v="1"/>
    <x v="1"/>
    <s v="male"/>
    <x v="0"/>
    <n v="51"/>
    <n v="0"/>
    <n v="1"/>
    <n v="61.379199999999997"/>
    <s v="First"/>
    <s v="man"/>
    <x v="0"/>
    <x v="0"/>
    <x v="1"/>
    <s v="no"/>
    <s v="No"/>
    <x v="0"/>
  </r>
  <r>
    <n v="1"/>
    <x v="1"/>
    <n v="3"/>
    <x v="0"/>
    <s v="female"/>
    <x v="1"/>
    <n v="16"/>
    <n v="0"/>
    <n v="0"/>
    <n v="7.7332999999999998"/>
    <s v="Third"/>
    <s v="woman"/>
    <x v="1"/>
    <x v="1"/>
    <x v="2"/>
    <s v="yes"/>
    <s v="Yes"/>
    <x v="1"/>
  </r>
  <r>
    <n v="0"/>
    <x v="0"/>
    <n v="3"/>
    <x v="0"/>
    <s v="male"/>
    <x v="0"/>
    <n v="30"/>
    <n v="0"/>
    <n v="0"/>
    <n v="8.0500000000000007"/>
    <s v="Third"/>
    <s v="man"/>
    <x v="0"/>
    <x v="0"/>
    <x v="0"/>
    <s v="no"/>
    <s v="No"/>
    <x v="1"/>
  </r>
  <r>
    <n v="0"/>
    <x v="0"/>
    <n v="3"/>
    <x v="0"/>
    <s v="male"/>
    <x v="0"/>
    <n v="30"/>
    <n v="0"/>
    <n v="0"/>
    <n v="8.6624999999999996"/>
    <s v="Third"/>
    <s v="man"/>
    <x v="0"/>
    <x v="0"/>
    <x v="0"/>
    <s v="no"/>
    <s v="No"/>
    <x v="1"/>
  </r>
  <r>
    <n v="0"/>
    <x v="0"/>
    <n v="3"/>
    <x v="0"/>
    <s v="male"/>
    <x v="0"/>
    <n v="30"/>
    <n v="8"/>
    <n v="2"/>
    <n v="69.55"/>
    <s v="Third"/>
    <s v="man"/>
    <x v="0"/>
    <x v="0"/>
    <x v="0"/>
    <s v="no"/>
    <s v="No"/>
    <x v="0"/>
  </r>
  <r>
    <n v="0"/>
    <x v="0"/>
    <n v="3"/>
    <x v="0"/>
    <s v="male"/>
    <x v="0"/>
    <n v="44"/>
    <n v="0"/>
    <n v="1"/>
    <n v="16.100000000000001"/>
    <s v="Third"/>
    <s v="man"/>
    <x v="0"/>
    <x v="0"/>
    <x v="0"/>
    <s v="no"/>
    <s v="No"/>
    <x v="0"/>
  </r>
  <r>
    <n v="1"/>
    <x v="1"/>
    <n v="2"/>
    <x v="2"/>
    <s v="female"/>
    <x v="1"/>
    <n v="40"/>
    <n v="0"/>
    <n v="0"/>
    <n v="15.75"/>
    <s v="Second"/>
    <s v="woman"/>
    <x v="1"/>
    <x v="1"/>
    <x v="0"/>
    <s v="yes"/>
    <s v="Yes"/>
    <x v="1"/>
  </r>
  <r>
    <n v="0"/>
    <x v="0"/>
    <n v="3"/>
    <x v="0"/>
    <s v="male"/>
    <x v="0"/>
    <n v="26"/>
    <n v="0"/>
    <n v="0"/>
    <n v="7.7750000000000004"/>
    <s v="Third"/>
    <s v="man"/>
    <x v="0"/>
    <x v="0"/>
    <x v="0"/>
    <s v="no"/>
    <s v="No"/>
    <x v="1"/>
  </r>
  <r>
    <n v="0"/>
    <x v="0"/>
    <n v="3"/>
    <x v="0"/>
    <s v="male"/>
    <x v="0"/>
    <n v="17"/>
    <n v="0"/>
    <n v="0"/>
    <n v="8.6624999999999996"/>
    <s v="Third"/>
    <s v="man"/>
    <x v="0"/>
    <x v="0"/>
    <x v="0"/>
    <s v="no"/>
    <s v="No"/>
    <x v="1"/>
  </r>
  <r>
    <n v="0"/>
    <x v="0"/>
    <n v="3"/>
    <x v="0"/>
    <s v="male"/>
    <x v="0"/>
    <n v="1"/>
    <n v="4"/>
    <n v="1"/>
    <n v="39.6875"/>
    <s v="Third"/>
    <s v="child"/>
    <x v="2"/>
    <x v="1"/>
    <x v="0"/>
    <s v="no"/>
    <s v="No"/>
    <x v="0"/>
  </r>
  <r>
    <n v="1"/>
    <x v="1"/>
    <n v="3"/>
    <x v="0"/>
    <s v="male"/>
    <x v="0"/>
    <n v="9"/>
    <n v="0"/>
    <n v="2"/>
    <n v="20.524999999999999"/>
    <s v="Third"/>
    <s v="child"/>
    <x v="2"/>
    <x v="1"/>
    <x v="0"/>
    <s v="yes"/>
    <s v="Yes"/>
    <x v="0"/>
  </r>
  <r>
    <n v="1"/>
    <x v="1"/>
    <n v="1"/>
    <x v="1"/>
    <s v="female"/>
    <x v="1"/>
    <n v="30"/>
    <n v="0"/>
    <n v="1"/>
    <n v="55"/>
    <s v="First"/>
    <s v="woman"/>
    <x v="1"/>
    <x v="1"/>
    <x v="0"/>
    <s v="yes"/>
    <s v="Yes"/>
    <x v="0"/>
  </r>
  <r>
    <n v="0"/>
    <x v="0"/>
    <n v="3"/>
    <x v="0"/>
    <s v="female"/>
    <x v="1"/>
    <n v="45"/>
    <n v="1"/>
    <n v="4"/>
    <n v="27.9"/>
    <s v="Third"/>
    <s v="woman"/>
    <x v="1"/>
    <x v="1"/>
    <x v="0"/>
    <s v="no"/>
    <s v="No"/>
    <x v="0"/>
  </r>
  <r>
    <n v="0"/>
    <x v="0"/>
    <n v="1"/>
    <x v="1"/>
    <s v="male"/>
    <x v="0"/>
    <n v="30"/>
    <n v="0"/>
    <n v="0"/>
    <n v="25.925000000000001"/>
    <s v="First"/>
    <s v="man"/>
    <x v="0"/>
    <x v="0"/>
    <x v="0"/>
    <s v="no"/>
    <s v="No"/>
    <x v="1"/>
  </r>
  <r>
    <n v="0"/>
    <x v="0"/>
    <n v="3"/>
    <x v="0"/>
    <s v="male"/>
    <x v="0"/>
    <n v="28"/>
    <n v="0"/>
    <n v="0"/>
    <n v="56.495800000000003"/>
    <s v="Third"/>
    <s v="man"/>
    <x v="0"/>
    <x v="0"/>
    <x v="0"/>
    <s v="no"/>
    <s v="No"/>
    <x v="1"/>
  </r>
  <r>
    <n v="0"/>
    <x v="0"/>
    <n v="1"/>
    <x v="1"/>
    <s v="male"/>
    <x v="0"/>
    <n v="61"/>
    <n v="0"/>
    <n v="0"/>
    <n v="33.5"/>
    <s v="First"/>
    <s v="man"/>
    <x v="0"/>
    <x v="0"/>
    <x v="0"/>
    <s v="no"/>
    <s v="No"/>
    <x v="1"/>
  </r>
  <r>
    <n v="0"/>
    <x v="0"/>
    <n v="3"/>
    <x v="0"/>
    <s v="male"/>
    <x v="0"/>
    <n v="4"/>
    <n v="4"/>
    <n v="1"/>
    <n v="29.125"/>
    <s v="Third"/>
    <s v="child"/>
    <x v="2"/>
    <x v="1"/>
    <x v="2"/>
    <s v="no"/>
    <s v="No"/>
    <x v="0"/>
  </r>
  <r>
    <n v="1"/>
    <x v="1"/>
    <n v="3"/>
    <x v="0"/>
    <s v="female"/>
    <x v="1"/>
    <n v="1"/>
    <n v="1"/>
    <n v="1"/>
    <n v="11.1333"/>
    <s v="Third"/>
    <s v="child"/>
    <x v="2"/>
    <x v="1"/>
    <x v="0"/>
    <s v="yes"/>
    <s v="Yes"/>
    <x v="0"/>
  </r>
  <r>
    <n v="0"/>
    <x v="0"/>
    <n v="3"/>
    <x v="0"/>
    <s v="male"/>
    <x v="0"/>
    <n v="21"/>
    <n v="0"/>
    <n v="0"/>
    <n v="7.9249999999999998"/>
    <s v="Third"/>
    <s v="man"/>
    <x v="0"/>
    <x v="0"/>
    <x v="0"/>
    <s v="no"/>
    <s v="No"/>
    <x v="1"/>
  </r>
  <r>
    <n v="0"/>
    <x v="0"/>
    <n v="1"/>
    <x v="1"/>
    <s v="male"/>
    <x v="0"/>
    <n v="56"/>
    <n v="0"/>
    <n v="0"/>
    <n v="30.695799999999998"/>
    <s v="First"/>
    <s v="man"/>
    <x v="0"/>
    <x v="0"/>
    <x v="1"/>
    <s v="no"/>
    <s v="No"/>
    <x v="1"/>
  </r>
  <r>
    <n v="0"/>
    <x v="0"/>
    <n v="3"/>
    <x v="0"/>
    <s v="male"/>
    <x v="0"/>
    <n v="18"/>
    <n v="1"/>
    <n v="1"/>
    <n v="7.8541999999999996"/>
    <s v="Third"/>
    <s v="man"/>
    <x v="0"/>
    <x v="0"/>
    <x v="0"/>
    <s v="no"/>
    <s v="No"/>
    <x v="0"/>
  </r>
  <r>
    <n v="0"/>
    <x v="0"/>
    <n v="3"/>
    <x v="0"/>
    <s v="male"/>
    <x v="0"/>
    <n v="30"/>
    <n v="3"/>
    <n v="1"/>
    <n v="25.466699999999999"/>
    <s v="Third"/>
    <s v="man"/>
    <x v="0"/>
    <x v="0"/>
    <x v="0"/>
    <s v="no"/>
    <s v="No"/>
    <x v="0"/>
  </r>
  <r>
    <n v="0"/>
    <x v="0"/>
    <n v="1"/>
    <x v="1"/>
    <s v="female"/>
    <x v="1"/>
    <n v="50"/>
    <n v="0"/>
    <n v="0"/>
    <n v="28.712499999999999"/>
    <s v="First"/>
    <s v="woman"/>
    <x v="1"/>
    <x v="1"/>
    <x v="1"/>
    <s v="no"/>
    <s v="No"/>
    <x v="1"/>
  </r>
  <r>
    <n v="0"/>
    <x v="0"/>
    <n v="2"/>
    <x v="2"/>
    <s v="male"/>
    <x v="0"/>
    <n v="30"/>
    <n v="0"/>
    <n v="0"/>
    <n v="13"/>
    <s v="Second"/>
    <s v="man"/>
    <x v="0"/>
    <x v="0"/>
    <x v="0"/>
    <s v="no"/>
    <s v="No"/>
    <x v="1"/>
  </r>
  <r>
    <n v="0"/>
    <x v="0"/>
    <n v="3"/>
    <x v="0"/>
    <s v="male"/>
    <x v="0"/>
    <n v="36"/>
    <n v="0"/>
    <n v="0"/>
    <n v="0"/>
    <s v="Third"/>
    <s v="man"/>
    <x v="0"/>
    <x v="0"/>
    <x v="0"/>
    <s v="no"/>
    <s v="No"/>
    <x v="1"/>
  </r>
  <r>
    <n v="0"/>
    <x v="0"/>
    <n v="3"/>
    <x v="0"/>
    <s v="female"/>
    <x v="1"/>
    <n v="30"/>
    <n v="8"/>
    <n v="2"/>
    <n v="69.55"/>
    <s v="Third"/>
    <s v="woman"/>
    <x v="1"/>
    <x v="1"/>
    <x v="0"/>
    <s v="no"/>
    <s v="No"/>
    <x v="0"/>
  </r>
  <r>
    <n v="0"/>
    <x v="0"/>
    <n v="2"/>
    <x v="2"/>
    <s v="male"/>
    <x v="0"/>
    <n v="30"/>
    <n v="0"/>
    <n v="0"/>
    <n v="15.05"/>
    <s v="Second"/>
    <s v="man"/>
    <x v="0"/>
    <x v="0"/>
    <x v="1"/>
    <s v="no"/>
    <s v="No"/>
    <x v="1"/>
  </r>
  <r>
    <n v="0"/>
    <x v="0"/>
    <n v="3"/>
    <x v="0"/>
    <s v="male"/>
    <x v="0"/>
    <n v="9"/>
    <n v="4"/>
    <n v="2"/>
    <n v="31.387499999999999"/>
    <s v="Third"/>
    <s v="child"/>
    <x v="2"/>
    <x v="1"/>
    <x v="0"/>
    <s v="no"/>
    <s v="No"/>
    <x v="0"/>
  </r>
  <r>
    <n v="1"/>
    <x v="1"/>
    <n v="2"/>
    <x v="2"/>
    <s v="male"/>
    <x v="0"/>
    <n v="1"/>
    <n v="2"/>
    <n v="1"/>
    <n v="39"/>
    <s v="Second"/>
    <s v="child"/>
    <x v="2"/>
    <x v="1"/>
    <x v="0"/>
    <s v="yes"/>
    <s v="Yes"/>
    <x v="0"/>
  </r>
  <r>
    <n v="1"/>
    <x v="1"/>
    <n v="3"/>
    <x v="0"/>
    <s v="female"/>
    <x v="1"/>
    <n v="4"/>
    <n v="0"/>
    <n v="2"/>
    <n v="22.024999999999999"/>
    <s v="Third"/>
    <s v="child"/>
    <x v="2"/>
    <x v="1"/>
    <x v="0"/>
    <s v="yes"/>
    <s v="Yes"/>
    <x v="0"/>
  </r>
  <r>
    <n v="0"/>
    <x v="0"/>
    <n v="1"/>
    <x v="1"/>
    <s v="male"/>
    <x v="0"/>
    <n v="30"/>
    <n v="0"/>
    <n v="0"/>
    <n v="50"/>
    <s v="First"/>
    <s v="man"/>
    <x v="0"/>
    <x v="0"/>
    <x v="0"/>
    <s v="no"/>
    <s v="No"/>
    <x v="1"/>
  </r>
  <r>
    <n v="1"/>
    <x v="1"/>
    <n v="3"/>
    <x v="0"/>
    <s v="female"/>
    <x v="1"/>
    <n v="30"/>
    <n v="1"/>
    <n v="0"/>
    <n v="15.5"/>
    <s v="Third"/>
    <s v="woman"/>
    <x v="1"/>
    <x v="1"/>
    <x v="2"/>
    <s v="yes"/>
    <s v="Yes"/>
    <x v="0"/>
  </r>
  <r>
    <n v="1"/>
    <x v="1"/>
    <n v="1"/>
    <x v="1"/>
    <s v="male"/>
    <x v="0"/>
    <n v="45"/>
    <n v="0"/>
    <n v="0"/>
    <n v="26.55"/>
    <s v="First"/>
    <s v="man"/>
    <x v="0"/>
    <x v="0"/>
    <x v="0"/>
    <s v="yes"/>
    <s v="Yes"/>
    <x v="1"/>
  </r>
  <r>
    <n v="0"/>
    <x v="0"/>
    <n v="3"/>
    <x v="0"/>
    <s v="male"/>
    <x v="0"/>
    <n v="40"/>
    <n v="1"/>
    <n v="1"/>
    <n v="15.5"/>
    <s v="Third"/>
    <s v="man"/>
    <x v="0"/>
    <x v="0"/>
    <x v="2"/>
    <s v="no"/>
    <s v="No"/>
    <x v="0"/>
  </r>
  <r>
    <n v="0"/>
    <x v="0"/>
    <n v="3"/>
    <x v="0"/>
    <s v="male"/>
    <x v="0"/>
    <n v="36"/>
    <n v="0"/>
    <n v="0"/>
    <n v="7.8958000000000004"/>
    <s v="Third"/>
    <s v="man"/>
    <x v="0"/>
    <x v="0"/>
    <x v="0"/>
    <s v="no"/>
    <s v="No"/>
    <x v="1"/>
  </r>
  <r>
    <n v="1"/>
    <x v="1"/>
    <n v="2"/>
    <x v="2"/>
    <s v="female"/>
    <x v="1"/>
    <n v="32"/>
    <n v="0"/>
    <n v="0"/>
    <n v="13"/>
    <s v="Second"/>
    <s v="woman"/>
    <x v="1"/>
    <x v="1"/>
    <x v="0"/>
    <s v="yes"/>
    <s v="Yes"/>
    <x v="1"/>
  </r>
  <r>
    <n v="0"/>
    <x v="0"/>
    <n v="2"/>
    <x v="2"/>
    <s v="male"/>
    <x v="0"/>
    <n v="19"/>
    <n v="0"/>
    <n v="0"/>
    <n v="13"/>
    <s v="Second"/>
    <s v="man"/>
    <x v="0"/>
    <x v="0"/>
    <x v="0"/>
    <s v="no"/>
    <s v="No"/>
    <x v="1"/>
  </r>
  <r>
    <n v="1"/>
    <x v="1"/>
    <n v="3"/>
    <x v="0"/>
    <s v="female"/>
    <x v="1"/>
    <n v="19"/>
    <n v="1"/>
    <n v="0"/>
    <n v="7.8541999999999996"/>
    <s v="Third"/>
    <s v="woman"/>
    <x v="1"/>
    <x v="1"/>
    <x v="0"/>
    <s v="yes"/>
    <s v="Yes"/>
    <x v="0"/>
  </r>
  <r>
    <n v="1"/>
    <x v="1"/>
    <n v="2"/>
    <x v="2"/>
    <s v="male"/>
    <x v="0"/>
    <n v="3"/>
    <n v="1"/>
    <n v="1"/>
    <n v="26"/>
    <s v="Second"/>
    <s v="child"/>
    <x v="2"/>
    <x v="1"/>
    <x v="0"/>
    <s v="yes"/>
    <s v="Yes"/>
    <x v="0"/>
  </r>
  <r>
    <n v="1"/>
    <x v="1"/>
    <n v="1"/>
    <x v="1"/>
    <s v="female"/>
    <x v="1"/>
    <n v="44"/>
    <n v="0"/>
    <n v="0"/>
    <n v="27.720800000000001"/>
    <s v="First"/>
    <s v="woman"/>
    <x v="1"/>
    <x v="1"/>
    <x v="1"/>
    <s v="yes"/>
    <s v="Yes"/>
    <x v="1"/>
  </r>
  <r>
    <n v="1"/>
    <x v="1"/>
    <n v="1"/>
    <x v="1"/>
    <s v="female"/>
    <x v="1"/>
    <n v="58"/>
    <n v="0"/>
    <n v="0"/>
    <n v="146.52080000000001"/>
    <s v="First"/>
    <s v="woman"/>
    <x v="1"/>
    <x v="1"/>
    <x v="1"/>
    <s v="yes"/>
    <s v="Yes"/>
    <x v="1"/>
  </r>
  <r>
    <n v="0"/>
    <x v="0"/>
    <n v="3"/>
    <x v="0"/>
    <s v="male"/>
    <x v="0"/>
    <n v="30"/>
    <n v="0"/>
    <n v="0"/>
    <n v="7.75"/>
    <s v="Third"/>
    <s v="man"/>
    <x v="0"/>
    <x v="0"/>
    <x v="2"/>
    <s v="no"/>
    <s v="No"/>
    <x v="1"/>
  </r>
  <r>
    <n v="0"/>
    <x v="0"/>
    <n v="3"/>
    <x v="0"/>
    <s v="male"/>
    <x v="0"/>
    <n v="42"/>
    <n v="0"/>
    <n v="1"/>
    <n v="8.4041999999999994"/>
    <s v="Third"/>
    <s v="man"/>
    <x v="0"/>
    <x v="0"/>
    <x v="0"/>
    <s v="no"/>
    <s v="No"/>
    <x v="0"/>
  </r>
  <r>
    <n v="1"/>
    <x v="1"/>
    <n v="3"/>
    <x v="0"/>
    <s v="female"/>
    <x v="1"/>
    <n v="30"/>
    <n v="0"/>
    <n v="0"/>
    <n v="7.75"/>
    <s v="Third"/>
    <s v="woman"/>
    <x v="1"/>
    <x v="1"/>
    <x v="2"/>
    <s v="yes"/>
    <s v="Yes"/>
    <x v="1"/>
  </r>
  <r>
    <n v="0"/>
    <x v="0"/>
    <n v="2"/>
    <x v="2"/>
    <s v="female"/>
    <x v="1"/>
    <n v="24"/>
    <n v="0"/>
    <n v="0"/>
    <n v="13"/>
    <s v="Second"/>
    <s v="woman"/>
    <x v="1"/>
    <x v="1"/>
    <x v="0"/>
    <s v="no"/>
    <s v="No"/>
    <x v="1"/>
  </r>
  <r>
    <n v="0"/>
    <x v="0"/>
    <n v="3"/>
    <x v="0"/>
    <s v="male"/>
    <x v="0"/>
    <n v="28"/>
    <n v="0"/>
    <n v="0"/>
    <n v="9.5"/>
    <s v="Third"/>
    <s v="man"/>
    <x v="0"/>
    <x v="0"/>
    <x v="0"/>
    <s v="no"/>
    <s v="No"/>
    <x v="1"/>
  </r>
  <r>
    <n v="0"/>
    <x v="0"/>
    <n v="3"/>
    <x v="0"/>
    <s v="male"/>
    <x v="0"/>
    <n v="30"/>
    <n v="8"/>
    <n v="2"/>
    <n v="69.55"/>
    <s v="Third"/>
    <s v="man"/>
    <x v="0"/>
    <x v="0"/>
    <x v="0"/>
    <s v="no"/>
    <s v="No"/>
    <x v="0"/>
  </r>
  <r>
    <n v="0"/>
    <x v="0"/>
    <n v="3"/>
    <x v="0"/>
    <s v="male"/>
    <x v="0"/>
    <n v="34"/>
    <n v="0"/>
    <n v="0"/>
    <n v="6.4958"/>
    <s v="Third"/>
    <s v="man"/>
    <x v="0"/>
    <x v="0"/>
    <x v="0"/>
    <s v="no"/>
    <s v="No"/>
    <x v="1"/>
  </r>
  <r>
    <n v="0"/>
    <x v="0"/>
    <n v="3"/>
    <x v="0"/>
    <s v="male"/>
    <x v="0"/>
    <n v="45.5"/>
    <n v="0"/>
    <n v="0"/>
    <n v="7.2249999999999996"/>
    <s v="Third"/>
    <s v="man"/>
    <x v="0"/>
    <x v="0"/>
    <x v="1"/>
    <s v="no"/>
    <s v="No"/>
    <x v="1"/>
  </r>
  <r>
    <n v="1"/>
    <x v="1"/>
    <n v="3"/>
    <x v="0"/>
    <s v="male"/>
    <x v="0"/>
    <n v="18"/>
    <n v="0"/>
    <n v="0"/>
    <n v="8.0500000000000007"/>
    <s v="Third"/>
    <s v="man"/>
    <x v="0"/>
    <x v="0"/>
    <x v="0"/>
    <s v="yes"/>
    <s v="Yes"/>
    <x v="1"/>
  </r>
  <r>
    <n v="0"/>
    <x v="0"/>
    <n v="3"/>
    <x v="0"/>
    <s v="female"/>
    <x v="1"/>
    <n v="2"/>
    <n v="0"/>
    <n v="1"/>
    <n v="10.4625"/>
    <s v="Third"/>
    <s v="child"/>
    <x v="2"/>
    <x v="1"/>
    <x v="0"/>
    <s v="no"/>
    <s v="No"/>
    <x v="0"/>
  </r>
  <r>
    <n v="0"/>
    <x v="0"/>
    <n v="3"/>
    <x v="0"/>
    <s v="male"/>
    <x v="0"/>
    <n v="32"/>
    <n v="1"/>
    <n v="0"/>
    <n v="15.85"/>
    <s v="Third"/>
    <s v="man"/>
    <x v="0"/>
    <x v="0"/>
    <x v="0"/>
    <s v="no"/>
    <s v="No"/>
    <x v="0"/>
  </r>
  <r>
    <n v="1"/>
    <x v="1"/>
    <n v="3"/>
    <x v="0"/>
    <s v="male"/>
    <x v="0"/>
    <n v="26"/>
    <n v="0"/>
    <n v="0"/>
    <n v="18.787500000000001"/>
    <s v="Third"/>
    <s v="man"/>
    <x v="0"/>
    <x v="0"/>
    <x v="1"/>
    <s v="yes"/>
    <s v="Yes"/>
    <x v="1"/>
  </r>
  <r>
    <n v="1"/>
    <x v="1"/>
    <n v="3"/>
    <x v="0"/>
    <s v="female"/>
    <x v="1"/>
    <n v="16"/>
    <n v="0"/>
    <n v="0"/>
    <n v="7.75"/>
    <s v="Third"/>
    <s v="woman"/>
    <x v="1"/>
    <x v="1"/>
    <x v="2"/>
    <s v="yes"/>
    <s v="Yes"/>
    <x v="1"/>
  </r>
  <r>
    <n v="1"/>
    <x v="1"/>
    <n v="1"/>
    <x v="1"/>
    <s v="male"/>
    <x v="0"/>
    <n v="40"/>
    <n v="0"/>
    <n v="0"/>
    <n v="31"/>
    <s v="First"/>
    <s v="man"/>
    <x v="0"/>
    <x v="0"/>
    <x v="1"/>
    <s v="yes"/>
    <s v="Yes"/>
    <x v="1"/>
  </r>
  <r>
    <n v="0"/>
    <x v="0"/>
    <n v="3"/>
    <x v="0"/>
    <s v="male"/>
    <x v="0"/>
    <n v="24"/>
    <n v="0"/>
    <n v="0"/>
    <n v="7.05"/>
    <s v="Third"/>
    <s v="man"/>
    <x v="0"/>
    <x v="0"/>
    <x v="0"/>
    <s v="no"/>
    <s v="No"/>
    <x v="1"/>
  </r>
  <r>
    <n v="1"/>
    <x v="1"/>
    <n v="2"/>
    <x v="2"/>
    <s v="female"/>
    <x v="1"/>
    <n v="35"/>
    <n v="0"/>
    <n v="0"/>
    <n v="21"/>
    <s v="Second"/>
    <s v="woman"/>
    <x v="1"/>
    <x v="1"/>
    <x v="0"/>
    <s v="yes"/>
    <s v="Yes"/>
    <x v="1"/>
  </r>
  <r>
    <n v="0"/>
    <x v="0"/>
    <n v="3"/>
    <x v="0"/>
    <s v="male"/>
    <x v="0"/>
    <n v="22"/>
    <n v="0"/>
    <n v="0"/>
    <n v="7.25"/>
    <s v="Third"/>
    <s v="man"/>
    <x v="0"/>
    <x v="0"/>
    <x v="0"/>
    <s v="no"/>
    <s v="No"/>
    <x v="1"/>
  </r>
  <r>
    <n v="0"/>
    <x v="0"/>
    <n v="2"/>
    <x v="2"/>
    <s v="male"/>
    <x v="0"/>
    <n v="30"/>
    <n v="0"/>
    <n v="0"/>
    <n v="13"/>
    <s v="Second"/>
    <s v="man"/>
    <x v="0"/>
    <x v="0"/>
    <x v="0"/>
    <s v="no"/>
    <s v="No"/>
    <x v="1"/>
  </r>
  <r>
    <n v="0"/>
    <x v="0"/>
    <n v="3"/>
    <x v="0"/>
    <s v="male"/>
    <x v="0"/>
    <n v="30"/>
    <n v="1"/>
    <n v="0"/>
    <n v="7.75"/>
    <s v="Third"/>
    <s v="man"/>
    <x v="0"/>
    <x v="0"/>
    <x v="2"/>
    <s v="no"/>
    <s v="No"/>
    <x v="0"/>
  </r>
  <r>
    <n v="1"/>
    <x v="1"/>
    <n v="1"/>
    <x v="1"/>
    <s v="female"/>
    <x v="1"/>
    <n v="31"/>
    <n v="1"/>
    <n v="0"/>
    <n v="113.27500000000001"/>
    <s v="First"/>
    <s v="woman"/>
    <x v="1"/>
    <x v="1"/>
    <x v="1"/>
    <s v="yes"/>
    <s v="Yes"/>
    <x v="0"/>
  </r>
  <r>
    <n v="1"/>
    <x v="1"/>
    <n v="3"/>
    <x v="0"/>
    <s v="female"/>
    <x v="1"/>
    <n v="27"/>
    <n v="0"/>
    <n v="0"/>
    <n v="7.9249999999999998"/>
    <s v="Third"/>
    <s v="woman"/>
    <x v="1"/>
    <x v="1"/>
    <x v="0"/>
    <s v="yes"/>
    <s v="Yes"/>
    <x v="1"/>
  </r>
  <r>
    <n v="0"/>
    <x v="0"/>
    <n v="2"/>
    <x v="2"/>
    <s v="male"/>
    <x v="0"/>
    <n v="42"/>
    <n v="1"/>
    <n v="0"/>
    <n v="27"/>
    <s v="Second"/>
    <s v="man"/>
    <x v="0"/>
    <x v="0"/>
    <x v="0"/>
    <s v="no"/>
    <s v="No"/>
    <x v="0"/>
  </r>
  <r>
    <n v="1"/>
    <x v="1"/>
    <n v="1"/>
    <x v="1"/>
    <s v="female"/>
    <x v="1"/>
    <n v="32"/>
    <n v="0"/>
    <n v="0"/>
    <n v="76.291700000000006"/>
    <s v="First"/>
    <s v="woman"/>
    <x v="1"/>
    <x v="1"/>
    <x v="1"/>
    <s v="yes"/>
    <s v="Yes"/>
    <x v="1"/>
  </r>
  <r>
    <n v="0"/>
    <x v="0"/>
    <n v="2"/>
    <x v="2"/>
    <s v="male"/>
    <x v="0"/>
    <n v="30"/>
    <n v="0"/>
    <n v="0"/>
    <n v="10.5"/>
    <s v="Second"/>
    <s v="man"/>
    <x v="0"/>
    <x v="0"/>
    <x v="0"/>
    <s v="no"/>
    <s v="No"/>
    <x v="1"/>
  </r>
  <r>
    <n v="1"/>
    <x v="1"/>
    <n v="3"/>
    <x v="0"/>
    <s v="male"/>
    <x v="0"/>
    <n v="16"/>
    <n v="0"/>
    <n v="0"/>
    <n v="8.0500000000000007"/>
    <s v="Third"/>
    <s v="man"/>
    <x v="0"/>
    <x v="0"/>
    <x v="0"/>
    <s v="yes"/>
    <s v="Yes"/>
    <x v="1"/>
  </r>
  <r>
    <n v="0"/>
    <x v="0"/>
    <n v="2"/>
    <x v="2"/>
    <s v="male"/>
    <x v="0"/>
    <n v="27"/>
    <n v="0"/>
    <n v="0"/>
    <n v="13"/>
    <s v="Second"/>
    <s v="man"/>
    <x v="0"/>
    <x v="0"/>
    <x v="0"/>
    <s v="no"/>
    <s v="No"/>
    <x v="1"/>
  </r>
  <r>
    <n v="0"/>
    <x v="0"/>
    <n v="3"/>
    <x v="0"/>
    <s v="male"/>
    <x v="0"/>
    <n v="51"/>
    <n v="0"/>
    <n v="0"/>
    <n v="8.0500000000000007"/>
    <s v="Third"/>
    <s v="man"/>
    <x v="0"/>
    <x v="0"/>
    <x v="0"/>
    <s v="no"/>
    <s v="No"/>
    <x v="1"/>
  </r>
  <r>
    <n v="0"/>
    <x v="0"/>
    <n v="3"/>
    <x v="0"/>
    <s v="male"/>
    <x v="0"/>
    <n v="30"/>
    <n v="0"/>
    <n v="0"/>
    <n v="7.8958000000000004"/>
    <s v="Third"/>
    <s v="man"/>
    <x v="0"/>
    <x v="0"/>
    <x v="0"/>
    <s v="no"/>
    <s v="No"/>
    <x v="1"/>
  </r>
  <r>
    <n v="1"/>
    <x v="1"/>
    <n v="1"/>
    <x v="1"/>
    <s v="male"/>
    <x v="0"/>
    <n v="38"/>
    <n v="1"/>
    <n v="0"/>
    <n v="90"/>
    <s v="First"/>
    <s v="man"/>
    <x v="0"/>
    <x v="0"/>
    <x v="0"/>
    <s v="yes"/>
    <s v="Yes"/>
    <x v="0"/>
  </r>
  <r>
    <n v="0"/>
    <x v="0"/>
    <n v="3"/>
    <x v="0"/>
    <s v="male"/>
    <x v="0"/>
    <n v="22"/>
    <n v="0"/>
    <n v="0"/>
    <n v="9.35"/>
    <s v="Third"/>
    <s v="man"/>
    <x v="0"/>
    <x v="0"/>
    <x v="0"/>
    <s v="no"/>
    <s v="No"/>
    <x v="1"/>
  </r>
  <r>
    <n v="1"/>
    <x v="1"/>
    <n v="2"/>
    <x v="2"/>
    <s v="male"/>
    <x v="0"/>
    <n v="19"/>
    <n v="0"/>
    <n v="0"/>
    <n v="10.5"/>
    <s v="Second"/>
    <s v="man"/>
    <x v="0"/>
    <x v="0"/>
    <x v="0"/>
    <s v="yes"/>
    <s v="Yes"/>
    <x v="1"/>
  </r>
  <r>
    <n v="0"/>
    <x v="0"/>
    <n v="3"/>
    <x v="0"/>
    <s v="male"/>
    <x v="0"/>
    <n v="20.5"/>
    <n v="0"/>
    <n v="0"/>
    <n v="7.25"/>
    <s v="Third"/>
    <s v="man"/>
    <x v="0"/>
    <x v="0"/>
    <x v="0"/>
    <s v="no"/>
    <s v="No"/>
    <x v="1"/>
  </r>
  <r>
    <n v="0"/>
    <x v="0"/>
    <n v="2"/>
    <x v="2"/>
    <s v="male"/>
    <x v="0"/>
    <n v="18"/>
    <n v="0"/>
    <n v="0"/>
    <n v="13"/>
    <s v="Second"/>
    <s v="man"/>
    <x v="0"/>
    <x v="0"/>
    <x v="0"/>
    <s v="no"/>
    <s v="No"/>
    <x v="1"/>
  </r>
  <r>
    <n v="0"/>
    <x v="0"/>
    <n v="3"/>
    <x v="0"/>
    <s v="female"/>
    <x v="1"/>
    <n v="30"/>
    <n v="3"/>
    <n v="1"/>
    <n v="25.466699999999999"/>
    <s v="Third"/>
    <s v="woman"/>
    <x v="1"/>
    <x v="1"/>
    <x v="0"/>
    <s v="no"/>
    <s v="No"/>
    <x v="0"/>
  </r>
  <r>
    <n v="1"/>
    <x v="1"/>
    <n v="1"/>
    <x v="1"/>
    <s v="female"/>
    <x v="1"/>
    <n v="35"/>
    <n v="1"/>
    <n v="0"/>
    <n v="83.474999999999994"/>
    <s v="First"/>
    <s v="woman"/>
    <x v="1"/>
    <x v="1"/>
    <x v="0"/>
    <s v="yes"/>
    <s v="Yes"/>
    <x v="0"/>
  </r>
  <r>
    <n v="0"/>
    <x v="0"/>
    <n v="3"/>
    <x v="0"/>
    <s v="male"/>
    <x v="0"/>
    <n v="29"/>
    <n v="0"/>
    <n v="0"/>
    <n v="7.7750000000000004"/>
    <s v="Third"/>
    <s v="man"/>
    <x v="0"/>
    <x v="0"/>
    <x v="0"/>
    <s v="no"/>
    <s v="No"/>
    <x v="1"/>
  </r>
  <r>
    <n v="0"/>
    <x v="0"/>
    <n v="2"/>
    <x v="2"/>
    <s v="male"/>
    <x v="0"/>
    <n v="59"/>
    <n v="0"/>
    <n v="0"/>
    <n v="13.5"/>
    <s v="Second"/>
    <s v="man"/>
    <x v="0"/>
    <x v="0"/>
    <x v="0"/>
    <s v="no"/>
    <s v="No"/>
    <x v="1"/>
  </r>
  <r>
    <n v="1"/>
    <x v="1"/>
    <n v="3"/>
    <x v="0"/>
    <s v="female"/>
    <x v="1"/>
    <n v="5"/>
    <n v="4"/>
    <n v="2"/>
    <n v="31.387499999999999"/>
    <s v="Third"/>
    <s v="child"/>
    <x v="2"/>
    <x v="1"/>
    <x v="0"/>
    <s v="yes"/>
    <s v="Yes"/>
    <x v="0"/>
  </r>
  <r>
    <n v="0"/>
    <x v="0"/>
    <n v="2"/>
    <x v="2"/>
    <s v="male"/>
    <x v="0"/>
    <n v="24"/>
    <n v="0"/>
    <n v="0"/>
    <n v="10.5"/>
    <s v="Second"/>
    <s v="man"/>
    <x v="0"/>
    <x v="0"/>
    <x v="0"/>
    <s v="no"/>
    <s v="No"/>
    <x v="1"/>
  </r>
  <r>
    <n v="0"/>
    <x v="0"/>
    <n v="3"/>
    <x v="0"/>
    <s v="female"/>
    <x v="1"/>
    <n v="30"/>
    <n v="0"/>
    <n v="0"/>
    <n v="7.55"/>
    <s v="Third"/>
    <s v="woman"/>
    <x v="1"/>
    <x v="1"/>
    <x v="0"/>
    <s v="no"/>
    <s v="No"/>
    <x v="1"/>
  </r>
  <r>
    <n v="0"/>
    <x v="0"/>
    <n v="2"/>
    <x v="2"/>
    <s v="male"/>
    <x v="0"/>
    <n v="44"/>
    <n v="1"/>
    <n v="0"/>
    <n v="26"/>
    <s v="Second"/>
    <s v="man"/>
    <x v="0"/>
    <x v="0"/>
    <x v="0"/>
    <s v="no"/>
    <s v="No"/>
    <x v="0"/>
  </r>
  <r>
    <n v="1"/>
    <x v="1"/>
    <n v="2"/>
    <x v="2"/>
    <s v="female"/>
    <x v="1"/>
    <n v="8"/>
    <n v="0"/>
    <n v="2"/>
    <n v="26.25"/>
    <s v="Second"/>
    <s v="child"/>
    <x v="2"/>
    <x v="1"/>
    <x v="0"/>
    <s v="yes"/>
    <s v="Yes"/>
    <x v="0"/>
  </r>
  <r>
    <n v="0"/>
    <x v="0"/>
    <n v="2"/>
    <x v="2"/>
    <s v="male"/>
    <x v="0"/>
    <n v="19"/>
    <n v="0"/>
    <n v="0"/>
    <n v="10.5"/>
    <s v="Second"/>
    <s v="man"/>
    <x v="0"/>
    <x v="0"/>
    <x v="0"/>
    <s v="no"/>
    <s v="No"/>
    <x v="1"/>
  </r>
  <r>
    <n v="0"/>
    <x v="0"/>
    <n v="2"/>
    <x v="2"/>
    <s v="male"/>
    <x v="0"/>
    <n v="33"/>
    <n v="0"/>
    <n v="0"/>
    <n v="12.275"/>
    <s v="Second"/>
    <s v="man"/>
    <x v="0"/>
    <x v="0"/>
    <x v="0"/>
    <s v="no"/>
    <s v="No"/>
    <x v="1"/>
  </r>
  <r>
    <n v="0"/>
    <x v="0"/>
    <n v="3"/>
    <x v="0"/>
    <s v="female"/>
    <x v="1"/>
    <n v="30"/>
    <n v="1"/>
    <n v="0"/>
    <n v="14.4542"/>
    <s v="Third"/>
    <s v="woman"/>
    <x v="1"/>
    <x v="1"/>
    <x v="1"/>
    <s v="no"/>
    <s v="No"/>
    <x v="0"/>
  </r>
  <r>
    <n v="1"/>
    <x v="1"/>
    <n v="3"/>
    <x v="0"/>
    <s v="female"/>
    <x v="1"/>
    <n v="30"/>
    <n v="1"/>
    <n v="0"/>
    <n v="15.5"/>
    <s v="Third"/>
    <s v="woman"/>
    <x v="1"/>
    <x v="1"/>
    <x v="2"/>
    <s v="yes"/>
    <s v="Yes"/>
    <x v="0"/>
  </r>
  <r>
    <n v="0"/>
    <x v="0"/>
    <n v="2"/>
    <x v="2"/>
    <s v="male"/>
    <x v="0"/>
    <n v="29"/>
    <n v="0"/>
    <n v="0"/>
    <n v="10.5"/>
    <s v="Second"/>
    <s v="man"/>
    <x v="0"/>
    <x v="0"/>
    <x v="0"/>
    <s v="no"/>
    <s v="No"/>
    <x v="1"/>
  </r>
  <r>
    <n v="0"/>
    <x v="0"/>
    <n v="3"/>
    <x v="0"/>
    <s v="male"/>
    <x v="0"/>
    <n v="22"/>
    <n v="0"/>
    <n v="0"/>
    <n v="7.125"/>
    <s v="Third"/>
    <s v="man"/>
    <x v="0"/>
    <x v="0"/>
    <x v="0"/>
    <s v="no"/>
    <s v="No"/>
    <x v="1"/>
  </r>
  <r>
    <n v="0"/>
    <x v="0"/>
    <n v="3"/>
    <x v="0"/>
    <s v="male"/>
    <x v="0"/>
    <n v="30"/>
    <n v="0"/>
    <n v="0"/>
    <n v="7.2249999999999996"/>
    <s v="Third"/>
    <s v="man"/>
    <x v="0"/>
    <x v="0"/>
    <x v="1"/>
    <s v="no"/>
    <s v="No"/>
    <x v="1"/>
  </r>
  <r>
    <n v="0"/>
    <x v="0"/>
    <n v="1"/>
    <x v="1"/>
    <s v="male"/>
    <x v="0"/>
    <n v="44"/>
    <n v="2"/>
    <n v="0"/>
    <n v="90"/>
    <s v="First"/>
    <s v="man"/>
    <x v="0"/>
    <x v="0"/>
    <x v="2"/>
    <s v="no"/>
    <s v="No"/>
    <x v="0"/>
  </r>
  <r>
    <n v="0"/>
    <x v="0"/>
    <n v="3"/>
    <x v="0"/>
    <s v="female"/>
    <x v="1"/>
    <n v="25"/>
    <n v="0"/>
    <n v="0"/>
    <n v="7.7750000000000004"/>
    <s v="Third"/>
    <s v="woman"/>
    <x v="1"/>
    <x v="1"/>
    <x v="0"/>
    <s v="no"/>
    <s v="No"/>
    <x v="1"/>
  </r>
  <r>
    <n v="1"/>
    <x v="1"/>
    <n v="2"/>
    <x v="2"/>
    <s v="female"/>
    <x v="1"/>
    <n v="24"/>
    <n v="0"/>
    <n v="2"/>
    <n v="14.5"/>
    <s v="Second"/>
    <s v="woman"/>
    <x v="1"/>
    <x v="1"/>
    <x v="0"/>
    <s v="yes"/>
    <s v="Yes"/>
    <x v="0"/>
  </r>
  <r>
    <n v="1"/>
    <x v="1"/>
    <n v="1"/>
    <x v="1"/>
    <s v="male"/>
    <x v="0"/>
    <n v="37"/>
    <n v="1"/>
    <n v="1"/>
    <n v="52.554200000000002"/>
    <s v="First"/>
    <s v="man"/>
    <x v="0"/>
    <x v="0"/>
    <x v="0"/>
    <s v="yes"/>
    <s v="Yes"/>
    <x v="0"/>
  </r>
  <r>
    <n v="0"/>
    <x v="0"/>
    <n v="2"/>
    <x v="2"/>
    <s v="male"/>
    <x v="0"/>
    <n v="54"/>
    <n v="1"/>
    <n v="0"/>
    <n v="26"/>
    <s v="Second"/>
    <s v="man"/>
    <x v="0"/>
    <x v="0"/>
    <x v="0"/>
    <s v="no"/>
    <s v="No"/>
    <x v="0"/>
  </r>
  <r>
    <n v="0"/>
    <x v="0"/>
    <n v="3"/>
    <x v="0"/>
    <s v="male"/>
    <x v="0"/>
    <n v="30"/>
    <n v="0"/>
    <n v="0"/>
    <n v="7.25"/>
    <s v="Third"/>
    <s v="man"/>
    <x v="0"/>
    <x v="0"/>
    <x v="0"/>
    <s v="no"/>
    <s v="No"/>
    <x v="1"/>
  </r>
  <r>
    <n v="0"/>
    <x v="0"/>
    <n v="3"/>
    <x v="0"/>
    <s v="female"/>
    <x v="1"/>
    <n v="29"/>
    <n v="1"/>
    <n v="1"/>
    <n v="10.4625"/>
    <s v="Third"/>
    <s v="woman"/>
    <x v="1"/>
    <x v="1"/>
    <x v="0"/>
    <s v="no"/>
    <s v="No"/>
    <x v="0"/>
  </r>
  <r>
    <n v="0"/>
    <x v="0"/>
    <n v="1"/>
    <x v="1"/>
    <s v="male"/>
    <x v="0"/>
    <n v="62"/>
    <n v="0"/>
    <n v="0"/>
    <n v="26.55"/>
    <s v="First"/>
    <s v="man"/>
    <x v="0"/>
    <x v="0"/>
    <x v="0"/>
    <s v="no"/>
    <s v="No"/>
    <x v="1"/>
  </r>
  <r>
    <n v="0"/>
    <x v="0"/>
    <n v="3"/>
    <x v="0"/>
    <s v="male"/>
    <x v="0"/>
    <n v="30"/>
    <n v="1"/>
    <n v="0"/>
    <n v="16.100000000000001"/>
    <s v="Third"/>
    <s v="man"/>
    <x v="0"/>
    <x v="0"/>
    <x v="0"/>
    <s v="no"/>
    <s v="No"/>
    <x v="0"/>
  </r>
  <r>
    <n v="0"/>
    <x v="0"/>
    <n v="3"/>
    <x v="0"/>
    <s v="female"/>
    <x v="1"/>
    <n v="41"/>
    <n v="0"/>
    <n v="2"/>
    <n v="20.212499999999999"/>
    <s v="Third"/>
    <s v="woman"/>
    <x v="1"/>
    <x v="1"/>
    <x v="0"/>
    <s v="no"/>
    <s v="No"/>
    <x v="0"/>
  </r>
  <r>
    <n v="1"/>
    <x v="1"/>
    <n v="3"/>
    <x v="0"/>
    <s v="female"/>
    <x v="1"/>
    <n v="29"/>
    <n v="0"/>
    <n v="2"/>
    <n v="15.245799999999999"/>
    <s v="Third"/>
    <s v="woman"/>
    <x v="1"/>
    <x v="1"/>
    <x v="1"/>
    <s v="yes"/>
    <s v="Yes"/>
    <x v="0"/>
  </r>
  <r>
    <n v="1"/>
    <x v="1"/>
    <n v="1"/>
    <x v="1"/>
    <s v="female"/>
    <x v="1"/>
    <n v="30"/>
    <n v="0"/>
    <n v="0"/>
    <n v="79.2"/>
    <s v="First"/>
    <s v="woman"/>
    <x v="1"/>
    <x v="1"/>
    <x v="1"/>
    <s v="yes"/>
    <s v="Yes"/>
    <x v="1"/>
  </r>
  <r>
    <n v="1"/>
    <x v="1"/>
    <n v="1"/>
    <x v="1"/>
    <s v="female"/>
    <x v="1"/>
    <n v="30"/>
    <n v="0"/>
    <n v="0"/>
    <n v="86.5"/>
    <s v="First"/>
    <s v="woman"/>
    <x v="1"/>
    <x v="1"/>
    <x v="0"/>
    <s v="yes"/>
    <s v="Yes"/>
    <x v="1"/>
  </r>
  <r>
    <n v="1"/>
    <x v="1"/>
    <n v="1"/>
    <x v="1"/>
    <s v="female"/>
    <x v="1"/>
    <n v="35"/>
    <n v="0"/>
    <n v="0"/>
    <n v="512.32920000000001"/>
    <s v="First"/>
    <s v="woman"/>
    <x v="1"/>
    <x v="1"/>
    <x v="1"/>
    <s v="yes"/>
    <s v="Yes"/>
    <x v="1"/>
  </r>
  <r>
    <n v="1"/>
    <x v="1"/>
    <n v="2"/>
    <x v="2"/>
    <s v="female"/>
    <x v="1"/>
    <n v="50"/>
    <n v="0"/>
    <n v="1"/>
    <n v="26"/>
    <s v="Second"/>
    <s v="woman"/>
    <x v="1"/>
    <x v="1"/>
    <x v="0"/>
    <s v="yes"/>
    <s v="Yes"/>
    <x v="0"/>
  </r>
  <r>
    <n v="0"/>
    <x v="0"/>
    <n v="3"/>
    <x v="0"/>
    <s v="male"/>
    <x v="0"/>
    <n v="30"/>
    <n v="0"/>
    <n v="0"/>
    <n v="7.75"/>
    <s v="Third"/>
    <s v="man"/>
    <x v="0"/>
    <x v="0"/>
    <x v="2"/>
    <s v="no"/>
    <s v="No"/>
    <x v="1"/>
  </r>
  <r>
    <n v="1"/>
    <x v="1"/>
    <n v="3"/>
    <x v="0"/>
    <s v="male"/>
    <x v="0"/>
    <n v="3"/>
    <n v="4"/>
    <n v="2"/>
    <n v="31.387499999999999"/>
    <s v="Third"/>
    <s v="child"/>
    <x v="2"/>
    <x v="1"/>
    <x v="0"/>
    <s v="yes"/>
    <s v="Yes"/>
    <x v="0"/>
  </r>
  <r>
    <n v="0"/>
    <x v="0"/>
    <n v="1"/>
    <x v="1"/>
    <s v="male"/>
    <x v="0"/>
    <n v="52"/>
    <n v="1"/>
    <n v="1"/>
    <n v="79.650000000000006"/>
    <s v="First"/>
    <s v="man"/>
    <x v="0"/>
    <x v="0"/>
    <x v="0"/>
    <s v="no"/>
    <s v="No"/>
    <x v="0"/>
  </r>
  <r>
    <n v="0"/>
    <x v="0"/>
    <n v="1"/>
    <x v="1"/>
    <s v="male"/>
    <x v="0"/>
    <n v="40"/>
    <n v="0"/>
    <n v="0"/>
    <n v="0"/>
    <s v="First"/>
    <s v="man"/>
    <x v="0"/>
    <x v="0"/>
    <x v="0"/>
    <s v="no"/>
    <s v="No"/>
    <x v="1"/>
  </r>
  <r>
    <n v="0"/>
    <x v="0"/>
    <n v="3"/>
    <x v="0"/>
    <s v="female"/>
    <x v="1"/>
    <n v="30"/>
    <n v="0"/>
    <n v="0"/>
    <n v="7.75"/>
    <s v="Third"/>
    <s v="woman"/>
    <x v="1"/>
    <x v="1"/>
    <x v="2"/>
    <s v="no"/>
    <s v="No"/>
    <x v="1"/>
  </r>
  <r>
    <n v="0"/>
    <x v="0"/>
    <n v="2"/>
    <x v="2"/>
    <s v="male"/>
    <x v="0"/>
    <n v="36"/>
    <n v="0"/>
    <n v="0"/>
    <n v="10.5"/>
    <s v="Second"/>
    <s v="man"/>
    <x v="0"/>
    <x v="0"/>
    <x v="0"/>
    <s v="no"/>
    <s v="No"/>
    <x v="1"/>
  </r>
  <r>
    <n v="0"/>
    <x v="0"/>
    <n v="3"/>
    <x v="0"/>
    <s v="male"/>
    <x v="0"/>
    <n v="16"/>
    <n v="4"/>
    <n v="1"/>
    <n v="39.6875"/>
    <s v="Third"/>
    <s v="man"/>
    <x v="0"/>
    <x v="0"/>
    <x v="0"/>
    <s v="no"/>
    <s v="No"/>
    <x v="0"/>
  </r>
  <r>
    <n v="1"/>
    <x v="1"/>
    <n v="3"/>
    <x v="0"/>
    <s v="male"/>
    <x v="0"/>
    <n v="25"/>
    <n v="1"/>
    <n v="0"/>
    <n v="7.7750000000000004"/>
    <s v="Third"/>
    <s v="man"/>
    <x v="0"/>
    <x v="0"/>
    <x v="0"/>
    <s v="yes"/>
    <s v="Yes"/>
    <x v="0"/>
  </r>
  <r>
    <n v="1"/>
    <x v="1"/>
    <n v="1"/>
    <x v="1"/>
    <s v="female"/>
    <x v="1"/>
    <n v="58"/>
    <n v="0"/>
    <n v="1"/>
    <n v="153.46250000000001"/>
    <s v="First"/>
    <s v="woman"/>
    <x v="1"/>
    <x v="1"/>
    <x v="0"/>
    <s v="yes"/>
    <s v="Yes"/>
    <x v="0"/>
  </r>
  <r>
    <n v="1"/>
    <x v="1"/>
    <n v="1"/>
    <x v="1"/>
    <s v="female"/>
    <x v="1"/>
    <n v="35"/>
    <n v="0"/>
    <n v="0"/>
    <n v="135.63329999999999"/>
    <s v="First"/>
    <s v="woman"/>
    <x v="1"/>
    <x v="1"/>
    <x v="0"/>
    <s v="yes"/>
    <s v="Yes"/>
    <x v="1"/>
  </r>
  <r>
    <n v="0"/>
    <x v="0"/>
    <n v="1"/>
    <x v="1"/>
    <s v="male"/>
    <x v="0"/>
    <n v="30"/>
    <n v="0"/>
    <n v="0"/>
    <n v="31"/>
    <s v="First"/>
    <s v="man"/>
    <x v="0"/>
    <x v="0"/>
    <x v="0"/>
    <s v="no"/>
    <s v="No"/>
    <x v="1"/>
  </r>
  <r>
    <n v="1"/>
    <x v="1"/>
    <n v="3"/>
    <x v="0"/>
    <s v="male"/>
    <x v="0"/>
    <n v="25"/>
    <n v="0"/>
    <n v="0"/>
    <n v="0"/>
    <s v="Third"/>
    <s v="man"/>
    <x v="0"/>
    <x v="0"/>
    <x v="0"/>
    <s v="yes"/>
    <s v="Yes"/>
    <x v="1"/>
  </r>
  <r>
    <n v="1"/>
    <x v="1"/>
    <n v="2"/>
    <x v="2"/>
    <s v="female"/>
    <x v="1"/>
    <n v="41"/>
    <n v="0"/>
    <n v="1"/>
    <n v="19.5"/>
    <s v="Second"/>
    <s v="woman"/>
    <x v="1"/>
    <x v="1"/>
    <x v="0"/>
    <s v="yes"/>
    <s v="Yes"/>
    <x v="0"/>
  </r>
  <r>
    <n v="0"/>
    <x v="0"/>
    <n v="1"/>
    <x v="1"/>
    <s v="male"/>
    <x v="0"/>
    <n v="37"/>
    <n v="0"/>
    <n v="1"/>
    <n v="29.7"/>
    <s v="First"/>
    <s v="man"/>
    <x v="0"/>
    <x v="0"/>
    <x v="1"/>
    <s v="no"/>
    <s v="No"/>
    <x v="0"/>
  </r>
  <r>
    <n v="1"/>
    <x v="1"/>
    <n v="3"/>
    <x v="0"/>
    <s v="female"/>
    <x v="1"/>
    <n v="30"/>
    <n v="0"/>
    <n v="0"/>
    <n v="7.75"/>
    <s v="Third"/>
    <s v="woman"/>
    <x v="1"/>
    <x v="1"/>
    <x v="2"/>
    <s v="yes"/>
    <s v="Yes"/>
    <x v="1"/>
  </r>
  <r>
    <n v="1"/>
    <x v="1"/>
    <n v="1"/>
    <x v="1"/>
    <s v="female"/>
    <x v="1"/>
    <n v="63"/>
    <n v="1"/>
    <n v="0"/>
    <n v="77.958299999999994"/>
    <s v="First"/>
    <s v="woman"/>
    <x v="1"/>
    <x v="1"/>
    <x v="0"/>
    <s v="yes"/>
    <s v="Yes"/>
    <x v="0"/>
  </r>
  <r>
    <n v="0"/>
    <x v="0"/>
    <n v="3"/>
    <x v="0"/>
    <s v="female"/>
    <x v="1"/>
    <n v="45"/>
    <n v="0"/>
    <n v="0"/>
    <n v="7.75"/>
    <s v="Third"/>
    <s v="woman"/>
    <x v="1"/>
    <x v="1"/>
    <x v="0"/>
    <s v="no"/>
    <s v="No"/>
    <x v="1"/>
  </r>
  <r>
    <n v="0"/>
    <x v="0"/>
    <n v="2"/>
    <x v="2"/>
    <s v="male"/>
    <x v="0"/>
    <n v="30"/>
    <n v="0"/>
    <n v="0"/>
    <n v="0"/>
    <s v="Second"/>
    <s v="man"/>
    <x v="0"/>
    <x v="0"/>
    <x v="0"/>
    <s v="no"/>
    <s v="No"/>
    <x v="1"/>
  </r>
  <r>
    <n v="0"/>
    <x v="0"/>
    <n v="3"/>
    <x v="0"/>
    <s v="male"/>
    <x v="0"/>
    <n v="7"/>
    <n v="4"/>
    <n v="1"/>
    <n v="29.125"/>
    <s v="Third"/>
    <s v="child"/>
    <x v="2"/>
    <x v="1"/>
    <x v="2"/>
    <s v="no"/>
    <s v="No"/>
    <x v="0"/>
  </r>
  <r>
    <n v="1"/>
    <x v="1"/>
    <n v="3"/>
    <x v="0"/>
    <s v="female"/>
    <x v="1"/>
    <n v="35"/>
    <n v="1"/>
    <n v="1"/>
    <n v="20.25"/>
    <s v="Third"/>
    <s v="woman"/>
    <x v="1"/>
    <x v="1"/>
    <x v="0"/>
    <s v="yes"/>
    <s v="Yes"/>
    <x v="0"/>
  </r>
  <r>
    <n v="0"/>
    <x v="0"/>
    <n v="3"/>
    <x v="0"/>
    <s v="male"/>
    <x v="0"/>
    <n v="65"/>
    <n v="0"/>
    <n v="0"/>
    <n v="7.75"/>
    <s v="Third"/>
    <s v="man"/>
    <x v="0"/>
    <x v="0"/>
    <x v="2"/>
    <s v="no"/>
    <s v="No"/>
    <x v="1"/>
  </r>
  <r>
    <n v="0"/>
    <x v="0"/>
    <n v="3"/>
    <x v="0"/>
    <s v="male"/>
    <x v="0"/>
    <n v="28"/>
    <n v="0"/>
    <n v="0"/>
    <n v="7.8541999999999996"/>
    <s v="Third"/>
    <s v="man"/>
    <x v="0"/>
    <x v="0"/>
    <x v="0"/>
    <s v="no"/>
    <s v="No"/>
    <x v="1"/>
  </r>
  <r>
    <n v="0"/>
    <x v="0"/>
    <n v="3"/>
    <x v="0"/>
    <s v="male"/>
    <x v="0"/>
    <n v="16"/>
    <n v="0"/>
    <n v="0"/>
    <n v="9.5"/>
    <s v="Third"/>
    <s v="man"/>
    <x v="0"/>
    <x v="0"/>
    <x v="0"/>
    <s v="no"/>
    <s v="No"/>
    <x v="1"/>
  </r>
  <r>
    <n v="1"/>
    <x v="1"/>
    <n v="3"/>
    <x v="0"/>
    <s v="male"/>
    <x v="0"/>
    <n v="19"/>
    <n v="0"/>
    <n v="0"/>
    <n v="8.0500000000000007"/>
    <s v="Third"/>
    <s v="man"/>
    <x v="0"/>
    <x v="0"/>
    <x v="0"/>
    <s v="yes"/>
    <s v="Yes"/>
    <x v="1"/>
  </r>
  <r>
    <n v="0"/>
    <x v="0"/>
    <n v="1"/>
    <x v="1"/>
    <s v="male"/>
    <x v="0"/>
    <n v="30"/>
    <n v="0"/>
    <n v="0"/>
    <n v="26"/>
    <s v="First"/>
    <s v="man"/>
    <x v="0"/>
    <x v="0"/>
    <x v="0"/>
    <s v="no"/>
    <s v="No"/>
    <x v="1"/>
  </r>
  <r>
    <n v="0"/>
    <x v="0"/>
    <n v="3"/>
    <x v="0"/>
    <s v="male"/>
    <x v="0"/>
    <n v="33"/>
    <n v="0"/>
    <n v="0"/>
    <n v="8.6624999999999996"/>
    <s v="Third"/>
    <s v="man"/>
    <x v="0"/>
    <x v="0"/>
    <x v="1"/>
    <s v="no"/>
    <s v="No"/>
    <x v="1"/>
  </r>
  <r>
    <n v="1"/>
    <x v="1"/>
    <n v="3"/>
    <x v="0"/>
    <s v="male"/>
    <x v="0"/>
    <n v="30"/>
    <n v="0"/>
    <n v="0"/>
    <n v="9.5"/>
    <s v="Third"/>
    <s v="man"/>
    <x v="0"/>
    <x v="0"/>
    <x v="0"/>
    <s v="yes"/>
    <s v="Yes"/>
    <x v="1"/>
  </r>
  <r>
    <n v="0"/>
    <x v="0"/>
    <n v="3"/>
    <x v="0"/>
    <s v="male"/>
    <x v="0"/>
    <n v="22"/>
    <n v="0"/>
    <n v="0"/>
    <n v="7.8958000000000004"/>
    <s v="Third"/>
    <s v="man"/>
    <x v="0"/>
    <x v="0"/>
    <x v="0"/>
    <s v="no"/>
    <s v="No"/>
    <x v="1"/>
  </r>
  <r>
    <n v="1"/>
    <x v="1"/>
    <n v="2"/>
    <x v="2"/>
    <s v="male"/>
    <x v="0"/>
    <n v="42"/>
    <n v="0"/>
    <n v="0"/>
    <n v="13"/>
    <s v="Second"/>
    <s v="man"/>
    <x v="0"/>
    <x v="0"/>
    <x v="0"/>
    <s v="yes"/>
    <s v="Yes"/>
    <x v="1"/>
  </r>
  <r>
    <n v="1"/>
    <x v="1"/>
    <n v="3"/>
    <x v="0"/>
    <s v="female"/>
    <x v="1"/>
    <n v="22"/>
    <n v="0"/>
    <n v="0"/>
    <n v="7.75"/>
    <s v="Third"/>
    <s v="woman"/>
    <x v="1"/>
    <x v="1"/>
    <x v="2"/>
    <s v="yes"/>
    <s v="Yes"/>
    <x v="1"/>
  </r>
  <r>
    <n v="1"/>
    <x v="1"/>
    <n v="1"/>
    <x v="1"/>
    <s v="female"/>
    <x v="1"/>
    <n v="26"/>
    <n v="0"/>
    <n v="0"/>
    <n v="78.849999999999994"/>
    <s v="First"/>
    <s v="woman"/>
    <x v="1"/>
    <x v="1"/>
    <x v="0"/>
    <s v="yes"/>
    <s v="Yes"/>
    <x v="1"/>
  </r>
  <r>
    <n v="1"/>
    <x v="1"/>
    <n v="1"/>
    <x v="1"/>
    <s v="female"/>
    <x v="1"/>
    <n v="19"/>
    <n v="1"/>
    <n v="0"/>
    <n v="91.0792"/>
    <s v="First"/>
    <s v="woman"/>
    <x v="1"/>
    <x v="1"/>
    <x v="1"/>
    <s v="yes"/>
    <s v="Yes"/>
    <x v="0"/>
  </r>
  <r>
    <n v="0"/>
    <x v="0"/>
    <n v="2"/>
    <x v="2"/>
    <s v="male"/>
    <x v="0"/>
    <n v="36"/>
    <n v="0"/>
    <n v="0"/>
    <n v="12.875"/>
    <s v="Second"/>
    <s v="man"/>
    <x v="0"/>
    <x v="0"/>
    <x v="1"/>
    <s v="no"/>
    <s v="No"/>
    <x v="1"/>
  </r>
  <r>
    <n v="0"/>
    <x v="0"/>
    <n v="3"/>
    <x v="0"/>
    <s v="female"/>
    <x v="1"/>
    <n v="24"/>
    <n v="0"/>
    <n v="0"/>
    <n v="8.85"/>
    <s v="Third"/>
    <s v="woman"/>
    <x v="1"/>
    <x v="1"/>
    <x v="0"/>
    <s v="no"/>
    <s v="No"/>
    <x v="1"/>
  </r>
  <r>
    <n v="0"/>
    <x v="0"/>
    <n v="3"/>
    <x v="0"/>
    <s v="male"/>
    <x v="0"/>
    <n v="24"/>
    <n v="0"/>
    <n v="0"/>
    <n v="7.8958000000000004"/>
    <s v="Third"/>
    <s v="man"/>
    <x v="0"/>
    <x v="0"/>
    <x v="0"/>
    <s v="no"/>
    <s v="No"/>
    <x v="1"/>
  </r>
  <r>
    <n v="0"/>
    <x v="0"/>
    <n v="1"/>
    <x v="1"/>
    <s v="male"/>
    <x v="0"/>
    <n v="30"/>
    <n v="0"/>
    <n v="0"/>
    <n v="27.720800000000001"/>
    <s v="First"/>
    <s v="man"/>
    <x v="0"/>
    <x v="0"/>
    <x v="1"/>
    <s v="no"/>
    <s v="No"/>
    <x v="1"/>
  </r>
  <r>
    <n v="0"/>
    <x v="0"/>
    <n v="3"/>
    <x v="0"/>
    <s v="male"/>
    <x v="0"/>
    <n v="23.5"/>
    <n v="0"/>
    <n v="0"/>
    <n v="7.2291999999999996"/>
    <s v="Third"/>
    <s v="man"/>
    <x v="0"/>
    <x v="0"/>
    <x v="1"/>
    <s v="no"/>
    <s v="No"/>
    <x v="1"/>
  </r>
  <r>
    <n v="0"/>
    <x v="0"/>
    <n v="1"/>
    <x v="1"/>
    <s v="female"/>
    <x v="1"/>
    <n v="2"/>
    <n v="1"/>
    <n v="2"/>
    <n v="151.55000000000001"/>
    <s v="First"/>
    <s v="child"/>
    <x v="2"/>
    <x v="1"/>
    <x v="0"/>
    <s v="no"/>
    <s v="No"/>
    <x v="0"/>
  </r>
  <r>
    <n v="1"/>
    <x v="1"/>
    <n v="1"/>
    <x v="1"/>
    <s v="male"/>
    <x v="0"/>
    <n v="30"/>
    <n v="0"/>
    <n v="0"/>
    <n v="30.5"/>
    <s v="First"/>
    <s v="man"/>
    <x v="0"/>
    <x v="0"/>
    <x v="0"/>
    <s v="yes"/>
    <s v="Yes"/>
    <x v="1"/>
  </r>
  <r>
    <n v="1"/>
    <x v="1"/>
    <n v="1"/>
    <x v="1"/>
    <s v="female"/>
    <x v="1"/>
    <n v="50"/>
    <n v="0"/>
    <n v="1"/>
    <n v="247.52080000000001"/>
    <s v="First"/>
    <s v="woman"/>
    <x v="1"/>
    <x v="1"/>
    <x v="1"/>
    <s v="yes"/>
    <s v="Yes"/>
    <x v="0"/>
  </r>
  <r>
    <n v="1"/>
    <x v="1"/>
    <n v="3"/>
    <x v="0"/>
    <s v="female"/>
    <x v="1"/>
    <n v="30"/>
    <n v="0"/>
    <n v="0"/>
    <n v="7.75"/>
    <s v="Third"/>
    <s v="woman"/>
    <x v="1"/>
    <x v="1"/>
    <x v="2"/>
    <s v="yes"/>
    <s v="Yes"/>
    <x v="1"/>
  </r>
  <r>
    <n v="1"/>
    <x v="1"/>
    <n v="3"/>
    <x v="0"/>
    <s v="male"/>
    <x v="0"/>
    <n v="30"/>
    <n v="2"/>
    <n v="0"/>
    <n v="23.25"/>
    <s v="Third"/>
    <s v="man"/>
    <x v="0"/>
    <x v="0"/>
    <x v="2"/>
    <s v="yes"/>
    <s v="Yes"/>
    <x v="0"/>
  </r>
  <r>
    <n v="0"/>
    <x v="0"/>
    <n v="3"/>
    <x v="0"/>
    <s v="male"/>
    <x v="0"/>
    <n v="19"/>
    <n v="0"/>
    <n v="0"/>
    <n v="0"/>
    <s v="Third"/>
    <s v="man"/>
    <x v="0"/>
    <x v="0"/>
    <x v="0"/>
    <s v="no"/>
    <s v="No"/>
    <x v="1"/>
  </r>
  <r>
    <n v="1"/>
    <x v="1"/>
    <n v="2"/>
    <x v="2"/>
    <s v="female"/>
    <x v="1"/>
    <n v="30"/>
    <n v="0"/>
    <n v="0"/>
    <n v="12.35"/>
    <s v="Second"/>
    <s v="woman"/>
    <x v="1"/>
    <x v="1"/>
    <x v="2"/>
    <s v="yes"/>
    <s v="Yes"/>
    <x v="1"/>
  </r>
  <r>
    <n v="0"/>
    <x v="0"/>
    <n v="3"/>
    <x v="0"/>
    <s v="male"/>
    <x v="0"/>
    <n v="30"/>
    <n v="0"/>
    <n v="0"/>
    <n v="8.0500000000000007"/>
    <s v="Third"/>
    <s v="man"/>
    <x v="0"/>
    <x v="0"/>
    <x v="0"/>
    <s v="no"/>
    <s v="No"/>
    <x v="1"/>
  </r>
  <r>
    <n v="1"/>
    <x v="1"/>
    <n v="1"/>
    <x v="1"/>
    <s v="male"/>
    <x v="0"/>
    <n v="0.92"/>
    <n v="1"/>
    <n v="2"/>
    <n v="151.55000000000001"/>
    <s v="First"/>
    <s v="child"/>
    <x v="2"/>
    <x v="1"/>
    <x v="0"/>
    <s v="yes"/>
    <s v="Yes"/>
    <x v="0"/>
  </r>
  <r>
    <n v="1"/>
    <x v="1"/>
    <n v="1"/>
    <x v="1"/>
    <s v="female"/>
    <x v="1"/>
    <n v="30"/>
    <n v="0"/>
    <n v="0"/>
    <n v="110.88330000000001"/>
    <s v="First"/>
    <s v="woman"/>
    <x v="1"/>
    <x v="1"/>
    <x v="1"/>
    <s v="yes"/>
    <s v="Yes"/>
    <x v="1"/>
  </r>
  <r>
    <n v="1"/>
    <x v="1"/>
    <n v="1"/>
    <x v="1"/>
    <s v="female"/>
    <x v="1"/>
    <n v="17"/>
    <n v="1"/>
    <n v="0"/>
    <n v="108.9"/>
    <s v="First"/>
    <s v="woman"/>
    <x v="1"/>
    <x v="1"/>
    <x v="1"/>
    <s v="yes"/>
    <s v="Yes"/>
    <x v="0"/>
  </r>
  <r>
    <n v="0"/>
    <x v="0"/>
    <n v="2"/>
    <x v="2"/>
    <s v="male"/>
    <x v="0"/>
    <n v="30"/>
    <n v="1"/>
    <n v="0"/>
    <n v="24"/>
    <s v="Second"/>
    <s v="man"/>
    <x v="0"/>
    <x v="0"/>
    <x v="1"/>
    <s v="no"/>
    <s v="No"/>
    <x v="0"/>
  </r>
  <r>
    <n v="1"/>
    <x v="1"/>
    <n v="1"/>
    <x v="1"/>
    <s v="female"/>
    <x v="1"/>
    <n v="30"/>
    <n v="0"/>
    <n v="0"/>
    <n v="56.929200000000002"/>
    <s v="First"/>
    <s v="woman"/>
    <x v="1"/>
    <x v="1"/>
    <x v="1"/>
    <s v="yes"/>
    <s v="Yes"/>
    <x v="1"/>
  </r>
  <r>
    <n v="1"/>
    <x v="1"/>
    <n v="1"/>
    <x v="1"/>
    <s v="female"/>
    <x v="1"/>
    <n v="24"/>
    <n v="0"/>
    <n v="0"/>
    <n v="83.158299999999997"/>
    <s v="First"/>
    <s v="woman"/>
    <x v="1"/>
    <x v="1"/>
    <x v="1"/>
    <s v="yes"/>
    <s v="Yes"/>
    <x v="1"/>
  </r>
  <r>
    <n v="1"/>
    <x v="1"/>
    <n v="1"/>
    <x v="1"/>
    <s v="female"/>
    <x v="1"/>
    <n v="18"/>
    <n v="2"/>
    <n v="2"/>
    <n v="262.375"/>
    <s v="First"/>
    <s v="woman"/>
    <x v="1"/>
    <x v="1"/>
    <x v="1"/>
    <s v="yes"/>
    <s v="Yes"/>
    <x v="0"/>
  </r>
  <r>
    <n v="0"/>
    <x v="0"/>
    <n v="2"/>
    <x v="2"/>
    <s v="female"/>
    <x v="1"/>
    <n v="26"/>
    <n v="1"/>
    <n v="1"/>
    <n v="26"/>
    <s v="Second"/>
    <s v="woman"/>
    <x v="1"/>
    <x v="1"/>
    <x v="0"/>
    <s v="no"/>
    <s v="No"/>
    <x v="0"/>
  </r>
  <r>
    <n v="0"/>
    <x v="0"/>
    <n v="3"/>
    <x v="0"/>
    <s v="male"/>
    <x v="0"/>
    <n v="28"/>
    <n v="0"/>
    <n v="0"/>
    <n v="7.8958000000000004"/>
    <s v="Third"/>
    <s v="man"/>
    <x v="0"/>
    <x v="0"/>
    <x v="0"/>
    <s v="no"/>
    <s v="No"/>
    <x v="1"/>
  </r>
  <r>
    <n v="0"/>
    <x v="0"/>
    <n v="2"/>
    <x v="2"/>
    <s v="male"/>
    <x v="0"/>
    <n v="43"/>
    <n v="1"/>
    <n v="1"/>
    <n v="26.25"/>
    <s v="Second"/>
    <s v="man"/>
    <x v="0"/>
    <x v="0"/>
    <x v="0"/>
    <s v="no"/>
    <s v="No"/>
    <x v="0"/>
  </r>
  <r>
    <n v="1"/>
    <x v="1"/>
    <n v="3"/>
    <x v="0"/>
    <s v="female"/>
    <x v="1"/>
    <n v="26"/>
    <n v="0"/>
    <n v="0"/>
    <n v="7.8541999999999996"/>
    <s v="Third"/>
    <s v="woman"/>
    <x v="1"/>
    <x v="1"/>
    <x v="0"/>
    <s v="yes"/>
    <s v="Yes"/>
    <x v="1"/>
  </r>
  <r>
    <n v="1"/>
    <x v="1"/>
    <n v="2"/>
    <x v="2"/>
    <s v="female"/>
    <x v="1"/>
    <n v="24"/>
    <n v="1"/>
    <n v="0"/>
    <n v="26"/>
    <s v="Second"/>
    <s v="woman"/>
    <x v="1"/>
    <x v="1"/>
    <x v="0"/>
    <s v="yes"/>
    <s v="Yes"/>
    <x v="0"/>
  </r>
  <r>
    <n v="0"/>
    <x v="0"/>
    <n v="2"/>
    <x v="2"/>
    <s v="male"/>
    <x v="0"/>
    <n v="54"/>
    <n v="0"/>
    <n v="0"/>
    <n v="14"/>
    <s v="Second"/>
    <s v="man"/>
    <x v="0"/>
    <x v="0"/>
    <x v="0"/>
    <s v="no"/>
    <s v="No"/>
    <x v="1"/>
  </r>
  <r>
    <n v="1"/>
    <x v="1"/>
    <n v="1"/>
    <x v="1"/>
    <s v="female"/>
    <x v="1"/>
    <n v="31"/>
    <n v="0"/>
    <n v="2"/>
    <n v="164.86670000000001"/>
    <s v="First"/>
    <s v="woman"/>
    <x v="1"/>
    <x v="1"/>
    <x v="0"/>
    <s v="yes"/>
    <s v="Yes"/>
    <x v="0"/>
  </r>
  <r>
    <n v="1"/>
    <x v="1"/>
    <n v="1"/>
    <x v="1"/>
    <s v="female"/>
    <x v="1"/>
    <n v="40"/>
    <n v="1"/>
    <n v="1"/>
    <n v="134.5"/>
    <s v="First"/>
    <s v="woman"/>
    <x v="1"/>
    <x v="1"/>
    <x v="1"/>
    <s v="yes"/>
    <s v="Yes"/>
    <x v="0"/>
  </r>
  <r>
    <n v="0"/>
    <x v="0"/>
    <n v="3"/>
    <x v="0"/>
    <s v="male"/>
    <x v="0"/>
    <n v="22"/>
    <n v="0"/>
    <n v="0"/>
    <n v="7.25"/>
    <s v="Third"/>
    <s v="man"/>
    <x v="0"/>
    <x v="0"/>
    <x v="0"/>
    <s v="no"/>
    <s v="No"/>
    <x v="1"/>
  </r>
  <r>
    <n v="0"/>
    <x v="0"/>
    <n v="3"/>
    <x v="0"/>
    <s v="male"/>
    <x v="0"/>
    <n v="27"/>
    <n v="0"/>
    <n v="0"/>
    <n v="7.8958000000000004"/>
    <s v="Third"/>
    <s v="man"/>
    <x v="0"/>
    <x v="0"/>
    <x v="0"/>
    <s v="no"/>
    <s v="No"/>
    <x v="1"/>
  </r>
  <r>
    <n v="1"/>
    <x v="1"/>
    <n v="2"/>
    <x v="2"/>
    <s v="female"/>
    <x v="1"/>
    <n v="30"/>
    <n v="0"/>
    <n v="0"/>
    <n v="12.35"/>
    <s v="Second"/>
    <s v="woman"/>
    <x v="1"/>
    <x v="1"/>
    <x v="2"/>
    <s v="yes"/>
    <s v="Yes"/>
    <x v="1"/>
  </r>
  <r>
    <n v="1"/>
    <x v="1"/>
    <n v="2"/>
    <x v="2"/>
    <s v="female"/>
    <x v="1"/>
    <n v="22"/>
    <n v="1"/>
    <n v="1"/>
    <n v="29"/>
    <s v="Second"/>
    <s v="woman"/>
    <x v="1"/>
    <x v="1"/>
    <x v="0"/>
    <s v="yes"/>
    <s v="Yes"/>
    <x v="0"/>
  </r>
  <r>
    <n v="0"/>
    <x v="0"/>
    <n v="3"/>
    <x v="0"/>
    <s v="male"/>
    <x v="0"/>
    <n v="30"/>
    <n v="8"/>
    <n v="2"/>
    <n v="69.55"/>
    <s v="Third"/>
    <s v="man"/>
    <x v="0"/>
    <x v="0"/>
    <x v="0"/>
    <s v="no"/>
    <s v="No"/>
    <x v="0"/>
  </r>
  <r>
    <n v="1"/>
    <x v="1"/>
    <n v="1"/>
    <x v="1"/>
    <s v="female"/>
    <x v="1"/>
    <n v="36"/>
    <n v="0"/>
    <n v="0"/>
    <n v="135.63329999999999"/>
    <s v="First"/>
    <s v="woman"/>
    <x v="1"/>
    <x v="1"/>
    <x v="1"/>
    <s v="yes"/>
    <s v="Yes"/>
    <x v="1"/>
  </r>
  <r>
    <n v="0"/>
    <x v="0"/>
    <n v="3"/>
    <x v="0"/>
    <s v="male"/>
    <x v="0"/>
    <n v="61"/>
    <n v="0"/>
    <n v="0"/>
    <n v="6.2374999999999998"/>
    <s v="Third"/>
    <s v="man"/>
    <x v="0"/>
    <x v="0"/>
    <x v="0"/>
    <s v="no"/>
    <s v="No"/>
    <x v="1"/>
  </r>
  <r>
    <n v="1"/>
    <x v="1"/>
    <n v="2"/>
    <x v="2"/>
    <s v="female"/>
    <x v="1"/>
    <n v="36"/>
    <n v="0"/>
    <n v="0"/>
    <n v="13"/>
    <s v="Second"/>
    <s v="woman"/>
    <x v="1"/>
    <x v="1"/>
    <x v="0"/>
    <s v="yes"/>
    <s v="Yes"/>
    <x v="1"/>
  </r>
  <r>
    <n v="1"/>
    <x v="1"/>
    <n v="3"/>
    <x v="0"/>
    <s v="female"/>
    <x v="1"/>
    <n v="31"/>
    <n v="1"/>
    <n v="1"/>
    <n v="20.524999999999999"/>
    <s v="Third"/>
    <s v="woman"/>
    <x v="1"/>
    <x v="1"/>
    <x v="0"/>
    <s v="yes"/>
    <s v="Yes"/>
    <x v="0"/>
  </r>
  <r>
    <n v="1"/>
    <x v="1"/>
    <n v="1"/>
    <x v="1"/>
    <s v="female"/>
    <x v="1"/>
    <n v="16"/>
    <n v="0"/>
    <n v="1"/>
    <n v="57.979199999999999"/>
    <s v="First"/>
    <s v="woman"/>
    <x v="1"/>
    <x v="1"/>
    <x v="1"/>
    <s v="yes"/>
    <s v="Yes"/>
    <x v="0"/>
  </r>
  <r>
    <n v="1"/>
    <x v="1"/>
    <n v="3"/>
    <x v="0"/>
    <s v="female"/>
    <x v="1"/>
    <n v="30"/>
    <n v="2"/>
    <n v="0"/>
    <n v="23.25"/>
    <s v="Third"/>
    <s v="woman"/>
    <x v="1"/>
    <x v="1"/>
    <x v="2"/>
    <s v="yes"/>
    <s v="Yes"/>
    <x v="0"/>
  </r>
  <r>
    <n v="0"/>
    <x v="0"/>
    <n v="1"/>
    <x v="1"/>
    <s v="male"/>
    <x v="0"/>
    <n v="45.5"/>
    <n v="0"/>
    <n v="0"/>
    <n v="28.5"/>
    <s v="First"/>
    <s v="man"/>
    <x v="0"/>
    <x v="0"/>
    <x v="0"/>
    <s v="no"/>
    <s v="No"/>
    <x v="1"/>
  </r>
  <r>
    <n v="0"/>
    <x v="0"/>
    <n v="1"/>
    <x v="1"/>
    <s v="male"/>
    <x v="0"/>
    <n v="38"/>
    <n v="0"/>
    <n v="1"/>
    <n v="153.46250000000001"/>
    <s v="First"/>
    <s v="man"/>
    <x v="0"/>
    <x v="0"/>
    <x v="0"/>
    <s v="no"/>
    <s v="No"/>
    <x v="0"/>
  </r>
  <r>
    <n v="0"/>
    <x v="0"/>
    <n v="3"/>
    <x v="0"/>
    <s v="male"/>
    <x v="0"/>
    <n v="16"/>
    <n v="2"/>
    <n v="0"/>
    <n v="18"/>
    <s v="Third"/>
    <s v="man"/>
    <x v="0"/>
    <x v="0"/>
    <x v="0"/>
    <s v="no"/>
    <s v="No"/>
    <x v="0"/>
  </r>
  <r>
    <n v="1"/>
    <x v="1"/>
    <n v="1"/>
    <x v="1"/>
    <s v="female"/>
    <x v="1"/>
    <n v="30"/>
    <n v="1"/>
    <n v="0"/>
    <n v="133.65"/>
    <s v="First"/>
    <s v="woman"/>
    <x v="1"/>
    <x v="1"/>
    <x v="0"/>
    <s v="yes"/>
    <s v="Yes"/>
    <x v="0"/>
  </r>
  <r>
    <n v="0"/>
    <x v="0"/>
    <n v="3"/>
    <x v="0"/>
    <s v="male"/>
    <x v="0"/>
    <n v="30"/>
    <n v="0"/>
    <n v="0"/>
    <n v="7.8958000000000004"/>
    <s v="Third"/>
    <s v="man"/>
    <x v="0"/>
    <x v="0"/>
    <x v="0"/>
    <s v="no"/>
    <s v="No"/>
    <x v="1"/>
  </r>
  <r>
    <n v="0"/>
    <x v="0"/>
    <n v="1"/>
    <x v="1"/>
    <s v="male"/>
    <x v="0"/>
    <n v="29"/>
    <n v="1"/>
    <n v="0"/>
    <n v="66.599999999999994"/>
    <s v="First"/>
    <s v="man"/>
    <x v="0"/>
    <x v="0"/>
    <x v="0"/>
    <s v="no"/>
    <s v="No"/>
    <x v="0"/>
  </r>
  <r>
    <n v="1"/>
    <x v="1"/>
    <n v="1"/>
    <x v="1"/>
    <s v="female"/>
    <x v="1"/>
    <n v="41"/>
    <n v="0"/>
    <n v="0"/>
    <n v="134.5"/>
    <s v="First"/>
    <s v="woman"/>
    <x v="1"/>
    <x v="1"/>
    <x v="1"/>
    <s v="yes"/>
    <s v="Yes"/>
    <x v="1"/>
  </r>
  <r>
    <n v="1"/>
    <x v="1"/>
    <n v="3"/>
    <x v="0"/>
    <s v="male"/>
    <x v="0"/>
    <n v="45"/>
    <n v="0"/>
    <n v="0"/>
    <n v="8.0500000000000007"/>
    <s v="Third"/>
    <s v="man"/>
    <x v="0"/>
    <x v="0"/>
    <x v="0"/>
    <s v="yes"/>
    <s v="Yes"/>
    <x v="1"/>
  </r>
  <r>
    <n v="0"/>
    <x v="0"/>
    <n v="1"/>
    <x v="1"/>
    <s v="male"/>
    <x v="0"/>
    <n v="45"/>
    <n v="0"/>
    <n v="0"/>
    <n v="35.5"/>
    <s v="First"/>
    <s v="man"/>
    <x v="0"/>
    <x v="0"/>
    <x v="0"/>
    <s v="no"/>
    <s v="No"/>
    <x v="1"/>
  </r>
  <r>
    <n v="1"/>
    <x v="1"/>
    <n v="2"/>
    <x v="2"/>
    <s v="male"/>
    <x v="0"/>
    <n v="2"/>
    <n v="1"/>
    <n v="1"/>
    <n v="26"/>
    <s v="Second"/>
    <s v="child"/>
    <x v="2"/>
    <x v="1"/>
    <x v="0"/>
    <s v="yes"/>
    <s v="Yes"/>
    <x v="0"/>
  </r>
  <r>
    <n v="1"/>
    <x v="1"/>
    <n v="1"/>
    <x v="1"/>
    <s v="female"/>
    <x v="1"/>
    <n v="24"/>
    <n v="3"/>
    <n v="2"/>
    <n v="263"/>
    <s v="First"/>
    <s v="woman"/>
    <x v="1"/>
    <x v="1"/>
    <x v="0"/>
    <s v="yes"/>
    <s v="Yes"/>
    <x v="0"/>
  </r>
  <r>
    <n v="0"/>
    <x v="0"/>
    <n v="2"/>
    <x v="2"/>
    <s v="male"/>
    <x v="0"/>
    <n v="28"/>
    <n v="0"/>
    <n v="0"/>
    <n v="13"/>
    <s v="Second"/>
    <s v="man"/>
    <x v="0"/>
    <x v="0"/>
    <x v="0"/>
    <s v="no"/>
    <s v="No"/>
    <x v="1"/>
  </r>
  <r>
    <n v="0"/>
    <x v="0"/>
    <n v="2"/>
    <x v="2"/>
    <s v="male"/>
    <x v="0"/>
    <n v="25"/>
    <n v="0"/>
    <n v="0"/>
    <n v="13"/>
    <s v="Second"/>
    <s v="man"/>
    <x v="0"/>
    <x v="0"/>
    <x v="0"/>
    <s v="no"/>
    <s v="No"/>
    <x v="1"/>
  </r>
  <r>
    <n v="0"/>
    <x v="0"/>
    <n v="2"/>
    <x v="2"/>
    <s v="male"/>
    <x v="0"/>
    <n v="36"/>
    <n v="0"/>
    <n v="0"/>
    <n v="13"/>
    <s v="Second"/>
    <s v="man"/>
    <x v="0"/>
    <x v="0"/>
    <x v="0"/>
    <s v="no"/>
    <s v="No"/>
    <x v="1"/>
  </r>
  <r>
    <n v="1"/>
    <x v="1"/>
    <n v="2"/>
    <x v="2"/>
    <s v="female"/>
    <x v="1"/>
    <n v="24"/>
    <n v="0"/>
    <n v="0"/>
    <n v="13"/>
    <s v="Second"/>
    <s v="woman"/>
    <x v="1"/>
    <x v="1"/>
    <x v="0"/>
    <s v="yes"/>
    <s v="Yes"/>
    <x v="1"/>
  </r>
  <r>
    <n v="1"/>
    <x v="1"/>
    <n v="2"/>
    <x v="2"/>
    <s v="female"/>
    <x v="1"/>
    <n v="40"/>
    <n v="0"/>
    <n v="0"/>
    <n v="13"/>
    <s v="Second"/>
    <s v="woman"/>
    <x v="1"/>
    <x v="1"/>
    <x v="0"/>
    <s v="yes"/>
    <s v="Yes"/>
    <x v="1"/>
  </r>
  <r>
    <n v="1"/>
    <x v="1"/>
    <n v="3"/>
    <x v="0"/>
    <s v="female"/>
    <x v="1"/>
    <n v="30"/>
    <n v="1"/>
    <n v="0"/>
    <n v="16.100000000000001"/>
    <s v="Third"/>
    <s v="woman"/>
    <x v="1"/>
    <x v="1"/>
    <x v="0"/>
    <s v="yes"/>
    <s v="Yes"/>
    <x v="0"/>
  </r>
  <r>
    <n v="1"/>
    <x v="1"/>
    <n v="3"/>
    <x v="0"/>
    <s v="male"/>
    <x v="0"/>
    <n v="3"/>
    <n v="1"/>
    <n v="1"/>
    <n v="15.9"/>
    <s v="Third"/>
    <s v="child"/>
    <x v="2"/>
    <x v="1"/>
    <x v="0"/>
    <s v="yes"/>
    <s v="Yes"/>
    <x v="0"/>
  </r>
  <r>
    <n v="0"/>
    <x v="0"/>
    <n v="3"/>
    <x v="0"/>
    <s v="male"/>
    <x v="0"/>
    <n v="42"/>
    <n v="0"/>
    <n v="0"/>
    <n v="8.6624999999999996"/>
    <s v="Third"/>
    <s v="man"/>
    <x v="0"/>
    <x v="0"/>
    <x v="0"/>
    <s v="no"/>
    <s v="No"/>
    <x v="1"/>
  </r>
  <r>
    <n v="0"/>
    <x v="0"/>
    <n v="3"/>
    <x v="0"/>
    <s v="male"/>
    <x v="0"/>
    <n v="23"/>
    <n v="0"/>
    <n v="0"/>
    <n v="9.2249999999999996"/>
    <s v="Third"/>
    <s v="man"/>
    <x v="0"/>
    <x v="0"/>
    <x v="0"/>
    <s v="no"/>
    <s v="No"/>
    <x v="1"/>
  </r>
  <r>
    <n v="0"/>
    <x v="0"/>
    <n v="1"/>
    <x v="1"/>
    <s v="male"/>
    <x v="0"/>
    <n v="30"/>
    <n v="0"/>
    <n v="0"/>
    <n v="35"/>
    <s v="First"/>
    <s v="man"/>
    <x v="0"/>
    <x v="0"/>
    <x v="0"/>
    <s v="no"/>
    <s v="No"/>
    <x v="1"/>
  </r>
  <r>
    <n v="0"/>
    <x v="0"/>
    <n v="3"/>
    <x v="0"/>
    <s v="male"/>
    <x v="0"/>
    <n v="15"/>
    <n v="1"/>
    <n v="1"/>
    <n v="7.2291999999999996"/>
    <s v="Third"/>
    <s v="child"/>
    <x v="2"/>
    <x v="1"/>
    <x v="1"/>
    <s v="no"/>
    <s v="No"/>
    <x v="0"/>
  </r>
  <r>
    <n v="0"/>
    <x v="0"/>
    <n v="3"/>
    <x v="0"/>
    <s v="male"/>
    <x v="0"/>
    <n v="25"/>
    <n v="1"/>
    <n v="0"/>
    <n v="17.8"/>
    <s v="Third"/>
    <s v="man"/>
    <x v="0"/>
    <x v="0"/>
    <x v="0"/>
    <s v="no"/>
    <s v="No"/>
    <x v="0"/>
  </r>
  <r>
    <n v="0"/>
    <x v="0"/>
    <n v="3"/>
    <x v="0"/>
    <s v="male"/>
    <x v="0"/>
    <n v="30"/>
    <n v="0"/>
    <n v="0"/>
    <n v="7.2249999999999996"/>
    <s v="Third"/>
    <s v="man"/>
    <x v="0"/>
    <x v="0"/>
    <x v="1"/>
    <s v="no"/>
    <s v="No"/>
    <x v="1"/>
  </r>
  <r>
    <n v="0"/>
    <x v="0"/>
    <n v="3"/>
    <x v="0"/>
    <s v="male"/>
    <x v="0"/>
    <n v="28"/>
    <n v="0"/>
    <n v="0"/>
    <n v="9.5"/>
    <s v="Third"/>
    <s v="man"/>
    <x v="0"/>
    <x v="0"/>
    <x v="0"/>
    <s v="no"/>
    <s v="No"/>
    <x v="1"/>
  </r>
  <r>
    <n v="1"/>
    <x v="1"/>
    <n v="1"/>
    <x v="1"/>
    <s v="female"/>
    <x v="1"/>
    <n v="22"/>
    <n v="0"/>
    <n v="1"/>
    <n v="55"/>
    <s v="First"/>
    <s v="woman"/>
    <x v="1"/>
    <x v="1"/>
    <x v="0"/>
    <s v="yes"/>
    <s v="Yes"/>
    <x v="0"/>
  </r>
  <r>
    <n v="0"/>
    <x v="0"/>
    <n v="2"/>
    <x v="2"/>
    <s v="female"/>
    <x v="1"/>
    <n v="38"/>
    <n v="0"/>
    <n v="0"/>
    <n v="13"/>
    <s v="Second"/>
    <s v="woman"/>
    <x v="1"/>
    <x v="1"/>
    <x v="0"/>
    <s v="no"/>
    <s v="No"/>
    <x v="1"/>
  </r>
  <r>
    <n v="1"/>
    <x v="1"/>
    <n v="3"/>
    <x v="0"/>
    <s v="female"/>
    <x v="1"/>
    <n v="30"/>
    <n v="0"/>
    <n v="0"/>
    <n v="7.8792"/>
    <s v="Third"/>
    <s v="woman"/>
    <x v="1"/>
    <x v="1"/>
    <x v="2"/>
    <s v="yes"/>
    <s v="Yes"/>
    <x v="1"/>
  </r>
  <r>
    <n v="1"/>
    <x v="1"/>
    <n v="3"/>
    <x v="0"/>
    <s v="female"/>
    <x v="1"/>
    <n v="30"/>
    <n v="0"/>
    <n v="0"/>
    <n v="7.8792"/>
    <s v="Third"/>
    <s v="woman"/>
    <x v="1"/>
    <x v="1"/>
    <x v="2"/>
    <s v="yes"/>
    <s v="Yes"/>
    <x v="1"/>
  </r>
  <r>
    <n v="0"/>
    <x v="0"/>
    <n v="3"/>
    <x v="0"/>
    <s v="male"/>
    <x v="0"/>
    <n v="40"/>
    <n v="1"/>
    <n v="4"/>
    <n v="27.9"/>
    <s v="Third"/>
    <s v="man"/>
    <x v="0"/>
    <x v="0"/>
    <x v="0"/>
    <s v="no"/>
    <s v="No"/>
    <x v="0"/>
  </r>
  <r>
    <n v="0"/>
    <x v="0"/>
    <n v="2"/>
    <x v="2"/>
    <s v="male"/>
    <x v="0"/>
    <n v="29"/>
    <n v="1"/>
    <n v="0"/>
    <n v="27.720800000000001"/>
    <s v="Second"/>
    <s v="man"/>
    <x v="0"/>
    <x v="0"/>
    <x v="1"/>
    <s v="no"/>
    <s v="No"/>
    <x v="0"/>
  </r>
  <r>
    <n v="0"/>
    <x v="0"/>
    <n v="3"/>
    <x v="0"/>
    <s v="female"/>
    <x v="1"/>
    <n v="45"/>
    <n v="0"/>
    <n v="1"/>
    <n v="14.4542"/>
    <s v="Third"/>
    <s v="woman"/>
    <x v="1"/>
    <x v="1"/>
    <x v="1"/>
    <s v="no"/>
    <s v="No"/>
    <x v="0"/>
  </r>
  <r>
    <n v="0"/>
    <x v="0"/>
    <n v="3"/>
    <x v="0"/>
    <s v="male"/>
    <x v="0"/>
    <n v="35"/>
    <n v="0"/>
    <n v="0"/>
    <n v="7.05"/>
    <s v="Third"/>
    <s v="man"/>
    <x v="0"/>
    <x v="0"/>
    <x v="0"/>
    <s v="no"/>
    <s v="No"/>
    <x v="1"/>
  </r>
  <r>
    <n v="0"/>
    <x v="0"/>
    <n v="3"/>
    <x v="0"/>
    <s v="male"/>
    <x v="0"/>
    <n v="30"/>
    <n v="1"/>
    <n v="0"/>
    <n v="15.5"/>
    <s v="Third"/>
    <s v="man"/>
    <x v="0"/>
    <x v="0"/>
    <x v="2"/>
    <s v="no"/>
    <s v="No"/>
    <x v="0"/>
  </r>
  <r>
    <n v="0"/>
    <x v="0"/>
    <n v="3"/>
    <x v="0"/>
    <s v="male"/>
    <x v="0"/>
    <n v="30"/>
    <n v="0"/>
    <n v="0"/>
    <n v="7.25"/>
    <s v="Third"/>
    <s v="man"/>
    <x v="0"/>
    <x v="0"/>
    <x v="0"/>
    <s v="no"/>
    <s v="No"/>
    <x v="1"/>
  </r>
  <r>
    <n v="1"/>
    <x v="1"/>
    <n v="1"/>
    <x v="1"/>
    <s v="female"/>
    <x v="1"/>
    <n v="60"/>
    <n v="1"/>
    <n v="0"/>
    <n v="75.25"/>
    <s v="First"/>
    <s v="woman"/>
    <x v="1"/>
    <x v="1"/>
    <x v="1"/>
    <s v="yes"/>
    <s v="Yes"/>
    <x v="0"/>
  </r>
  <r>
    <n v="1"/>
    <x v="1"/>
    <n v="3"/>
    <x v="0"/>
    <s v="female"/>
    <x v="1"/>
    <n v="30"/>
    <n v="0"/>
    <n v="0"/>
    <n v="7.2291999999999996"/>
    <s v="Third"/>
    <s v="woman"/>
    <x v="1"/>
    <x v="1"/>
    <x v="1"/>
    <s v="yes"/>
    <s v="Yes"/>
    <x v="1"/>
  </r>
  <r>
    <n v="1"/>
    <x v="1"/>
    <n v="3"/>
    <x v="0"/>
    <s v="female"/>
    <x v="1"/>
    <n v="30"/>
    <n v="0"/>
    <n v="0"/>
    <n v="7.75"/>
    <s v="Third"/>
    <s v="woman"/>
    <x v="1"/>
    <x v="1"/>
    <x v="2"/>
    <s v="yes"/>
    <s v="Yes"/>
    <x v="1"/>
  </r>
  <r>
    <n v="1"/>
    <x v="1"/>
    <n v="1"/>
    <x v="1"/>
    <s v="female"/>
    <x v="1"/>
    <n v="24"/>
    <n v="0"/>
    <n v="0"/>
    <n v="69.3"/>
    <s v="First"/>
    <s v="woman"/>
    <x v="1"/>
    <x v="1"/>
    <x v="1"/>
    <s v="yes"/>
    <s v="Yes"/>
    <x v="1"/>
  </r>
  <r>
    <n v="1"/>
    <x v="1"/>
    <n v="1"/>
    <x v="1"/>
    <s v="male"/>
    <x v="0"/>
    <n v="25"/>
    <n v="1"/>
    <n v="0"/>
    <n v="55.441699999999997"/>
    <s v="First"/>
    <s v="man"/>
    <x v="0"/>
    <x v="0"/>
    <x v="1"/>
    <s v="yes"/>
    <s v="Yes"/>
    <x v="0"/>
  </r>
  <r>
    <n v="0"/>
    <x v="0"/>
    <n v="3"/>
    <x v="0"/>
    <s v="male"/>
    <x v="0"/>
    <n v="18"/>
    <n v="1"/>
    <n v="0"/>
    <n v="6.4958"/>
    <s v="Third"/>
    <s v="man"/>
    <x v="0"/>
    <x v="0"/>
    <x v="0"/>
    <s v="no"/>
    <s v="No"/>
    <x v="0"/>
  </r>
  <r>
    <n v="0"/>
    <x v="0"/>
    <n v="3"/>
    <x v="0"/>
    <s v="male"/>
    <x v="0"/>
    <n v="19"/>
    <n v="0"/>
    <n v="0"/>
    <n v="8.0500000000000007"/>
    <s v="Third"/>
    <s v="man"/>
    <x v="0"/>
    <x v="0"/>
    <x v="0"/>
    <s v="no"/>
    <s v="No"/>
    <x v="1"/>
  </r>
  <r>
    <n v="0"/>
    <x v="0"/>
    <n v="1"/>
    <x v="1"/>
    <s v="male"/>
    <x v="0"/>
    <n v="22"/>
    <n v="0"/>
    <n v="0"/>
    <n v="135.63329999999999"/>
    <s v="First"/>
    <s v="man"/>
    <x v="0"/>
    <x v="0"/>
    <x v="1"/>
    <s v="no"/>
    <s v="No"/>
    <x v="1"/>
  </r>
  <r>
    <n v="0"/>
    <x v="0"/>
    <n v="3"/>
    <x v="0"/>
    <s v="female"/>
    <x v="1"/>
    <n v="3"/>
    <n v="3"/>
    <n v="1"/>
    <n v="21.074999999999999"/>
    <s v="Third"/>
    <s v="child"/>
    <x v="2"/>
    <x v="1"/>
    <x v="0"/>
    <s v="no"/>
    <s v="No"/>
    <x v="0"/>
  </r>
  <r>
    <n v="1"/>
    <x v="1"/>
    <n v="1"/>
    <x v="1"/>
    <s v="female"/>
    <x v="1"/>
    <n v="30"/>
    <n v="1"/>
    <n v="0"/>
    <n v="82.1708"/>
    <s v="First"/>
    <s v="woman"/>
    <x v="1"/>
    <x v="1"/>
    <x v="1"/>
    <s v="yes"/>
    <s v="Yes"/>
    <x v="0"/>
  </r>
  <r>
    <n v="1"/>
    <x v="1"/>
    <n v="3"/>
    <x v="0"/>
    <s v="female"/>
    <x v="1"/>
    <n v="22"/>
    <n v="0"/>
    <n v="0"/>
    <n v="7.25"/>
    <s v="Third"/>
    <s v="woman"/>
    <x v="1"/>
    <x v="1"/>
    <x v="0"/>
    <s v="yes"/>
    <s v="Yes"/>
    <x v="1"/>
  </r>
  <r>
    <n v="0"/>
    <x v="0"/>
    <n v="1"/>
    <x v="1"/>
    <s v="male"/>
    <x v="0"/>
    <n v="27"/>
    <n v="0"/>
    <n v="2"/>
    <n v="211.5"/>
    <s v="First"/>
    <s v="man"/>
    <x v="0"/>
    <x v="0"/>
    <x v="1"/>
    <s v="no"/>
    <s v="No"/>
    <x v="0"/>
  </r>
  <r>
    <n v="0"/>
    <x v="0"/>
    <n v="3"/>
    <x v="0"/>
    <s v="male"/>
    <x v="0"/>
    <n v="20"/>
    <n v="0"/>
    <n v="0"/>
    <n v="4.0125000000000002"/>
    <s v="Third"/>
    <s v="man"/>
    <x v="0"/>
    <x v="0"/>
    <x v="1"/>
    <s v="no"/>
    <s v="No"/>
    <x v="1"/>
  </r>
  <r>
    <n v="0"/>
    <x v="0"/>
    <n v="3"/>
    <x v="0"/>
    <s v="male"/>
    <x v="0"/>
    <n v="19"/>
    <n v="0"/>
    <n v="0"/>
    <n v="7.7750000000000004"/>
    <s v="Third"/>
    <s v="man"/>
    <x v="0"/>
    <x v="0"/>
    <x v="0"/>
    <s v="no"/>
    <s v="No"/>
    <x v="1"/>
  </r>
  <r>
    <n v="1"/>
    <x v="1"/>
    <n v="1"/>
    <x v="1"/>
    <s v="female"/>
    <x v="1"/>
    <n v="42"/>
    <n v="0"/>
    <n v="0"/>
    <n v="227.52500000000001"/>
    <s v="First"/>
    <s v="woman"/>
    <x v="1"/>
    <x v="1"/>
    <x v="1"/>
    <s v="yes"/>
    <s v="Yes"/>
    <x v="1"/>
  </r>
  <r>
    <n v="1"/>
    <x v="1"/>
    <n v="3"/>
    <x v="0"/>
    <s v="female"/>
    <x v="1"/>
    <n v="1"/>
    <n v="0"/>
    <n v="2"/>
    <n v="15.7417"/>
    <s v="Third"/>
    <s v="child"/>
    <x v="2"/>
    <x v="1"/>
    <x v="1"/>
    <s v="yes"/>
    <s v="Yes"/>
    <x v="0"/>
  </r>
  <r>
    <n v="0"/>
    <x v="0"/>
    <n v="3"/>
    <x v="0"/>
    <s v="male"/>
    <x v="0"/>
    <n v="32"/>
    <n v="0"/>
    <n v="0"/>
    <n v="7.9249999999999998"/>
    <s v="Third"/>
    <s v="man"/>
    <x v="0"/>
    <x v="0"/>
    <x v="0"/>
    <s v="no"/>
    <s v="No"/>
    <x v="1"/>
  </r>
  <r>
    <n v="1"/>
    <x v="1"/>
    <n v="1"/>
    <x v="1"/>
    <s v="female"/>
    <x v="1"/>
    <n v="35"/>
    <n v="1"/>
    <n v="0"/>
    <n v="52"/>
    <s v="First"/>
    <s v="woman"/>
    <x v="1"/>
    <x v="1"/>
    <x v="0"/>
    <s v="yes"/>
    <s v="Yes"/>
    <x v="0"/>
  </r>
  <r>
    <n v="0"/>
    <x v="0"/>
    <n v="3"/>
    <x v="0"/>
    <s v="male"/>
    <x v="0"/>
    <n v="30"/>
    <n v="0"/>
    <n v="0"/>
    <n v="7.8958000000000004"/>
    <s v="Third"/>
    <s v="man"/>
    <x v="0"/>
    <x v="0"/>
    <x v="0"/>
    <s v="no"/>
    <s v="No"/>
    <x v="1"/>
  </r>
  <r>
    <n v="0"/>
    <x v="0"/>
    <n v="2"/>
    <x v="2"/>
    <s v="male"/>
    <x v="0"/>
    <n v="18"/>
    <n v="0"/>
    <n v="0"/>
    <n v="73.5"/>
    <s v="Second"/>
    <s v="man"/>
    <x v="0"/>
    <x v="0"/>
    <x v="0"/>
    <s v="no"/>
    <s v="No"/>
    <x v="1"/>
  </r>
  <r>
    <n v="0"/>
    <x v="0"/>
    <n v="3"/>
    <x v="0"/>
    <s v="male"/>
    <x v="0"/>
    <n v="1"/>
    <n v="5"/>
    <n v="2"/>
    <n v="46.9"/>
    <s v="Third"/>
    <s v="child"/>
    <x v="2"/>
    <x v="1"/>
    <x v="0"/>
    <s v="no"/>
    <s v="No"/>
    <x v="0"/>
  </r>
  <r>
    <n v="1"/>
    <x v="1"/>
    <n v="2"/>
    <x v="2"/>
    <s v="female"/>
    <x v="1"/>
    <n v="36"/>
    <n v="0"/>
    <n v="0"/>
    <n v="13"/>
    <s v="Second"/>
    <s v="woman"/>
    <x v="1"/>
    <x v="1"/>
    <x v="0"/>
    <s v="yes"/>
    <s v="Yes"/>
    <x v="1"/>
  </r>
  <r>
    <n v="0"/>
    <x v="0"/>
    <n v="3"/>
    <x v="0"/>
    <s v="male"/>
    <x v="0"/>
    <n v="30"/>
    <n v="0"/>
    <n v="0"/>
    <n v="7.7291999999999996"/>
    <s v="Third"/>
    <s v="man"/>
    <x v="0"/>
    <x v="0"/>
    <x v="2"/>
    <s v="no"/>
    <s v="No"/>
    <x v="1"/>
  </r>
  <r>
    <n v="1"/>
    <x v="1"/>
    <n v="2"/>
    <x v="2"/>
    <s v="female"/>
    <x v="1"/>
    <n v="17"/>
    <n v="0"/>
    <n v="0"/>
    <n v="12"/>
    <s v="Second"/>
    <s v="woman"/>
    <x v="1"/>
    <x v="1"/>
    <x v="1"/>
    <s v="yes"/>
    <s v="Yes"/>
    <x v="1"/>
  </r>
  <r>
    <n v="1"/>
    <x v="1"/>
    <n v="1"/>
    <x v="1"/>
    <s v="male"/>
    <x v="0"/>
    <n v="36"/>
    <n v="1"/>
    <n v="2"/>
    <n v="120"/>
    <s v="First"/>
    <s v="man"/>
    <x v="0"/>
    <x v="0"/>
    <x v="0"/>
    <s v="yes"/>
    <s v="Yes"/>
    <x v="0"/>
  </r>
  <r>
    <n v="1"/>
    <x v="1"/>
    <n v="3"/>
    <x v="0"/>
    <s v="male"/>
    <x v="0"/>
    <n v="21"/>
    <n v="0"/>
    <n v="0"/>
    <n v="7.7957999999999998"/>
    <s v="Third"/>
    <s v="man"/>
    <x v="0"/>
    <x v="0"/>
    <x v="0"/>
    <s v="yes"/>
    <s v="Yes"/>
    <x v="1"/>
  </r>
  <r>
    <n v="0"/>
    <x v="0"/>
    <n v="3"/>
    <x v="0"/>
    <s v="male"/>
    <x v="0"/>
    <n v="28"/>
    <n v="2"/>
    <n v="0"/>
    <n v="7.9249999999999998"/>
    <s v="Third"/>
    <s v="man"/>
    <x v="0"/>
    <x v="0"/>
    <x v="0"/>
    <s v="no"/>
    <s v="No"/>
    <x v="0"/>
  </r>
  <r>
    <n v="1"/>
    <x v="1"/>
    <n v="1"/>
    <x v="1"/>
    <s v="female"/>
    <x v="1"/>
    <n v="23"/>
    <n v="1"/>
    <n v="0"/>
    <n v="113.27500000000001"/>
    <s v="First"/>
    <s v="woman"/>
    <x v="1"/>
    <x v="1"/>
    <x v="1"/>
    <s v="yes"/>
    <s v="Yes"/>
    <x v="0"/>
  </r>
  <r>
    <n v="1"/>
    <x v="1"/>
    <n v="3"/>
    <x v="0"/>
    <s v="female"/>
    <x v="1"/>
    <n v="24"/>
    <n v="0"/>
    <n v="2"/>
    <n v="16.7"/>
    <s v="Third"/>
    <s v="woman"/>
    <x v="1"/>
    <x v="1"/>
    <x v="0"/>
    <s v="yes"/>
    <s v="Yes"/>
    <x v="0"/>
  </r>
  <r>
    <n v="0"/>
    <x v="0"/>
    <n v="3"/>
    <x v="0"/>
    <s v="male"/>
    <x v="0"/>
    <n v="22"/>
    <n v="0"/>
    <n v="0"/>
    <n v="7.7957999999999998"/>
    <s v="Third"/>
    <s v="man"/>
    <x v="0"/>
    <x v="0"/>
    <x v="0"/>
    <s v="no"/>
    <s v="No"/>
    <x v="1"/>
  </r>
  <r>
    <n v="0"/>
    <x v="0"/>
    <n v="3"/>
    <x v="0"/>
    <s v="female"/>
    <x v="1"/>
    <n v="31"/>
    <n v="0"/>
    <n v="0"/>
    <n v="7.8541999999999996"/>
    <s v="Third"/>
    <s v="woman"/>
    <x v="1"/>
    <x v="1"/>
    <x v="0"/>
    <s v="no"/>
    <s v="No"/>
    <x v="1"/>
  </r>
  <r>
    <n v="0"/>
    <x v="0"/>
    <n v="2"/>
    <x v="2"/>
    <s v="male"/>
    <x v="0"/>
    <n v="46"/>
    <n v="0"/>
    <n v="0"/>
    <n v="26"/>
    <s v="Second"/>
    <s v="man"/>
    <x v="0"/>
    <x v="0"/>
    <x v="0"/>
    <s v="no"/>
    <s v="No"/>
    <x v="1"/>
  </r>
  <r>
    <n v="0"/>
    <x v="0"/>
    <n v="2"/>
    <x v="2"/>
    <s v="male"/>
    <x v="0"/>
    <n v="23"/>
    <n v="0"/>
    <n v="0"/>
    <n v="10.5"/>
    <s v="Second"/>
    <s v="man"/>
    <x v="0"/>
    <x v="0"/>
    <x v="0"/>
    <s v="no"/>
    <s v="No"/>
    <x v="1"/>
  </r>
  <r>
    <n v="1"/>
    <x v="1"/>
    <n v="2"/>
    <x v="2"/>
    <s v="female"/>
    <x v="1"/>
    <n v="28"/>
    <n v="0"/>
    <n v="0"/>
    <n v="12.65"/>
    <s v="Second"/>
    <s v="woman"/>
    <x v="1"/>
    <x v="1"/>
    <x v="0"/>
    <s v="yes"/>
    <s v="Yes"/>
    <x v="1"/>
  </r>
  <r>
    <n v="1"/>
    <x v="1"/>
    <n v="3"/>
    <x v="0"/>
    <s v="male"/>
    <x v="0"/>
    <n v="39"/>
    <n v="0"/>
    <n v="0"/>
    <n v="7.9249999999999998"/>
    <s v="Third"/>
    <s v="man"/>
    <x v="0"/>
    <x v="0"/>
    <x v="0"/>
    <s v="yes"/>
    <s v="Yes"/>
    <x v="1"/>
  </r>
  <r>
    <n v="0"/>
    <x v="0"/>
    <n v="3"/>
    <x v="0"/>
    <s v="male"/>
    <x v="0"/>
    <n v="26"/>
    <n v="0"/>
    <n v="0"/>
    <n v="8.0500000000000007"/>
    <s v="Third"/>
    <s v="man"/>
    <x v="0"/>
    <x v="0"/>
    <x v="0"/>
    <s v="no"/>
    <s v="No"/>
    <x v="1"/>
  </r>
  <r>
    <n v="0"/>
    <x v="0"/>
    <n v="3"/>
    <x v="0"/>
    <s v="female"/>
    <x v="1"/>
    <n v="21"/>
    <n v="1"/>
    <n v="0"/>
    <n v="9.8249999999999993"/>
    <s v="Third"/>
    <s v="woman"/>
    <x v="1"/>
    <x v="1"/>
    <x v="0"/>
    <s v="no"/>
    <s v="No"/>
    <x v="0"/>
  </r>
  <r>
    <n v="0"/>
    <x v="0"/>
    <n v="3"/>
    <x v="0"/>
    <s v="male"/>
    <x v="0"/>
    <n v="28"/>
    <n v="1"/>
    <n v="0"/>
    <n v="15.85"/>
    <s v="Third"/>
    <s v="man"/>
    <x v="0"/>
    <x v="0"/>
    <x v="0"/>
    <s v="no"/>
    <s v="No"/>
    <x v="0"/>
  </r>
  <r>
    <n v="0"/>
    <x v="0"/>
    <n v="3"/>
    <x v="0"/>
    <s v="female"/>
    <x v="1"/>
    <n v="20"/>
    <n v="0"/>
    <n v="0"/>
    <n v="8.6624999999999996"/>
    <s v="Third"/>
    <s v="woman"/>
    <x v="1"/>
    <x v="1"/>
    <x v="0"/>
    <s v="no"/>
    <s v="No"/>
    <x v="1"/>
  </r>
  <r>
    <n v="0"/>
    <x v="0"/>
    <n v="2"/>
    <x v="2"/>
    <s v="male"/>
    <x v="0"/>
    <n v="34"/>
    <n v="1"/>
    <n v="0"/>
    <n v="21"/>
    <s v="Second"/>
    <s v="man"/>
    <x v="0"/>
    <x v="0"/>
    <x v="0"/>
    <s v="no"/>
    <s v="No"/>
    <x v="0"/>
  </r>
  <r>
    <n v="0"/>
    <x v="0"/>
    <n v="3"/>
    <x v="0"/>
    <s v="male"/>
    <x v="0"/>
    <n v="51"/>
    <n v="0"/>
    <n v="0"/>
    <n v="7.75"/>
    <s v="Third"/>
    <s v="man"/>
    <x v="0"/>
    <x v="0"/>
    <x v="0"/>
    <s v="no"/>
    <s v="No"/>
    <x v="1"/>
  </r>
  <r>
    <n v="1"/>
    <x v="1"/>
    <n v="2"/>
    <x v="2"/>
    <s v="male"/>
    <x v="0"/>
    <n v="3"/>
    <n v="1"/>
    <n v="1"/>
    <n v="18.75"/>
    <s v="Second"/>
    <s v="child"/>
    <x v="2"/>
    <x v="1"/>
    <x v="0"/>
    <s v="yes"/>
    <s v="Yes"/>
    <x v="0"/>
  </r>
  <r>
    <n v="0"/>
    <x v="0"/>
    <n v="3"/>
    <x v="0"/>
    <s v="male"/>
    <x v="0"/>
    <n v="21"/>
    <n v="0"/>
    <n v="0"/>
    <n v="7.7750000000000004"/>
    <s v="Third"/>
    <s v="man"/>
    <x v="0"/>
    <x v="0"/>
    <x v="0"/>
    <s v="no"/>
    <s v="No"/>
    <x v="1"/>
  </r>
  <r>
    <n v="0"/>
    <x v="0"/>
    <n v="3"/>
    <x v="0"/>
    <s v="female"/>
    <x v="1"/>
    <n v="30"/>
    <n v="3"/>
    <n v="1"/>
    <n v="25.466699999999999"/>
    <s v="Third"/>
    <s v="woman"/>
    <x v="1"/>
    <x v="1"/>
    <x v="0"/>
    <s v="no"/>
    <s v="No"/>
    <x v="0"/>
  </r>
  <r>
    <n v="0"/>
    <x v="0"/>
    <n v="3"/>
    <x v="0"/>
    <s v="male"/>
    <x v="0"/>
    <n v="30"/>
    <n v="0"/>
    <n v="0"/>
    <n v="7.8958000000000004"/>
    <s v="Third"/>
    <s v="man"/>
    <x v="0"/>
    <x v="0"/>
    <x v="0"/>
    <s v="no"/>
    <s v="No"/>
    <x v="1"/>
  </r>
  <r>
    <n v="0"/>
    <x v="0"/>
    <n v="3"/>
    <x v="0"/>
    <s v="male"/>
    <x v="0"/>
    <n v="30"/>
    <n v="0"/>
    <n v="0"/>
    <n v="6.8582999999999998"/>
    <s v="Third"/>
    <s v="man"/>
    <x v="0"/>
    <x v="0"/>
    <x v="2"/>
    <s v="no"/>
    <s v="No"/>
    <x v="1"/>
  </r>
  <r>
    <n v="1"/>
    <x v="1"/>
    <n v="1"/>
    <x v="1"/>
    <s v="female"/>
    <x v="1"/>
    <n v="33"/>
    <n v="1"/>
    <n v="0"/>
    <n v="90"/>
    <s v="First"/>
    <s v="woman"/>
    <x v="1"/>
    <x v="1"/>
    <x v="2"/>
    <s v="yes"/>
    <s v="Yes"/>
    <x v="0"/>
  </r>
  <r>
    <n v="0"/>
    <x v="0"/>
    <n v="2"/>
    <x v="2"/>
    <s v="male"/>
    <x v="0"/>
    <n v="30"/>
    <n v="0"/>
    <n v="0"/>
    <n v="0"/>
    <s v="Second"/>
    <s v="man"/>
    <x v="0"/>
    <x v="0"/>
    <x v="0"/>
    <s v="no"/>
    <s v="No"/>
    <x v="1"/>
  </r>
  <r>
    <n v="1"/>
    <x v="1"/>
    <n v="3"/>
    <x v="0"/>
    <s v="male"/>
    <x v="0"/>
    <n v="44"/>
    <n v="0"/>
    <n v="0"/>
    <n v="7.9249999999999998"/>
    <s v="Third"/>
    <s v="man"/>
    <x v="0"/>
    <x v="0"/>
    <x v="0"/>
    <s v="yes"/>
    <s v="Yes"/>
    <x v="1"/>
  </r>
  <r>
    <n v="0"/>
    <x v="0"/>
    <n v="3"/>
    <x v="0"/>
    <s v="female"/>
    <x v="1"/>
    <n v="30"/>
    <n v="0"/>
    <n v="0"/>
    <n v="8.0500000000000007"/>
    <s v="Third"/>
    <s v="woman"/>
    <x v="1"/>
    <x v="1"/>
    <x v="0"/>
    <s v="no"/>
    <s v="No"/>
    <x v="1"/>
  </r>
  <r>
    <n v="1"/>
    <x v="1"/>
    <n v="2"/>
    <x v="2"/>
    <s v="female"/>
    <x v="1"/>
    <n v="34"/>
    <n v="1"/>
    <n v="1"/>
    <n v="32.5"/>
    <s v="Second"/>
    <s v="woman"/>
    <x v="1"/>
    <x v="1"/>
    <x v="0"/>
    <s v="yes"/>
    <s v="Yes"/>
    <x v="0"/>
  </r>
  <r>
    <n v="1"/>
    <x v="1"/>
    <n v="2"/>
    <x v="2"/>
    <s v="female"/>
    <x v="1"/>
    <n v="18"/>
    <n v="0"/>
    <n v="2"/>
    <n v="13"/>
    <s v="Second"/>
    <s v="woman"/>
    <x v="1"/>
    <x v="1"/>
    <x v="0"/>
    <s v="yes"/>
    <s v="Yes"/>
    <x v="0"/>
  </r>
  <r>
    <n v="0"/>
    <x v="0"/>
    <n v="2"/>
    <x v="2"/>
    <s v="male"/>
    <x v="0"/>
    <n v="30"/>
    <n v="0"/>
    <n v="0"/>
    <n v="13"/>
    <s v="Second"/>
    <s v="man"/>
    <x v="0"/>
    <x v="0"/>
    <x v="0"/>
    <s v="no"/>
    <s v="No"/>
    <x v="1"/>
  </r>
  <r>
    <n v="0"/>
    <x v="0"/>
    <n v="3"/>
    <x v="0"/>
    <s v="female"/>
    <x v="1"/>
    <n v="10"/>
    <n v="0"/>
    <n v="2"/>
    <n v="24.15"/>
    <s v="Third"/>
    <s v="child"/>
    <x v="2"/>
    <x v="1"/>
    <x v="0"/>
    <s v="no"/>
    <s v="No"/>
    <x v="0"/>
  </r>
  <r>
    <n v="0"/>
    <x v="0"/>
    <n v="3"/>
    <x v="0"/>
    <s v="male"/>
    <x v="0"/>
    <n v="30"/>
    <n v="0"/>
    <n v="0"/>
    <n v="7.8958000000000004"/>
    <s v="Third"/>
    <s v="man"/>
    <x v="0"/>
    <x v="0"/>
    <x v="1"/>
    <s v="no"/>
    <s v="No"/>
    <x v="1"/>
  </r>
  <r>
    <n v="0"/>
    <x v="0"/>
    <n v="3"/>
    <x v="0"/>
    <s v="male"/>
    <x v="0"/>
    <n v="21"/>
    <n v="0"/>
    <n v="0"/>
    <n v="7.7332999999999998"/>
    <s v="Third"/>
    <s v="man"/>
    <x v="0"/>
    <x v="0"/>
    <x v="2"/>
    <s v="no"/>
    <s v="No"/>
    <x v="1"/>
  </r>
  <r>
    <n v="0"/>
    <x v="0"/>
    <n v="3"/>
    <x v="0"/>
    <s v="male"/>
    <x v="0"/>
    <n v="29"/>
    <n v="0"/>
    <n v="0"/>
    <n v="7.875"/>
    <s v="Third"/>
    <s v="man"/>
    <x v="0"/>
    <x v="0"/>
    <x v="0"/>
    <s v="no"/>
    <s v="No"/>
    <x v="1"/>
  </r>
  <r>
    <n v="0"/>
    <x v="0"/>
    <n v="3"/>
    <x v="0"/>
    <s v="female"/>
    <x v="1"/>
    <n v="28"/>
    <n v="1"/>
    <n v="1"/>
    <n v="14.4"/>
    <s v="Third"/>
    <s v="woman"/>
    <x v="1"/>
    <x v="1"/>
    <x v="0"/>
    <s v="no"/>
    <s v="No"/>
    <x v="0"/>
  </r>
  <r>
    <n v="0"/>
    <x v="0"/>
    <n v="3"/>
    <x v="0"/>
    <s v="male"/>
    <x v="0"/>
    <n v="18"/>
    <n v="1"/>
    <n v="1"/>
    <n v="20.212499999999999"/>
    <s v="Third"/>
    <s v="man"/>
    <x v="0"/>
    <x v="0"/>
    <x v="0"/>
    <s v="no"/>
    <s v="No"/>
    <x v="0"/>
  </r>
  <r>
    <n v="0"/>
    <x v="0"/>
    <n v="3"/>
    <x v="0"/>
    <s v="male"/>
    <x v="0"/>
    <n v="30"/>
    <n v="0"/>
    <n v="0"/>
    <n v="7.25"/>
    <s v="Third"/>
    <s v="man"/>
    <x v="0"/>
    <x v="0"/>
    <x v="0"/>
    <s v="no"/>
    <s v="No"/>
    <x v="1"/>
  </r>
  <r>
    <n v="1"/>
    <x v="1"/>
    <n v="2"/>
    <x v="2"/>
    <s v="female"/>
    <x v="1"/>
    <n v="28"/>
    <n v="1"/>
    <n v="0"/>
    <n v="26"/>
    <s v="Second"/>
    <s v="woman"/>
    <x v="1"/>
    <x v="1"/>
    <x v="0"/>
    <s v="yes"/>
    <s v="Yes"/>
    <x v="0"/>
  </r>
  <r>
    <n v="1"/>
    <x v="1"/>
    <n v="2"/>
    <x v="2"/>
    <s v="female"/>
    <x v="1"/>
    <n v="19"/>
    <n v="0"/>
    <n v="0"/>
    <n v="26"/>
    <s v="Second"/>
    <s v="woman"/>
    <x v="1"/>
    <x v="1"/>
    <x v="0"/>
    <s v="yes"/>
    <s v="Yes"/>
    <x v="1"/>
  </r>
  <r>
    <n v="0"/>
    <x v="0"/>
    <n v="3"/>
    <x v="0"/>
    <s v="male"/>
    <x v="0"/>
    <n v="30"/>
    <n v="0"/>
    <n v="0"/>
    <n v="7.75"/>
    <s v="Third"/>
    <s v="man"/>
    <x v="0"/>
    <x v="0"/>
    <x v="2"/>
    <s v="no"/>
    <s v="No"/>
    <x v="1"/>
  </r>
  <r>
    <n v="1"/>
    <x v="1"/>
    <n v="3"/>
    <x v="0"/>
    <s v="male"/>
    <x v="0"/>
    <n v="32"/>
    <n v="0"/>
    <n v="0"/>
    <n v="8.0500000000000007"/>
    <s v="Third"/>
    <s v="man"/>
    <x v="0"/>
    <x v="0"/>
    <x v="0"/>
    <s v="yes"/>
    <s v="Yes"/>
    <x v="1"/>
  </r>
  <r>
    <n v="1"/>
    <x v="1"/>
    <n v="1"/>
    <x v="1"/>
    <s v="male"/>
    <x v="0"/>
    <n v="28"/>
    <n v="0"/>
    <n v="0"/>
    <n v="26.55"/>
    <s v="First"/>
    <s v="man"/>
    <x v="0"/>
    <x v="0"/>
    <x v="0"/>
    <s v="yes"/>
    <s v="Yes"/>
    <x v="1"/>
  </r>
  <r>
    <n v="1"/>
    <x v="1"/>
    <n v="3"/>
    <x v="0"/>
    <s v="female"/>
    <x v="1"/>
    <n v="30"/>
    <n v="1"/>
    <n v="0"/>
    <n v="16.100000000000001"/>
    <s v="Third"/>
    <s v="woman"/>
    <x v="1"/>
    <x v="1"/>
    <x v="0"/>
    <s v="yes"/>
    <s v="Yes"/>
    <x v="0"/>
  </r>
  <r>
    <n v="1"/>
    <x v="1"/>
    <n v="2"/>
    <x v="2"/>
    <s v="female"/>
    <x v="1"/>
    <n v="42"/>
    <n v="1"/>
    <n v="0"/>
    <n v="26"/>
    <s v="Second"/>
    <s v="woman"/>
    <x v="1"/>
    <x v="1"/>
    <x v="0"/>
    <s v="yes"/>
    <s v="Yes"/>
    <x v="0"/>
  </r>
  <r>
    <n v="0"/>
    <x v="0"/>
    <n v="3"/>
    <x v="0"/>
    <s v="male"/>
    <x v="0"/>
    <n v="17"/>
    <n v="0"/>
    <n v="0"/>
    <n v="7.125"/>
    <s v="Third"/>
    <s v="man"/>
    <x v="0"/>
    <x v="0"/>
    <x v="0"/>
    <s v="no"/>
    <s v="No"/>
    <x v="1"/>
  </r>
  <r>
    <n v="0"/>
    <x v="0"/>
    <n v="1"/>
    <x v="1"/>
    <s v="male"/>
    <x v="0"/>
    <n v="50"/>
    <n v="1"/>
    <n v="0"/>
    <n v="55.9"/>
    <s v="First"/>
    <s v="man"/>
    <x v="0"/>
    <x v="0"/>
    <x v="0"/>
    <s v="no"/>
    <s v="No"/>
    <x v="0"/>
  </r>
  <r>
    <n v="1"/>
    <x v="1"/>
    <n v="1"/>
    <x v="1"/>
    <s v="female"/>
    <x v="1"/>
    <n v="14"/>
    <n v="1"/>
    <n v="2"/>
    <n v="120"/>
    <s v="First"/>
    <s v="child"/>
    <x v="2"/>
    <x v="1"/>
    <x v="0"/>
    <s v="yes"/>
    <s v="Yes"/>
    <x v="0"/>
  </r>
  <r>
    <n v="0"/>
    <x v="0"/>
    <n v="3"/>
    <x v="0"/>
    <s v="female"/>
    <x v="1"/>
    <n v="21"/>
    <n v="2"/>
    <n v="2"/>
    <n v="34.375"/>
    <s v="Third"/>
    <s v="woman"/>
    <x v="1"/>
    <x v="1"/>
    <x v="0"/>
    <s v="no"/>
    <s v="No"/>
    <x v="0"/>
  </r>
  <r>
    <n v="1"/>
    <x v="1"/>
    <n v="2"/>
    <x v="2"/>
    <s v="female"/>
    <x v="1"/>
    <n v="24"/>
    <n v="2"/>
    <n v="3"/>
    <n v="18.75"/>
    <s v="Second"/>
    <s v="woman"/>
    <x v="1"/>
    <x v="1"/>
    <x v="0"/>
    <s v="yes"/>
    <s v="Yes"/>
    <x v="0"/>
  </r>
  <r>
    <n v="0"/>
    <x v="0"/>
    <n v="1"/>
    <x v="1"/>
    <s v="male"/>
    <x v="0"/>
    <n v="64"/>
    <n v="1"/>
    <n v="4"/>
    <n v="263"/>
    <s v="First"/>
    <s v="man"/>
    <x v="0"/>
    <x v="0"/>
    <x v="0"/>
    <s v="no"/>
    <s v="No"/>
    <x v="0"/>
  </r>
  <r>
    <n v="0"/>
    <x v="0"/>
    <n v="2"/>
    <x v="2"/>
    <s v="male"/>
    <x v="0"/>
    <n v="31"/>
    <n v="0"/>
    <n v="0"/>
    <n v="10.5"/>
    <s v="Second"/>
    <s v="man"/>
    <x v="0"/>
    <x v="0"/>
    <x v="0"/>
    <s v="no"/>
    <s v="No"/>
    <x v="1"/>
  </r>
  <r>
    <n v="1"/>
    <x v="1"/>
    <n v="2"/>
    <x v="2"/>
    <s v="female"/>
    <x v="1"/>
    <n v="45"/>
    <n v="1"/>
    <n v="1"/>
    <n v="26.25"/>
    <s v="Second"/>
    <s v="woman"/>
    <x v="1"/>
    <x v="1"/>
    <x v="0"/>
    <s v="yes"/>
    <s v="Yes"/>
    <x v="0"/>
  </r>
  <r>
    <n v="0"/>
    <x v="0"/>
    <n v="3"/>
    <x v="0"/>
    <s v="male"/>
    <x v="0"/>
    <n v="20"/>
    <n v="0"/>
    <n v="0"/>
    <n v="9.5"/>
    <s v="Third"/>
    <s v="man"/>
    <x v="0"/>
    <x v="0"/>
    <x v="0"/>
    <s v="no"/>
    <s v="No"/>
    <x v="1"/>
  </r>
  <r>
    <n v="0"/>
    <x v="0"/>
    <n v="3"/>
    <x v="0"/>
    <s v="male"/>
    <x v="0"/>
    <n v="25"/>
    <n v="1"/>
    <n v="0"/>
    <n v="7.7750000000000004"/>
    <s v="Third"/>
    <s v="man"/>
    <x v="0"/>
    <x v="0"/>
    <x v="0"/>
    <s v="no"/>
    <s v="No"/>
    <x v="0"/>
  </r>
  <r>
    <n v="1"/>
    <x v="1"/>
    <n v="2"/>
    <x v="2"/>
    <s v="female"/>
    <x v="1"/>
    <n v="28"/>
    <n v="0"/>
    <n v="0"/>
    <n v="13"/>
    <s v="Second"/>
    <s v="woman"/>
    <x v="1"/>
    <x v="1"/>
    <x v="0"/>
    <s v="yes"/>
    <s v="Yes"/>
    <x v="1"/>
  </r>
  <r>
    <n v="1"/>
    <x v="1"/>
    <n v="3"/>
    <x v="0"/>
    <s v="male"/>
    <x v="0"/>
    <n v="30"/>
    <n v="0"/>
    <n v="0"/>
    <n v="8.1125000000000007"/>
    <s v="Third"/>
    <s v="man"/>
    <x v="0"/>
    <x v="0"/>
    <x v="0"/>
    <s v="yes"/>
    <s v="Yes"/>
    <x v="1"/>
  </r>
  <r>
    <n v="1"/>
    <x v="1"/>
    <n v="1"/>
    <x v="1"/>
    <s v="male"/>
    <x v="0"/>
    <n v="4"/>
    <n v="0"/>
    <n v="2"/>
    <n v="81.8583"/>
    <s v="First"/>
    <s v="child"/>
    <x v="2"/>
    <x v="1"/>
    <x v="0"/>
    <s v="yes"/>
    <s v="Yes"/>
    <x v="0"/>
  </r>
  <r>
    <n v="1"/>
    <x v="1"/>
    <n v="2"/>
    <x v="2"/>
    <s v="female"/>
    <x v="1"/>
    <n v="13"/>
    <n v="0"/>
    <n v="1"/>
    <n v="19.5"/>
    <s v="Second"/>
    <s v="child"/>
    <x v="2"/>
    <x v="1"/>
    <x v="0"/>
    <s v="yes"/>
    <s v="Yes"/>
    <x v="0"/>
  </r>
  <r>
    <n v="1"/>
    <x v="1"/>
    <n v="1"/>
    <x v="1"/>
    <s v="male"/>
    <x v="0"/>
    <n v="34"/>
    <n v="0"/>
    <n v="0"/>
    <n v="26.55"/>
    <s v="First"/>
    <s v="man"/>
    <x v="0"/>
    <x v="0"/>
    <x v="0"/>
    <s v="yes"/>
    <s v="Yes"/>
    <x v="1"/>
  </r>
  <r>
    <n v="1"/>
    <x v="1"/>
    <n v="3"/>
    <x v="0"/>
    <s v="female"/>
    <x v="1"/>
    <n v="5"/>
    <n v="2"/>
    <n v="1"/>
    <n v="19.258299999999998"/>
    <s v="Third"/>
    <s v="child"/>
    <x v="2"/>
    <x v="1"/>
    <x v="1"/>
    <s v="yes"/>
    <s v="Yes"/>
    <x v="0"/>
  </r>
  <r>
    <n v="1"/>
    <x v="1"/>
    <n v="1"/>
    <x v="1"/>
    <s v="male"/>
    <x v="0"/>
    <n v="52"/>
    <n v="0"/>
    <n v="0"/>
    <n v="30.5"/>
    <s v="First"/>
    <s v="man"/>
    <x v="0"/>
    <x v="0"/>
    <x v="0"/>
    <s v="yes"/>
    <s v="Yes"/>
    <x v="1"/>
  </r>
  <r>
    <n v="0"/>
    <x v="0"/>
    <n v="2"/>
    <x v="2"/>
    <s v="male"/>
    <x v="0"/>
    <n v="36"/>
    <n v="1"/>
    <n v="2"/>
    <n v="27.75"/>
    <s v="Second"/>
    <s v="man"/>
    <x v="0"/>
    <x v="0"/>
    <x v="0"/>
    <s v="no"/>
    <s v="No"/>
    <x v="0"/>
  </r>
  <r>
    <n v="0"/>
    <x v="0"/>
    <n v="3"/>
    <x v="0"/>
    <s v="male"/>
    <x v="0"/>
    <n v="30"/>
    <n v="1"/>
    <n v="0"/>
    <n v="19.966699999999999"/>
    <s v="Third"/>
    <s v="man"/>
    <x v="0"/>
    <x v="0"/>
    <x v="0"/>
    <s v="no"/>
    <s v="No"/>
    <x v="0"/>
  </r>
  <r>
    <n v="0"/>
    <x v="0"/>
    <n v="1"/>
    <x v="1"/>
    <s v="male"/>
    <x v="0"/>
    <n v="30"/>
    <n v="0"/>
    <n v="0"/>
    <n v="27.75"/>
    <s v="First"/>
    <s v="man"/>
    <x v="0"/>
    <x v="0"/>
    <x v="1"/>
    <s v="no"/>
    <s v="No"/>
    <x v="1"/>
  </r>
  <r>
    <n v="1"/>
    <x v="1"/>
    <n v="1"/>
    <x v="1"/>
    <s v="male"/>
    <x v="0"/>
    <n v="49"/>
    <n v="1"/>
    <n v="0"/>
    <n v="89.104200000000006"/>
    <s v="First"/>
    <s v="man"/>
    <x v="0"/>
    <x v="0"/>
    <x v="1"/>
    <s v="yes"/>
    <s v="Yes"/>
    <x v="0"/>
  </r>
  <r>
    <n v="0"/>
    <x v="0"/>
    <n v="3"/>
    <x v="0"/>
    <s v="male"/>
    <x v="0"/>
    <n v="30"/>
    <n v="0"/>
    <n v="0"/>
    <n v="8.0500000000000007"/>
    <s v="Third"/>
    <s v="man"/>
    <x v="0"/>
    <x v="0"/>
    <x v="0"/>
    <s v="no"/>
    <s v="No"/>
    <x v="1"/>
  </r>
  <r>
    <n v="1"/>
    <x v="1"/>
    <n v="3"/>
    <x v="0"/>
    <s v="male"/>
    <x v="0"/>
    <n v="29"/>
    <n v="0"/>
    <n v="0"/>
    <n v="7.8958000000000004"/>
    <s v="Third"/>
    <s v="man"/>
    <x v="0"/>
    <x v="0"/>
    <x v="1"/>
    <s v="yes"/>
    <s v="Yes"/>
    <x v="1"/>
  </r>
  <r>
    <n v="0"/>
    <x v="0"/>
    <n v="1"/>
    <x v="1"/>
    <s v="male"/>
    <x v="0"/>
    <n v="65"/>
    <n v="0"/>
    <n v="0"/>
    <n v="26.55"/>
    <s v="First"/>
    <s v="man"/>
    <x v="0"/>
    <x v="0"/>
    <x v="0"/>
    <s v="no"/>
    <s v="No"/>
    <x v="1"/>
  </r>
  <r>
    <n v="1"/>
    <x v="1"/>
    <n v="1"/>
    <x v="1"/>
    <s v="female"/>
    <x v="1"/>
    <n v="30"/>
    <n v="1"/>
    <n v="0"/>
    <n v="51.862499999999997"/>
    <s v="First"/>
    <s v="woman"/>
    <x v="1"/>
    <x v="1"/>
    <x v="0"/>
    <s v="yes"/>
    <s v="Yes"/>
    <x v="0"/>
  </r>
  <r>
    <n v="1"/>
    <x v="1"/>
    <n v="2"/>
    <x v="2"/>
    <s v="female"/>
    <x v="1"/>
    <n v="50"/>
    <n v="0"/>
    <n v="0"/>
    <n v="10.5"/>
    <s v="Second"/>
    <s v="woman"/>
    <x v="1"/>
    <x v="1"/>
    <x v="0"/>
    <s v="yes"/>
    <s v="Yes"/>
    <x v="1"/>
  </r>
  <r>
    <n v="0"/>
    <x v="0"/>
    <n v="3"/>
    <x v="0"/>
    <s v="male"/>
    <x v="0"/>
    <n v="30"/>
    <n v="0"/>
    <n v="0"/>
    <n v="7.75"/>
    <s v="Third"/>
    <s v="man"/>
    <x v="0"/>
    <x v="0"/>
    <x v="2"/>
    <s v="no"/>
    <s v="No"/>
    <x v="1"/>
  </r>
  <r>
    <n v="1"/>
    <x v="1"/>
    <n v="1"/>
    <x v="1"/>
    <s v="male"/>
    <x v="0"/>
    <n v="48"/>
    <n v="0"/>
    <n v="0"/>
    <n v="26.55"/>
    <s v="First"/>
    <s v="man"/>
    <x v="0"/>
    <x v="0"/>
    <x v="0"/>
    <s v="yes"/>
    <s v="Yes"/>
    <x v="1"/>
  </r>
  <r>
    <n v="0"/>
    <x v="0"/>
    <n v="3"/>
    <x v="0"/>
    <s v="male"/>
    <x v="0"/>
    <n v="34"/>
    <n v="0"/>
    <n v="0"/>
    <n v="8.0500000000000007"/>
    <s v="Third"/>
    <s v="man"/>
    <x v="0"/>
    <x v="0"/>
    <x v="0"/>
    <s v="no"/>
    <s v="No"/>
    <x v="1"/>
  </r>
  <r>
    <n v="0"/>
    <x v="0"/>
    <n v="1"/>
    <x v="1"/>
    <s v="male"/>
    <x v="0"/>
    <n v="47"/>
    <n v="0"/>
    <n v="0"/>
    <n v="38.5"/>
    <s v="First"/>
    <s v="man"/>
    <x v="0"/>
    <x v="0"/>
    <x v="0"/>
    <s v="no"/>
    <s v="No"/>
    <x v="1"/>
  </r>
  <r>
    <n v="0"/>
    <x v="0"/>
    <n v="2"/>
    <x v="2"/>
    <s v="male"/>
    <x v="0"/>
    <n v="48"/>
    <n v="0"/>
    <n v="0"/>
    <n v="13"/>
    <s v="Second"/>
    <s v="man"/>
    <x v="0"/>
    <x v="0"/>
    <x v="0"/>
    <s v="no"/>
    <s v="No"/>
    <x v="1"/>
  </r>
  <r>
    <n v="0"/>
    <x v="0"/>
    <n v="3"/>
    <x v="0"/>
    <s v="male"/>
    <x v="0"/>
    <n v="30"/>
    <n v="0"/>
    <n v="0"/>
    <n v="8.0500000000000007"/>
    <s v="Third"/>
    <s v="man"/>
    <x v="0"/>
    <x v="0"/>
    <x v="0"/>
    <s v="no"/>
    <s v="No"/>
    <x v="1"/>
  </r>
  <r>
    <n v="0"/>
    <x v="0"/>
    <n v="3"/>
    <x v="0"/>
    <s v="male"/>
    <x v="0"/>
    <n v="38"/>
    <n v="0"/>
    <n v="0"/>
    <n v="7.05"/>
    <s v="Third"/>
    <s v="man"/>
    <x v="0"/>
    <x v="0"/>
    <x v="0"/>
    <s v="no"/>
    <s v="No"/>
    <x v="1"/>
  </r>
  <r>
    <n v="0"/>
    <x v="0"/>
    <n v="2"/>
    <x v="2"/>
    <s v="male"/>
    <x v="0"/>
    <n v="30"/>
    <n v="0"/>
    <n v="0"/>
    <n v="0"/>
    <s v="Second"/>
    <s v="man"/>
    <x v="0"/>
    <x v="0"/>
    <x v="0"/>
    <s v="no"/>
    <s v="No"/>
    <x v="1"/>
  </r>
  <r>
    <n v="0"/>
    <x v="0"/>
    <n v="1"/>
    <x v="1"/>
    <s v="male"/>
    <x v="0"/>
    <n v="56"/>
    <n v="0"/>
    <n v="0"/>
    <n v="26.55"/>
    <s v="First"/>
    <s v="man"/>
    <x v="0"/>
    <x v="0"/>
    <x v="0"/>
    <s v="no"/>
    <s v="No"/>
    <x v="1"/>
  </r>
  <r>
    <n v="0"/>
    <x v="0"/>
    <n v="3"/>
    <x v="0"/>
    <s v="male"/>
    <x v="0"/>
    <n v="30"/>
    <n v="0"/>
    <n v="0"/>
    <n v="7.7249999999999996"/>
    <s v="Third"/>
    <s v="man"/>
    <x v="0"/>
    <x v="0"/>
    <x v="2"/>
    <s v="no"/>
    <s v="No"/>
    <x v="1"/>
  </r>
  <r>
    <n v="1"/>
    <x v="1"/>
    <n v="3"/>
    <x v="0"/>
    <s v="female"/>
    <x v="1"/>
    <n v="0.75"/>
    <n v="2"/>
    <n v="1"/>
    <n v="19.258299999999998"/>
    <s v="Third"/>
    <s v="child"/>
    <x v="2"/>
    <x v="1"/>
    <x v="1"/>
    <s v="yes"/>
    <s v="Yes"/>
    <x v="0"/>
  </r>
  <r>
    <n v="0"/>
    <x v="0"/>
    <n v="3"/>
    <x v="0"/>
    <s v="male"/>
    <x v="0"/>
    <n v="30"/>
    <n v="0"/>
    <n v="0"/>
    <n v="7.25"/>
    <s v="Third"/>
    <s v="man"/>
    <x v="0"/>
    <x v="0"/>
    <x v="0"/>
    <s v="no"/>
    <s v="No"/>
    <x v="1"/>
  </r>
  <r>
    <n v="0"/>
    <x v="0"/>
    <n v="3"/>
    <x v="0"/>
    <s v="male"/>
    <x v="0"/>
    <n v="38"/>
    <n v="0"/>
    <n v="0"/>
    <n v="8.6624999999999996"/>
    <s v="Third"/>
    <s v="man"/>
    <x v="0"/>
    <x v="0"/>
    <x v="0"/>
    <s v="no"/>
    <s v="No"/>
    <x v="1"/>
  </r>
  <r>
    <n v="1"/>
    <x v="1"/>
    <n v="2"/>
    <x v="2"/>
    <s v="female"/>
    <x v="1"/>
    <n v="33"/>
    <n v="1"/>
    <n v="2"/>
    <n v="27.75"/>
    <s v="Second"/>
    <s v="woman"/>
    <x v="1"/>
    <x v="1"/>
    <x v="0"/>
    <s v="yes"/>
    <s v="Yes"/>
    <x v="0"/>
  </r>
  <r>
    <n v="1"/>
    <x v="1"/>
    <n v="2"/>
    <x v="2"/>
    <s v="female"/>
    <x v="1"/>
    <n v="23"/>
    <n v="0"/>
    <n v="0"/>
    <n v="13.791700000000001"/>
    <s v="Second"/>
    <s v="woman"/>
    <x v="1"/>
    <x v="1"/>
    <x v="1"/>
    <s v="yes"/>
    <s v="Yes"/>
    <x v="1"/>
  </r>
  <r>
    <n v="0"/>
    <x v="0"/>
    <n v="3"/>
    <x v="0"/>
    <s v="female"/>
    <x v="1"/>
    <n v="22"/>
    <n v="0"/>
    <n v="0"/>
    <n v="9.8375000000000004"/>
    <s v="Third"/>
    <s v="woman"/>
    <x v="1"/>
    <x v="1"/>
    <x v="0"/>
    <s v="no"/>
    <s v="No"/>
    <x v="1"/>
  </r>
  <r>
    <n v="0"/>
    <x v="0"/>
    <n v="1"/>
    <x v="1"/>
    <s v="male"/>
    <x v="0"/>
    <n v="30"/>
    <n v="0"/>
    <n v="0"/>
    <n v="52"/>
    <s v="First"/>
    <s v="man"/>
    <x v="0"/>
    <x v="0"/>
    <x v="0"/>
    <s v="no"/>
    <s v="No"/>
    <x v="1"/>
  </r>
  <r>
    <n v="0"/>
    <x v="0"/>
    <n v="2"/>
    <x v="2"/>
    <s v="male"/>
    <x v="0"/>
    <n v="34"/>
    <n v="1"/>
    <n v="0"/>
    <n v="21"/>
    <s v="Second"/>
    <s v="man"/>
    <x v="0"/>
    <x v="0"/>
    <x v="0"/>
    <s v="no"/>
    <s v="No"/>
    <x v="0"/>
  </r>
  <r>
    <n v="0"/>
    <x v="0"/>
    <n v="3"/>
    <x v="0"/>
    <s v="male"/>
    <x v="0"/>
    <n v="29"/>
    <n v="1"/>
    <n v="0"/>
    <n v="7.0457999999999998"/>
    <s v="Third"/>
    <s v="man"/>
    <x v="0"/>
    <x v="0"/>
    <x v="0"/>
    <s v="no"/>
    <s v="No"/>
    <x v="0"/>
  </r>
  <r>
    <n v="0"/>
    <x v="0"/>
    <n v="3"/>
    <x v="0"/>
    <s v="male"/>
    <x v="0"/>
    <n v="22"/>
    <n v="0"/>
    <n v="0"/>
    <n v="7.5208000000000004"/>
    <s v="Third"/>
    <s v="man"/>
    <x v="0"/>
    <x v="0"/>
    <x v="0"/>
    <s v="no"/>
    <s v="No"/>
    <x v="1"/>
  </r>
  <r>
    <n v="1"/>
    <x v="1"/>
    <n v="3"/>
    <x v="0"/>
    <s v="female"/>
    <x v="1"/>
    <n v="2"/>
    <n v="0"/>
    <n v="1"/>
    <n v="12.2875"/>
    <s v="Third"/>
    <s v="child"/>
    <x v="2"/>
    <x v="1"/>
    <x v="0"/>
    <s v="yes"/>
    <s v="Yes"/>
    <x v="0"/>
  </r>
  <r>
    <n v="0"/>
    <x v="0"/>
    <n v="3"/>
    <x v="0"/>
    <s v="male"/>
    <x v="0"/>
    <n v="9"/>
    <n v="5"/>
    <n v="2"/>
    <n v="46.9"/>
    <s v="Third"/>
    <s v="child"/>
    <x v="2"/>
    <x v="1"/>
    <x v="0"/>
    <s v="no"/>
    <s v="No"/>
    <x v="0"/>
  </r>
  <r>
    <n v="0"/>
    <x v="0"/>
    <n v="2"/>
    <x v="2"/>
    <s v="male"/>
    <x v="0"/>
    <n v="30"/>
    <n v="0"/>
    <n v="0"/>
    <n v="0"/>
    <s v="Second"/>
    <s v="man"/>
    <x v="0"/>
    <x v="0"/>
    <x v="0"/>
    <s v="no"/>
    <s v="No"/>
    <x v="1"/>
  </r>
  <r>
    <n v="0"/>
    <x v="0"/>
    <n v="3"/>
    <x v="0"/>
    <s v="male"/>
    <x v="0"/>
    <n v="50"/>
    <n v="0"/>
    <n v="0"/>
    <n v="8.0500000000000007"/>
    <s v="Third"/>
    <s v="man"/>
    <x v="0"/>
    <x v="0"/>
    <x v="0"/>
    <s v="no"/>
    <s v="No"/>
    <x v="1"/>
  </r>
  <r>
    <n v="1"/>
    <x v="1"/>
    <n v="3"/>
    <x v="0"/>
    <s v="female"/>
    <x v="1"/>
    <n v="63"/>
    <n v="0"/>
    <n v="0"/>
    <n v="9.5875000000000004"/>
    <s v="Third"/>
    <s v="woman"/>
    <x v="1"/>
    <x v="1"/>
    <x v="0"/>
    <s v="yes"/>
    <s v="Yes"/>
    <x v="1"/>
  </r>
  <r>
    <n v="1"/>
    <x v="1"/>
    <n v="1"/>
    <x v="1"/>
    <s v="male"/>
    <x v="0"/>
    <n v="25"/>
    <n v="1"/>
    <n v="0"/>
    <n v="91.0792"/>
    <s v="First"/>
    <s v="man"/>
    <x v="0"/>
    <x v="0"/>
    <x v="1"/>
    <s v="yes"/>
    <s v="Yes"/>
    <x v="0"/>
  </r>
  <r>
    <n v="0"/>
    <x v="0"/>
    <n v="3"/>
    <x v="0"/>
    <s v="female"/>
    <x v="1"/>
    <n v="30"/>
    <n v="3"/>
    <n v="1"/>
    <n v="25.466699999999999"/>
    <s v="Third"/>
    <s v="woman"/>
    <x v="1"/>
    <x v="1"/>
    <x v="0"/>
    <s v="no"/>
    <s v="No"/>
    <x v="0"/>
  </r>
  <r>
    <n v="1"/>
    <x v="1"/>
    <n v="1"/>
    <x v="1"/>
    <s v="female"/>
    <x v="1"/>
    <n v="35"/>
    <n v="1"/>
    <n v="0"/>
    <n v="90"/>
    <s v="First"/>
    <s v="woman"/>
    <x v="1"/>
    <x v="1"/>
    <x v="0"/>
    <s v="yes"/>
    <s v="Yes"/>
    <x v="0"/>
  </r>
  <r>
    <n v="0"/>
    <x v="0"/>
    <n v="1"/>
    <x v="1"/>
    <s v="male"/>
    <x v="0"/>
    <n v="58"/>
    <n v="0"/>
    <n v="0"/>
    <n v="29.7"/>
    <s v="First"/>
    <s v="man"/>
    <x v="0"/>
    <x v="0"/>
    <x v="1"/>
    <s v="no"/>
    <s v="No"/>
    <x v="1"/>
  </r>
  <r>
    <n v="0"/>
    <x v="0"/>
    <n v="3"/>
    <x v="0"/>
    <s v="male"/>
    <x v="0"/>
    <n v="30"/>
    <n v="0"/>
    <n v="0"/>
    <n v="8.0500000000000007"/>
    <s v="Third"/>
    <s v="man"/>
    <x v="0"/>
    <x v="0"/>
    <x v="0"/>
    <s v="no"/>
    <s v="No"/>
    <x v="1"/>
  </r>
  <r>
    <n v="1"/>
    <x v="1"/>
    <n v="3"/>
    <x v="0"/>
    <s v="male"/>
    <x v="0"/>
    <n v="9"/>
    <n v="1"/>
    <n v="1"/>
    <n v="15.9"/>
    <s v="Third"/>
    <s v="child"/>
    <x v="2"/>
    <x v="1"/>
    <x v="0"/>
    <s v="yes"/>
    <s v="Yes"/>
    <x v="0"/>
  </r>
  <r>
    <n v="0"/>
    <x v="0"/>
    <n v="3"/>
    <x v="0"/>
    <s v="male"/>
    <x v="0"/>
    <n v="30"/>
    <n v="1"/>
    <n v="0"/>
    <n v="19.966699999999999"/>
    <s v="Third"/>
    <s v="man"/>
    <x v="0"/>
    <x v="0"/>
    <x v="0"/>
    <s v="no"/>
    <s v="No"/>
    <x v="0"/>
  </r>
  <r>
    <n v="0"/>
    <x v="0"/>
    <n v="3"/>
    <x v="0"/>
    <s v="male"/>
    <x v="0"/>
    <n v="21"/>
    <n v="0"/>
    <n v="0"/>
    <n v="7.25"/>
    <s v="Third"/>
    <s v="man"/>
    <x v="0"/>
    <x v="0"/>
    <x v="0"/>
    <s v="no"/>
    <s v="No"/>
    <x v="1"/>
  </r>
  <r>
    <n v="0"/>
    <x v="0"/>
    <n v="1"/>
    <x v="1"/>
    <s v="male"/>
    <x v="0"/>
    <n v="55"/>
    <n v="0"/>
    <n v="0"/>
    <n v="30.5"/>
    <s v="First"/>
    <s v="man"/>
    <x v="0"/>
    <x v="0"/>
    <x v="0"/>
    <s v="no"/>
    <s v="No"/>
    <x v="1"/>
  </r>
  <r>
    <n v="0"/>
    <x v="0"/>
    <n v="1"/>
    <x v="1"/>
    <s v="male"/>
    <x v="0"/>
    <n v="71"/>
    <n v="0"/>
    <n v="0"/>
    <n v="49.504199999999997"/>
    <s v="First"/>
    <s v="man"/>
    <x v="0"/>
    <x v="0"/>
    <x v="1"/>
    <s v="no"/>
    <s v="No"/>
    <x v="1"/>
  </r>
  <r>
    <n v="0"/>
    <x v="0"/>
    <n v="3"/>
    <x v="0"/>
    <s v="male"/>
    <x v="0"/>
    <n v="21"/>
    <n v="0"/>
    <n v="0"/>
    <n v="8.0500000000000007"/>
    <s v="Third"/>
    <s v="man"/>
    <x v="0"/>
    <x v="0"/>
    <x v="0"/>
    <s v="no"/>
    <s v="No"/>
    <x v="1"/>
  </r>
  <r>
    <n v="0"/>
    <x v="0"/>
    <n v="3"/>
    <x v="0"/>
    <s v="male"/>
    <x v="0"/>
    <n v="30"/>
    <n v="0"/>
    <n v="0"/>
    <n v="14.458299999999999"/>
    <s v="Third"/>
    <s v="man"/>
    <x v="0"/>
    <x v="0"/>
    <x v="1"/>
    <s v="no"/>
    <s v="No"/>
    <x v="1"/>
  </r>
  <r>
    <n v="1"/>
    <x v="1"/>
    <n v="1"/>
    <x v="1"/>
    <s v="female"/>
    <x v="1"/>
    <n v="54"/>
    <n v="1"/>
    <n v="0"/>
    <n v="78.2667"/>
    <s v="First"/>
    <s v="woman"/>
    <x v="1"/>
    <x v="1"/>
    <x v="1"/>
    <s v="yes"/>
    <s v="Yes"/>
    <x v="0"/>
  </r>
  <r>
    <n v="0"/>
    <x v="0"/>
    <n v="3"/>
    <x v="0"/>
    <s v="male"/>
    <x v="0"/>
    <n v="30"/>
    <n v="0"/>
    <n v="0"/>
    <n v="15.1"/>
    <s v="Third"/>
    <s v="man"/>
    <x v="0"/>
    <x v="0"/>
    <x v="0"/>
    <s v="no"/>
    <s v="No"/>
    <x v="1"/>
  </r>
  <r>
    <n v="0"/>
    <x v="0"/>
    <n v="1"/>
    <x v="1"/>
    <s v="female"/>
    <x v="1"/>
    <n v="25"/>
    <n v="1"/>
    <n v="2"/>
    <n v="151.55000000000001"/>
    <s v="First"/>
    <s v="woman"/>
    <x v="1"/>
    <x v="1"/>
    <x v="0"/>
    <s v="no"/>
    <s v="No"/>
    <x v="0"/>
  </r>
  <r>
    <n v="0"/>
    <x v="0"/>
    <n v="3"/>
    <x v="0"/>
    <s v="male"/>
    <x v="0"/>
    <n v="24"/>
    <n v="0"/>
    <n v="0"/>
    <n v="7.7957999999999998"/>
    <s v="Third"/>
    <s v="man"/>
    <x v="0"/>
    <x v="0"/>
    <x v="0"/>
    <s v="no"/>
    <s v="No"/>
    <x v="1"/>
  </r>
  <r>
    <n v="0"/>
    <x v="0"/>
    <n v="3"/>
    <x v="0"/>
    <s v="male"/>
    <x v="0"/>
    <n v="17"/>
    <n v="0"/>
    <n v="0"/>
    <n v="8.6624999999999996"/>
    <s v="Third"/>
    <s v="man"/>
    <x v="0"/>
    <x v="0"/>
    <x v="0"/>
    <s v="no"/>
    <s v="No"/>
    <x v="1"/>
  </r>
  <r>
    <n v="0"/>
    <x v="0"/>
    <n v="3"/>
    <x v="0"/>
    <s v="female"/>
    <x v="1"/>
    <n v="21"/>
    <n v="0"/>
    <n v="0"/>
    <n v="7.75"/>
    <s v="Third"/>
    <s v="woman"/>
    <x v="1"/>
    <x v="1"/>
    <x v="2"/>
    <s v="no"/>
    <s v="No"/>
    <x v="1"/>
  </r>
  <r>
    <n v="0"/>
    <x v="0"/>
    <n v="3"/>
    <x v="0"/>
    <s v="female"/>
    <x v="1"/>
    <n v="30"/>
    <n v="0"/>
    <n v="0"/>
    <n v="7.6292"/>
    <s v="Third"/>
    <s v="woman"/>
    <x v="1"/>
    <x v="1"/>
    <x v="2"/>
    <s v="no"/>
    <s v="No"/>
    <x v="1"/>
  </r>
  <r>
    <n v="0"/>
    <x v="0"/>
    <n v="3"/>
    <x v="0"/>
    <s v="female"/>
    <x v="1"/>
    <n v="37"/>
    <n v="0"/>
    <n v="0"/>
    <n v="9.5875000000000004"/>
    <s v="Third"/>
    <s v="woman"/>
    <x v="1"/>
    <x v="1"/>
    <x v="0"/>
    <s v="no"/>
    <s v="No"/>
    <x v="1"/>
  </r>
  <r>
    <n v="1"/>
    <x v="1"/>
    <n v="1"/>
    <x v="1"/>
    <s v="female"/>
    <x v="1"/>
    <n v="16"/>
    <n v="0"/>
    <n v="0"/>
    <n v="86.5"/>
    <s v="First"/>
    <s v="woman"/>
    <x v="1"/>
    <x v="1"/>
    <x v="0"/>
    <s v="yes"/>
    <s v="Yes"/>
    <x v="1"/>
  </r>
  <r>
    <n v="0"/>
    <x v="0"/>
    <n v="1"/>
    <x v="1"/>
    <s v="male"/>
    <x v="0"/>
    <n v="18"/>
    <n v="1"/>
    <n v="0"/>
    <n v="108.9"/>
    <s v="First"/>
    <s v="man"/>
    <x v="0"/>
    <x v="0"/>
    <x v="1"/>
    <s v="no"/>
    <s v="No"/>
    <x v="0"/>
  </r>
  <r>
    <n v="1"/>
    <x v="1"/>
    <n v="2"/>
    <x v="2"/>
    <s v="female"/>
    <x v="1"/>
    <n v="33"/>
    <n v="0"/>
    <n v="2"/>
    <n v="26"/>
    <s v="Second"/>
    <s v="woman"/>
    <x v="1"/>
    <x v="1"/>
    <x v="0"/>
    <s v="yes"/>
    <s v="Yes"/>
    <x v="0"/>
  </r>
  <r>
    <n v="1"/>
    <x v="1"/>
    <n v="1"/>
    <x v="1"/>
    <s v="male"/>
    <x v="0"/>
    <n v="30"/>
    <n v="0"/>
    <n v="0"/>
    <n v="26.55"/>
    <s v="First"/>
    <s v="man"/>
    <x v="0"/>
    <x v="0"/>
    <x v="0"/>
    <s v="yes"/>
    <s v="Yes"/>
    <x v="1"/>
  </r>
  <r>
    <n v="0"/>
    <x v="0"/>
    <n v="3"/>
    <x v="0"/>
    <s v="male"/>
    <x v="0"/>
    <n v="28"/>
    <n v="0"/>
    <n v="0"/>
    <n v="22.524999999999999"/>
    <s v="Third"/>
    <s v="man"/>
    <x v="0"/>
    <x v="0"/>
    <x v="0"/>
    <s v="no"/>
    <s v="No"/>
    <x v="1"/>
  </r>
  <r>
    <n v="1"/>
    <x v="1"/>
    <n v="3"/>
    <x v="0"/>
    <s v="male"/>
    <x v="0"/>
    <n v="26"/>
    <n v="0"/>
    <n v="0"/>
    <n v="56.495800000000003"/>
    <s v="Third"/>
    <s v="man"/>
    <x v="0"/>
    <x v="0"/>
    <x v="0"/>
    <s v="yes"/>
    <s v="Yes"/>
    <x v="1"/>
  </r>
  <r>
    <n v="1"/>
    <x v="1"/>
    <n v="3"/>
    <x v="0"/>
    <s v="male"/>
    <x v="0"/>
    <n v="29"/>
    <n v="0"/>
    <n v="0"/>
    <n v="7.75"/>
    <s v="Third"/>
    <s v="man"/>
    <x v="0"/>
    <x v="0"/>
    <x v="2"/>
    <s v="yes"/>
    <s v="Yes"/>
    <x v="1"/>
  </r>
  <r>
    <n v="0"/>
    <x v="0"/>
    <n v="3"/>
    <x v="0"/>
    <s v="male"/>
    <x v="0"/>
    <n v="30"/>
    <n v="0"/>
    <n v="0"/>
    <n v="8.0500000000000007"/>
    <s v="Third"/>
    <s v="man"/>
    <x v="0"/>
    <x v="0"/>
    <x v="0"/>
    <s v="no"/>
    <s v="No"/>
    <x v="1"/>
  </r>
  <r>
    <n v="1"/>
    <x v="1"/>
    <n v="1"/>
    <x v="1"/>
    <s v="male"/>
    <x v="0"/>
    <n v="36"/>
    <n v="0"/>
    <n v="0"/>
    <n v="26.287500000000001"/>
    <s v="First"/>
    <s v="man"/>
    <x v="0"/>
    <x v="0"/>
    <x v="0"/>
    <s v="yes"/>
    <s v="Yes"/>
    <x v="1"/>
  </r>
  <r>
    <n v="1"/>
    <x v="1"/>
    <n v="1"/>
    <x v="1"/>
    <s v="female"/>
    <x v="1"/>
    <n v="54"/>
    <n v="1"/>
    <n v="0"/>
    <n v="59.4"/>
    <s v="First"/>
    <s v="woman"/>
    <x v="1"/>
    <x v="1"/>
    <x v="1"/>
    <s v="yes"/>
    <s v="Yes"/>
    <x v="0"/>
  </r>
  <r>
    <n v="0"/>
    <x v="0"/>
    <n v="3"/>
    <x v="0"/>
    <s v="male"/>
    <x v="0"/>
    <n v="24"/>
    <n v="0"/>
    <n v="0"/>
    <n v="7.4958"/>
    <s v="Third"/>
    <s v="man"/>
    <x v="0"/>
    <x v="0"/>
    <x v="0"/>
    <s v="no"/>
    <s v="No"/>
    <x v="1"/>
  </r>
  <r>
    <n v="0"/>
    <x v="0"/>
    <n v="1"/>
    <x v="1"/>
    <s v="male"/>
    <x v="0"/>
    <n v="47"/>
    <n v="0"/>
    <n v="0"/>
    <n v="34.020800000000001"/>
    <s v="First"/>
    <s v="man"/>
    <x v="0"/>
    <x v="0"/>
    <x v="0"/>
    <s v="no"/>
    <s v="No"/>
    <x v="1"/>
  </r>
  <r>
    <n v="1"/>
    <x v="1"/>
    <n v="2"/>
    <x v="2"/>
    <s v="female"/>
    <x v="1"/>
    <n v="34"/>
    <n v="0"/>
    <n v="0"/>
    <n v="10.5"/>
    <s v="Second"/>
    <s v="woman"/>
    <x v="1"/>
    <x v="1"/>
    <x v="0"/>
    <s v="yes"/>
    <s v="Yes"/>
    <x v="1"/>
  </r>
  <r>
    <n v="0"/>
    <x v="0"/>
    <n v="3"/>
    <x v="0"/>
    <s v="male"/>
    <x v="0"/>
    <n v="30"/>
    <n v="0"/>
    <n v="0"/>
    <n v="24.15"/>
    <s v="Third"/>
    <s v="man"/>
    <x v="0"/>
    <x v="0"/>
    <x v="2"/>
    <s v="no"/>
    <s v="No"/>
    <x v="1"/>
  </r>
  <r>
    <n v="1"/>
    <x v="1"/>
    <n v="2"/>
    <x v="2"/>
    <s v="female"/>
    <x v="1"/>
    <n v="36"/>
    <n v="1"/>
    <n v="0"/>
    <n v="26"/>
    <s v="Second"/>
    <s v="woman"/>
    <x v="1"/>
    <x v="1"/>
    <x v="0"/>
    <s v="yes"/>
    <s v="Yes"/>
    <x v="0"/>
  </r>
  <r>
    <n v="0"/>
    <x v="0"/>
    <n v="3"/>
    <x v="0"/>
    <s v="male"/>
    <x v="0"/>
    <n v="32"/>
    <n v="0"/>
    <n v="0"/>
    <n v="7.8958000000000004"/>
    <s v="Third"/>
    <s v="man"/>
    <x v="0"/>
    <x v="0"/>
    <x v="0"/>
    <s v="no"/>
    <s v="No"/>
    <x v="1"/>
  </r>
  <r>
    <n v="1"/>
    <x v="1"/>
    <n v="1"/>
    <x v="1"/>
    <s v="female"/>
    <x v="1"/>
    <n v="30"/>
    <n v="0"/>
    <n v="0"/>
    <n v="93.5"/>
    <s v="First"/>
    <s v="woman"/>
    <x v="1"/>
    <x v="1"/>
    <x v="0"/>
    <s v="yes"/>
    <s v="Yes"/>
    <x v="1"/>
  </r>
  <r>
    <n v="0"/>
    <x v="0"/>
    <n v="3"/>
    <x v="0"/>
    <s v="male"/>
    <x v="0"/>
    <n v="22"/>
    <n v="0"/>
    <n v="0"/>
    <n v="7.8958000000000004"/>
    <s v="Third"/>
    <s v="man"/>
    <x v="0"/>
    <x v="0"/>
    <x v="0"/>
    <s v="no"/>
    <s v="No"/>
    <x v="1"/>
  </r>
  <r>
    <n v="0"/>
    <x v="0"/>
    <n v="3"/>
    <x v="0"/>
    <s v="male"/>
    <x v="0"/>
    <n v="30"/>
    <n v="0"/>
    <n v="0"/>
    <n v="7.2249999999999996"/>
    <s v="Third"/>
    <s v="man"/>
    <x v="0"/>
    <x v="0"/>
    <x v="1"/>
    <s v="no"/>
    <s v="No"/>
    <x v="1"/>
  </r>
  <r>
    <n v="1"/>
    <x v="1"/>
    <n v="1"/>
    <x v="1"/>
    <s v="female"/>
    <x v="1"/>
    <n v="44"/>
    <n v="0"/>
    <n v="1"/>
    <n v="57.979199999999999"/>
    <s v="First"/>
    <s v="woman"/>
    <x v="1"/>
    <x v="1"/>
    <x v="1"/>
    <s v="yes"/>
    <s v="Yes"/>
    <x v="0"/>
  </r>
  <r>
    <n v="0"/>
    <x v="0"/>
    <n v="3"/>
    <x v="0"/>
    <s v="male"/>
    <x v="0"/>
    <n v="30"/>
    <n v="0"/>
    <n v="0"/>
    <n v="7.2291999999999996"/>
    <s v="Third"/>
    <s v="man"/>
    <x v="0"/>
    <x v="0"/>
    <x v="1"/>
    <s v="no"/>
    <s v="No"/>
    <x v="1"/>
  </r>
  <r>
    <n v="0"/>
    <x v="0"/>
    <n v="3"/>
    <x v="0"/>
    <s v="male"/>
    <x v="0"/>
    <n v="40.5"/>
    <n v="0"/>
    <n v="0"/>
    <n v="7.75"/>
    <s v="Third"/>
    <s v="man"/>
    <x v="0"/>
    <x v="0"/>
    <x v="2"/>
    <s v="no"/>
    <s v="No"/>
    <x v="1"/>
  </r>
  <r>
    <n v="1"/>
    <x v="1"/>
    <n v="2"/>
    <x v="2"/>
    <s v="female"/>
    <x v="1"/>
    <n v="50"/>
    <n v="0"/>
    <n v="0"/>
    <n v="10.5"/>
    <s v="Second"/>
    <s v="woman"/>
    <x v="1"/>
    <x v="1"/>
    <x v="0"/>
    <s v="yes"/>
    <s v="Yes"/>
    <x v="1"/>
  </r>
  <r>
    <n v="0"/>
    <x v="0"/>
    <n v="1"/>
    <x v="1"/>
    <s v="male"/>
    <x v="0"/>
    <n v="30"/>
    <n v="0"/>
    <n v="0"/>
    <n v="221.7792"/>
    <s v="First"/>
    <s v="man"/>
    <x v="0"/>
    <x v="0"/>
    <x v="0"/>
    <s v="no"/>
    <s v="No"/>
    <x v="1"/>
  </r>
  <r>
    <n v="0"/>
    <x v="0"/>
    <n v="3"/>
    <x v="0"/>
    <s v="male"/>
    <x v="0"/>
    <n v="39"/>
    <n v="0"/>
    <n v="0"/>
    <n v="7.9249999999999998"/>
    <s v="Third"/>
    <s v="man"/>
    <x v="0"/>
    <x v="0"/>
    <x v="0"/>
    <s v="no"/>
    <s v="No"/>
    <x v="1"/>
  </r>
  <r>
    <n v="0"/>
    <x v="0"/>
    <n v="2"/>
    <x v="2"/>
    <s v="male"/>
    <x v="0"/>
    <n v="23"/>
    <n v="2"/>
    <n v="1"/>
    <n v="11.5"/>
    <s v="Second"/>
    <s v="man"/>
    <x v="0"/>
    <x v="0"/>
    <x v="0"/>
    <s v="no"/>
    <s v="No"/>
    <x v="0"/>
  </r>
  <r>
    <n v="1"/>
    <x v="1"/>
    <n v="2"/>
    <x v="2"/>
    <s v="female"/>
    <x v="1"/>
    <n v="2"/>
    <n v="1"/>
    <n v="1"/>
    <n v="26"/>
    <s v="Second"/>
    <s v="child"/>
    <x v="2"/>
    <x v="1"/>
    <x v="0"/>
    <s v="yes"/>
    <s v="Yes"/>
    <x v="0"/>
  </r>
  <r>
    <n v="0"/>
    <x v="0"/>
    <n v="3"/>
    <x v="0"/>
    <s v="male"/>
    <x v="0"/>
    <n v="30"/>
    <n v="0"/>
    <n v="0"/>
    <n v="7.2291999999999996"/>
    <s v="Third"/>
    <s v="man"/>
    <x v="0"/>
    <x v="0"/>
    <x v="1"/>
    <s v="no"/>
    <s v="No"/>
    <x v="1"/>
  </r>
  <r>
    <n v="0"/>
    <x v="0"/>
    <n v="3"/>
    <x v="0"/>
    <s v="male"/>
    <x v="0"/>
    <n v="17"/>
    <n v="1"/>
    <n v="1"/>
    <n v="7.2291999999999996"/>
    <s v="Third"/>
    <s v="man"/>
    <x v="0"/>
    <x v="0"/>
    <x v="1"/>
    <s v="no"/>
    <s v="No"/>
    <x v="0"/>
  </r>
  <r>
    <n v="1"/>
    <x v="1"/>
    <n v="3"/>
    <x v="0"/>
    <s v="female"/>
    <x v="1"/>
    <n v="30"/>
    <n v="0"/>
    <n v="2"/>
    <n v="22.3583"/>
    <s v="Third"/>
    <s v="woman"/>
    <x v="1"/>
    <x v="1"/>
    <x v="1"/>
    <s v="yes"/>
    <s v="Yes"/>
    <x v="0"/>
  </r>
  <r>
    <n v="0"/>
    <x v="0"/>
    <n v="3"/>
    <x v="0"/>
    <s v="female"/>
    <x v="1"/>
    <n v="30"/>
    <n v="0"/>
    <n v="0"/>
    <n v="8.6624999999999996"/>
    <s v="Third"/>
    <s v="woman"/>
    <x v="1"/>
    <x v="1"/>
    <x v="0"/>
    <s v="no"/>
    <s v="No"/>
    <x v="1"/>
  </r>
  <r>
    <n v="1"/>
    <x v="1"/>
    <n v="2"/>
    <x v="2"/>
    <s v="female"/>
    <x v="1"/>
    <n v="7"/>
    <n v="0"/>
    <n v="2"/>
    <n v="26.25"/>
    <s v="Second"/>
    <s v="child"/>
    <x v="2"/>
    <x v="1"/>
    <x v="0"/>
    <s v="yes"/>
    <s v="Yes"/>
    <x v="0"/>
  </r>
  <r>
    <n v="0"/>
    <x v="0"/>
    <n v="1"/>
    <x v="1"/>
    <s v="male"/>
    <x v="0"/>
    <n v="45"/>
    <n v="0"/>
    <n v="0"/>
    <n v="26.55"/>
    <s v="First"/>
    <s v="man"/>
    <x v="0"/>
    <x v="0"/>
    <x v="0"/>
    <s v="no"/>
    <s v="No"/>
    <x v="1"/>
  </r>
  <r>
    <n v="1"/>
    <x v="1"/>
    <n v="1"/>
    <x v="1"/>
    <s v="female"/>
    <x v="1"/>
    <n v="30"/>
    <n v="0"/>
    <n v="0"/>
    <n v="106.425"/>
    <s v="First"/>
    <s v="woman"/>
    <x v="1"/>
    <x v="1"/>
    <x v="1"/>
    <s v="yes"/>
    <s v="Yes"/>
    <x v="1"/>
  </r>
  <r>
    <n v="0"/>
    <x v="0"/>
    <n v="3"/>
    <x v="0"/>
    <s v="male"/>
    <x v="0"/>
    <n v="30"/>
    <n v="0"/>
    <n v="0"/>
    <n v="14.5"/>
    <s v="Third"/>
    <s v="man"/>
    <x v="0"/>
    <x v="0"/>
    <x v="0"/>
    <s v="no"/>
    <s v="No"/>
    <x v="1"/>
  </r>
  <r>
    <n v="1"/>
    <x v="1"/>
    <n v="1"/>
    <x v="1"/>
    <s v="female"/>
    <x v="1"/>
    <n v="22"/>
    <n v="0"/>
    <n v="2"/>
    <n v="49.5"/>
    <s v="First"/>
    <s v="woman"/>
    <x v="1"/>
    <x v="1"/>
    <x v="1"/>
    <s v="yes"/>
    <s v="Yes"/>
    <x v="0"/>
  </r>
  <r>
    <n v="1"/>
    <x v="1"/>
    <n v="1"/>
    <x v="1"/>
    <s v="female"/>
    <x v="1"/>
    <n v="36"/>
    <n v="0"/>
    <n v="2"/>
    <n v="71"/>
    <s v="First"/>
    <s v="woman"/>
    <x v="1"/>
    <x v="1"/>
    <x v="0"/>
    <s v="yes"/>
    <s v="Yes"/>
    <x v="0"/>
  </r>
  <r>
    <n v="0"/>
    <x v="0"/>
    <n v="3"/>
    <x v="0"/>
    <s v="female"/>
    <x v="1"/>
    <n v="9"/>
    <n v="4"/>
    <n v="2"/>
    <n v="31.274999999999999"/>
    <s v="Third"/>
    <s v="child"/>
    <x v="2"/>
    <x v="1"/>
    <x v="0"/>
    <s v="no"/>
    <s v="No"/>
    <x v="0"/>
  </r>
  <r>
    <n v="0"/>
    <x v="0"/>
    <n v="3"/>
    <x v="0"/>
    <s v="female"/>
    <x v="1"/>
    <n v="11"/>
    <n v="4"/>
    <n v="2"/>
    <n v="31.274999999999999"/>
    <s v="Third"/>
    <s v="child"/>
    <x v="2"/>
    <x v="1"/>
    <x v="0"/>
    <s v="no"/>
    <s v="No"/>
    <x v="0"/>
  </r>
  <r>
    <n v="1"/>
    <x v="1"/>
    <n v="2"/>
    <x v="2"/>
    <s v="male"/>
    <x v="0"/>
    <n v="32"/>
    <n v="1"/>
    <n v="0"/>
    <n v="26"/>
    <s v="Second"/>
    <s v="man"/>
    <x v="0"/>
    <x v="0"/>
    <x v="0"/>
    <s v="yes"/>
    <s v="Yes"/>
    <x v="0"/>
  </r>
  <r>
    <n v="0"/>
    <x v="0"/>
    <n v="1"/>
    <x v="1"/>
    <s v="male"/>
    <x v="0"/>
    <n v="50"/>
    <n v="1"/>
    <n v="0"/>
    <n v="106.425"/>
    <s v="First"/>
    <s v="man"/>
    <x v="0"/>
    <x v="0"/>
    <x v="1"/>
    <s v="no"/>
    <s v="No"/>
    <x v="0"/>
  </r>
  <r>
    <n v="0"/>
    <x v="0"/>
    <n v="1"/>
    <x v="1"/>
    <s v="male"/>
    <x v="0"/>
    <n v="64"/>
    <n v="0"/>
    <n v="0"/>
    <n v="26"/>
    <s v="First"/>
    <s v="man"/>
    <x v="0"/>
    <x v="0"/>
    <x v="0"/>
    <s v="no"/>
    <s v="No"/>
    <x v="1"/>
  </r>
  <r>
    <n v="1"/>
    <x v="1"/>
    <n v="2"/>
    <x v="2"/>
    <s v="female"/>
    <x v="1"/>
    <n v="19"/>
    <n v="1"/>
    <n v="0"/>
    <n v="26"/>
    <s v="Second"/>
    <s v="woman"/>
    <x v="1"/>
    <x v="1"/>
    <x v="0"/>
    <s v="yes"/>
    <s v="Yes"/>
    <x v="0"/>
  </r>
  <r>
    <n v="1"/>
    <x v="1"/>
    <n v="2"/>
    <x v="2"/>
    <s v="male"/>
    <x v="0"/>
    <n v="30"/>
    <n v="0"/>
    <n v="0"/>
    <n v="13.862500000000001"/>
    <s v="Second"/>
    <s v="man"/>
    <x v="0"/>
    <x v="0"/>
    <x v="1"/>
    <s v="yes"/>
    <s v="Yes"/>
    <x v="1"/>
  </r>
  <r>
    <n v="0"/>
    <x v="0"/>
    <n v="3"/>
    <x v="0"/>
    <s v="male"/>
    <x v="0"/>
    <n v="33"/>
    <n v="1"/>
    <n v="1"/>
    <n v="20.524999999999999"/>
    <s v="Third"/>
    <s v="man"/>
    <x v="0"/>
    <x v="0"/>
    <x v="0"/>
    <s v="no"/>
    <s v="No"/>
    <x v="0"/>
  </r>
  <r>
    <n v="1"/>
    <x v="1"/>
    <n v="2"/>
    <x v="2"/>
    <s v="male"/>
    <x v="0"/>
    <n v="8"/>
    <n v="1"/>
    <n v="1"/>
    <n v="36.75"/>
    <s v="Second"/>
    <s v="child"/>
    <x v="2"/>
    <x v="1"/>
    <x v="0"/>
    <s v="yes"/>
    <s v="Yes"/>
    <x v="0"/>
  </r>
  <r>
    <n v="1"/>
    <x v="1"/>
    <n v="1"/>
    <x v="1"/>
    <s v="male"/>
    <x v="0"/>
    <n v="17"/>
    <n v="0"/>
    <n v="2"/>
    <n v="110.88330000000001"/>
    <s v="First"/>
    <s v="man"/>
    <x v="0"/>
    <x v="0"/>
    <x v="1"/>
    <s v="yes"/>
    <s v="Yes"/>
    <x v="0"/>
  </r>
  <r>
    <n v="0"/>
    <x v="0"/>
    <n v="2"/>
    <x v="2"/>
    <s v="male"/>
    <x v="0"/>
    <n v="27"/>
    <n v="0"/>
    <n v="0"/>
    <n v="26"/>
    <s v="Second"/>
    <s v="man"/>
    <x v="0"/>
    <x v="0"/>
    <x v="0"/>
    <s v="no"/>
    <s v="No"/>
    <x v="1"/>
  </r>
  <r>
    <n v="0"/>
    <x v="0"/>
    <n v="3"/>
    <x v="0"/>
    <s v="male"/>
    <x v="0"/>
    <n v="30"/>
    <n v="0"/>
    <n v="0"/>
    <n v="7.8292000000000002"/>
    <s v="Third"/>
    <s v="man"/>
    <x v="0"/>
    <x v="0"/>
    <x v="2"/>
    <s v="no"/>
    <s v="No"/>
    <x v="1"/>
  </r>
  <r>
    <n v="1"/>
    <x v="1"/>
    <n v="3"/>
    <x v="0"/>
    <s v="male"/>
    <x v="0"/>
    <n v="22"/>
    <n v="0"/>
    <n v="0"/>
    <n v="7.2249999999999996"/>
    <s v="Third"/>
    <s v="man"/>
    <x v="0"/>
    <x v="0"/>
    <x v="1"/>
    <s v="yes"/>
    <s v="Yes"/>
    <x v="1"/>
  </r>
  <r>
    <n v="1"/>
    <x v="1"/>
    <n v="3"/>
    <x v="0"/>
    <s v="female"/>
    <x v="1"/>
    <n v="22"/>
    <n v="0"/>
    <n v="0"/>
    <n v="7.7750000000000004"/>
    <s v="Third"/>
    <s v="woman"/>
    <x v="1"/>
    <x v="1"/>
    <x v="0"/>
    <s v="yes"/>
    <s v="Yes"/>
    <x v="1"/>
  </r>
  <r>
    <n v="0"/>
    <x v="0"/>
    <n v="1"/>
    <x v="1"/>
    <s v="male"/>
    <x v="0"/>
    <n v="62"/>
    <n v="0"/>
    <n v="0"/>
    <n v="26.55"/>
    <s v="First"/>
    <s v="man"/>
    <x v="0"/>
    <x v="0"/>
    <x v="0"/>
    <s v="no"/>
    <s v="No"/>
    <x v="1"/>
  </r>
  <r>
    <n v="1"/>
    <x v="1"/>
    <n v="1"/>
    <x v="1"/>
    <s v="female"/>
    <x v="1"/>
    <n v="48"/>
    <n v="1"/>
    <n v="0"/>
    <n v="39.6"/>
    <s v="First"/>
    <s v="woman"/>
    <x v="1"/>
    <x v="1"/>
    <x v="1"/>
    <s v="yes"/>
    <s v="Yes"/>
    <x v="0"/>
  </r>
  <r>
    <n v="0"/>
    <x v="0"/>
    <n v="1"/>
    <x v="1"/>
    <s v="male"/>
    <x v="0"/>
    <n v="30"/>
    <n v="0"/>
    <n v="0"/>
    <n v="227.52500000000001"/>
    <s v="First"/>
    <s v="man"/>
    <x v="0"/>
    <x v="0"/>
    <x v="1"/>
    <s v="no"/>
    <s v="No"/>
    <x v="1"/>
  </r>
  <r>
    <n v="1"/>
    <x v="1"/>
    <n v="1"/>
    <x v="1"/>
    <s v="female"/>
    <x v="1"/>
    <n v="39"/>
    <n v="1"/>
    <n v="1"/>
    <n v="79.650000000000006"/>
    <s v="First"/>
    <s v="woman"/>
    <x v="1"/>
    <x v="1"/>
    <x v="0"/>
    <s v="yes"/>
    <s v="Yes"/>
    <x v="0"/>
  </r>
  <r>
    <n v="1"/>
    <x v="1"/>
    <n v="3"/>
    <x v="0"/>
    <s v="female"/>
    <x v="1"/>
    <n v="36"/>
    <n v="1"/>
    <n v="0"/>
    <n v="17.399999999999999"/>
    <s v="Third"/>
    <s v="woman"/>
    <x v="1"/>
    <x v="1"/>
    <x v="0"/>
    <s v="yes"/>
    <s v="Yes"/>
    <x v="0"/>
  </r>
  <r>
    <n v="0"/>
    <x v="0"/>
    <n v="3"/>
    <x v="0"/>
    <s v="male"/>
    <x v="0"/>
    <n v="30"/>
    <n v="0"/>
    <n v="0"/>
    <n v="7.75"/>
    <s v="Third"/>
    <s v="man"/>
    <x v="0"/>
    <x v="0"/>
    <x v="2"/>
    <s v="no"/>
    <s v="No"/>
    <x v="1"/>
  </r>
  <r>
    <n v="0"/>
    <x v="0"/>
    <n v="3"/>
    <x v="0"/>
    <s v="male"/>
    <x v="0"/>
    <n v="40"/>
    <n v="0"/>
    <n v="0"/>
    <n v="7.8958000000000004"/>
    <s v="Third"/>
    <s v="man"/>
    <x v="0"/>
    <x v="0"/>
    <x v="0"/>
    <s v="no"/>
    <s v="No"/>
    <x v="1"/>
  </r>
  <r>
    <n v="0"/>
    <x v="0"/>
    <n v="2"/>
    <x v="2"/>
    <s v="male"/>
    <x v="0"/>
    <n v="28"/>
    <n v="0"/>
    <n v="0"/>
    <n v="13.5"/>
    <s v="Second"/>
    <s v="man"/>
    <x v="0"/>
    <x v="0"/>
    <x v="0"/>
    <s v="no"/>
    <s v="No"/>
    <x v="1"/>
  </r>
  <r>
    <n v="0"/>
    <x v="0"/>
    <n v="3"/>
    <x v="0"/>
    <s v="male"/>
    <x v="0"/>
    <n v="30"/>
    <n v="0"/>
    <n v="0"/>
    <n v="8.0500000000000007"/>
    <s v="Third"/>
    <s v="man"/>
    <x v="0"/>
    <x v="0"/>
    <x v="0"/>
    <s v="no"/>
    <s v="No"/>
    <x v="1"/>
  </r>
  <r>
    <n v="0"/>
    <x v="0"/>
    <n v="3"/>
    <x v="0"/>
    <s v="female"/>
    <x v="1"/>
    <n v="30"/>
    <n v="0"/>
    <n v="0"/>
    <n v="8.0500000000000007"/>
    <s v="Third"/>
    <s v="woman"/>
    <x v="1"/>
    <x v="1"/>
    <x v="0"/>
    <s v="no"/>
    <s v="No"/>
    <x v="1"/>
  </r>
  <r>
    <n v="0"/>
    <x v="0"/>
    <n v="3"/>
    <x v="0"/>
    <s v="male"/>
    <x v="0"/>
    <n v="24"/>
    <n v="2"/>
    <n v="0"/>
    <n v="24.15"/>
    <s v="Third"/>
    <s v="man"/>
    <x v="0"/>
    <x v="0"/>
    <x v="0"/>
    <s v="no"/>
    <s v="No"/>
    <x v="0"/>
  </r>
  <r>
    <n v="0"/>
    <x v="0"/>
    <n v="3"/>
    <x v="0"/>
    <s v="male"/>
    <x v="0"/>
    <n v="19"/>
    <n v="0"/>
    <n v="0"/>
    <n v="7.8958000000000004"/>
    <s v="Third"/>
    <s v="man"/>
    <x v="0"/>
    <x v="0"/>
    <x v="0"/>
    <s v="no"/>
    <s v="No"/>
    <x v="1"/>
  </r>
  <r>
    <n v="0"/>
    <x v="0"/>
    <n v="3"/>
    <x v="0"/>
    <s v="female"/>
    <x v="1"/>
    <n v="29"/>
    <n v="0"/>
    <n v="4"/>
    <n v="21.074999999999999"/>
    <s v="Third"/>
    <s v="woman"/>
    <x v="1"/>
    <x v="1"/>
    <x v="0"/>
    <s v="no"/>
    <s v="No"/>
    <x v="0"/>
  </r>
  <r>
    <n v="0"/>
    <x v="0"/>
    <n v="3"/>
    <x v="0"/>
    <s v="male"/>
    <x v="0"/>
    <n v="30"/>
    <n v="0"/>
    <n v="0"/>
    <n v="7.2291999999999996"/>
    <s v="Third"/>
    <s v="man"/>
    <x v="0"/>
    <x v="0"/>
    <x v="1"/>
    <s v="no"/>
    <s v="No"/>
    <x v="1"/>
  </r>
  <r>
    <n v="1"/>
    <x v="1"/>
    <n v="3"/>
    <x v="0"/>
    <s v="male"/>
    <x v="0"/>
    <n v="32"/>
    <n v="0"/>
    <n v="0"/>
    <n v="7.8541999999999996"/>
    <s v="Third"/>
    <s v="man"/>
    <x v="0"/>
    <x v="0"/>
    <x v="0"/>
    <s v="yes"/>
    <s v="Yes"/>
    <x v="1"/>
  </r>
  <r>
    <n v="1"/>
    <x v="1"/>
    <n v="2"/>
    <x v="2"/>
    <s v="male"/>
    <x v="0"/>
    <n v="62"/>
    <n v="0"/>
    <n v="0"/>
    <n v="10.5"/>
    <s v="Second"/>
    <s v="man"/>
    <x v="0"/>
    <x v="0"/>
    <x v="0"/>
    <s v="yes"/>
    <s v="Yes"/>
    <x v="1"/>
  </r>
  <r>
    <n v="1"/>
    <x v="1"/>
    <n v="1"/>
    <x v="1"/>
    <s v="female"/>
    <x v="1"/>
    <n v="53"/>
    <n v="2"/>
    <n v="0"/>
    <n v="51.479199999999999"/>
    <s v="First"/>
    <s v="woman"/>
    <x v="1"/>
    <x v="1"/>
    <x v="0"/>
    <s v="yes"/>
    <s v="Yes"/>
    <x v="0"/>
  </r>
  <r>
    <n v="1"/>
    <x v="1"/>
    <n v="1"/>
    <x v="1"/>
    <s v="male"/>
    <x v="0"/>
    <n v="36"/>
    <n v="0"/>
    <n v="0"/>
    <n v="26.387499999999999"/>
    <s v="First"/>
    <s v="man"/>
    <x v="0"/>
    <x v="0"/>
    <x v="0"/>
    <s v="yes"/>
    <s v="Yes"/>
    <x v="1"/>
  </r>
  <r>
    <n v="1"/>
    <x v="1"/>
    <n v="3"/>
    <x v="0"/>
    <s v="female"/>
    <x v="1"/>
    <n v="30"/>
    <n v="0"/>
    <n v="0"/>
    <n v="7.75"/>
    <s v="Third"/>
    <s v="woman"/>
    <x v="1"/>
    <x v="1"/>
    <x v="2"/>
    <s v="yes"/>
    <s v="Yes"/>
    <x v="1"/>
  </r>
  <r>
    <n v="0"/>
    <x v="0"/>
    <n v="3"/>
    <x v="0"/>
    <s v="male"/>
    <x v="0"/>
    <n v="16"/>
    <n v="0"/>
    <n v="0"/>
    <n v="8.0500000000000007"/>
    <s v="Third"/>
    <s v="man"/>
    <x v="0"/>
    <x v="0"/>
    <x v="0"/>
    <s v="no"/>
    <s v="No"/>
    <x v="1"/>
  </r>
  <r>
    <n v="0"/>
    <x v="0"/>
    <n v="3"/>
    <x v="0"/>
    <s v="male"/>
    <x v="0"/>
    <n v="19"/>
    <n v="0"/>
    <n v="0"/>
    <n v="14.5"/>
    <s v="Third"/>
    <s v="man"/>
    <x v="0"/>
    <x v="0"/>
    <x v="0"/>
    <s v="no"/>
    <s v="No"/>
    <x v="1"/>
  </r>
  <r>
    <n v="1"/>
    <x v="1"/>
    <n v="2"/>
    <x v="2"/>
    <s v="female"/>
    <x v="1"/>
    <n v="34"/>
    <n v="0"/>
    <n v="0"/>
    <n v="13"/>
    <s v="Second"/>
    <s v="woman"/>
    <x v="1"/>
    <x v="1"/>
    <x v="0"/>
    <s v="yes"/>
    <s v="Yes"/>
    <x v="1"/>
  </r>
  <r>
    <n v="1"/>
    <x v="1"/>
    <n v="1"/>
    <x v="1"/>
    <s v="female"/>
    <x v="1"/>
    <n v="39"/>
    <n v="1"/>
    <n v="0"/>
    <n v="55.9"/>
    <s v="First"/>
    <s v="woman"/>
    <x v="1"/>
    <x v="1"/>
    <x v="0"/>
    <s v="yes"/>
    <s v="Yes"/>
    <x v="0"/>
  </r>
  <r>
    <n v="0"/>
    <x v="0"/>
    <n v="3"/>
    <x v="0"/>
    <s v="female"/>
    <x v="1"/>
    <n v="30"/>
    <n v="1"/>
    <n v="0"/>
    <n v="14.458299999999999"/>
    <s v="Third"/>
    <s v="woman"/>
    <x v="1"/>
    <x v="1"/>
    <x v="1"/>
    <s v="no"/>
    <s v="No"/>
    <x v="0"/>
  </r>
  <r>
    <n v="1"/>
    <x v="1"/>
    <n v="3"/>
    <x v="0"/>
    <s v="male"/>
    <x v="0"/>
    <n v="32"/>
    <n v="0"/>
    <n v="0"/>
    <n v="7.9249999999999998"/>
    <s v="Third"/>
    <s v="man"/>
    <x v="0"/>
    <x v="0"/>
    <x v="0"/>
    <s v="yes"/>
    <s v="Yes"/>
    <x v="1"/>
  </r>
  <r>
    <n v="1"/>
    <x v="1"/>
    <n v="2"/>
    <x v="2"/>
    <s v="female"/>
    <x v="1"/>
    <n v="25"/>
    <n v="1"/>
    <n v="1"/>
    <n v="30"/>
    <s v="Second"/>
    <s v="woman"/>
    <x v="1"/>
    <x v="1"/>
    <x v="0"/>
    <s v="yes"/>
    <s v="Yes"/>
    <x v="0"/>
  </r>
  <r>
    <n v="1"/>
    <x v="1"/>
    <n v="1"/>
    <x v="1"/>
    <s v="female"/>
    <x v="1"/>
    <n v="39"/>
    <n v="1"/>
    <n v="1"/>
    <n v="110.88330000000001"/>
    <s v="First"/>
    <s v="woman"/>
    <x v="1"/>
    <x v="1"/>
    <x v="1"/>
    <s v="yes"/>
    <s v="Yes"/>
    <x v="0"/>
  </r>
  <r>
    <n v="0"/>
    <x v="0"/>
    <n v="2"/>
    <x v="2"/>
    <s v="male"/>
    <x v="0"/>
    <n v="54"/>
    <n v="0"/>
    <n v="0"/>
    <n v="26"/>
    <s v="Second"/>
    <s v="man"/>
    <x v="0"/>
    <x v="0"/>
    <x v="0"/>
    <s v="no"/>
    <s v="No"/>
    <x v="1"/>
  </r>
  <r>
    <n v="0"/>
    <x v="0"/>
    <n v="1"/>
    <x v="1"/>
    <s v="male"/>
    <x v="0"/>
    <n v="36"/>
    <n v="0"/>
    <n v="0"/>
    <n v="40.125"/>
    <s v="First"/>
    <s v="man"/>
    <x v="0"/>
    <x v="0"/>
    <x v="1"/>
    <s v="no"/>
    <s v="No"/>
    <x v="1"/>
  </r>
  <r>
    <n v="0"/>
    <x v="0"/>
    <n v="3"/>
    <x v="0"/>
    <s v="male"/>
    <x v="0"/>
    <n v="30"/>
    <n v="0"/>
    <n v="0"/>
    <n v="8.7125000000000004"/>
    <s v="Third"/>
    <s v="man"/>
    <x v="0"/>
    <x v="0"/>
    <x v="1"/>
    <s v="no"/>
    <s v="No"/>
    <x v="1"/>
  </r>
  <r>
    <n v="1"/>
    <x v="1"/>
    <n v="1"/>
    <x v="1"/>
    <s v="female"/>
    <x v="1"/>
    <n v="18"/>
    <n v="0"/>
    <n v="2"/>
    <n v="79.650000000000006"/>
    <s v="First"/>
    <s v="woman"/>
    <x v="1"/>
    <x v="1"/>
    <x v="0"/>
    <s v="yes"/>
    <s v="Yes"/>
    <x v="0"/>
  </r>
  <r>
    <n v="0"/>
    <x v="0"/>
    <n v="2"/>
    <x v="2"/>
    <s v="male"/>
    <x v="0"/>
    <n v="47"/>
    <n v="0"/>
    <n v="0"/>
    <n v="15"/>
    <s v="Second"/>
    <s v="man"/>
    <x v="0"/>
    <x v="0"/>
    <x v="0"/>
    <s v="no"/>
    <s v="No"/>
    <x v="1"/>
  </r>
  <r>
    <n v="1"/>
    <x v="1"/>
    <n v="1"/>
    <x v="1"/>
    <s v="male"/>
    <x v="0"/>
    <n v="60"/>
    <n v="1"/>
    <n v="1"/>
    <n v="79.2"/>
    <s v="First"/>
    <s v="man"/>
    <x v="0"/>
    <x v="0"/>
    <x v="1"/>
    <s v="yes"/>
    <s v="Yes"/>
    <x v="0"/>
  </r>
  <r>
    <n v="0"/>
    <x v="0"/>
    <n v="3"/>
    <x v="0"/>
    <s v="male"/>
    <x v="0"/>
    <n v="22"/>
    <n v="0"/>
    <n v="0"/>
    <n v="8.0500000000000007"/>
    <s v="Third"/>
    <s v="man"/>
    <x v="0"/>
    <x v="0"/>
    <x v="0"/>
    <s v="no"/>
    <s v="No"/>
    <x v="1"/>
  </r>
  <r>
    <n v="0"/>
    <x v="0"/>
    <n v="3"/>
    <x v="0"/>
    <s v="male"/>
    <x v="0"/>
    <n v="30"/>
    <n v="0"/>
    <n v="0"/>
    <n v="8.0500000000000007"/>
    <s v="Third"/>
    <s v="man"/>
    <x v="0"/>
    <x v="0"/>
    <x v="0"/>
    <s v="no"/>
    <s v="No"/>
    <x v="1"/>
  </r>
  <r>
    <n v="0"/>
    <x v="0"/>
    <n v="3"/>
    <x v="0"/>
    <s v="male"/>
    <x v="0"/>
    <n v="35"/>
    <n v="0"/>
    <n v="0"/>
    <n v="7.125"/>
    <s v="Third"/>
    <s v="man"/>
    <x v="0"/>
    <x v="0"/>
    <x v="0"/>
    <s v="no"/>
    <s v="No"/>
    <x v="1"/>
  </r>
  <r>
    <n v="1"/>
    <x v="1"/>
    <n v="1"/>
    <x v="1"/>
    <s v="female"/>
    <x v="1"/>
    <n v="52"/>
    <n v="1"/>
    <n v="0"/>
    <n v="78.2667"/>
    <s v="First"/>
    <s v="woman"/>
    <x v="1"/>
    <x v="1"/>
    <x v="1"/>
    <s v="yes"/>
    <s v="Yes"/>
    <x v="0"/>
  </r>
  <r>
    <n v="0"/>
    <x v="0"/>
    <n v="3"/>
    <x v="0"/>
    <s v="male"/>
    <x v="0"/>
    <n v="47"/>
    <n v="0"/>
    <n v="0"/>
    <n v="7.25"/>
    <s v="Third"/>
    <s v="man"/>
    <x v="0"/>
    <x v="0"/>
    <x v="0"/>
    <s v="no"/>
    <s v="No"/>
    <x v="1"/>
  </r>
  <r>
    <n v="0"/>
    <x v="0"/>
    <n v="3"/>
    <x v="0"/>
    <s v="female"/>
    <x v="1"/>
    <n v="30"/>
    <n v="0"/>
    <n v="2"/>
    <n v="7.75"/>
    <s v="Third"/>
    <s v="woman"/>
    <x v="1"/>
    <x v="1"/>
    <x v="2"/>
    <s v="no"/>
    <s v="No"/>
    <x v="0"/>
  </r>
  <r>
    <n v="0"/>
    <x v="0"/>
    <n v="2"/>
    <x v="2"/>
    <s v="male"/>
    <x v="0"/>
    <n v="37"/>
    <n v="1"/>
    <n v="0"/>
    <n v="26"/>
    <s v="Second"/>
    <s v="man"/>
    <x v="0"/>
    <x v="0"/>
    <x v="0"/>
    <s v="no"/>
    <s v="No"/>
    <x v="0"/>
  </r>
  <r>
    <n v="0"/>
    <x v="0"/>
    <n v="3"/>
    <x v="0"/>
    <s v="male"/>
    <x v="0"/>
    <n v="36"/>
    <n v="1"/>
    <n v="1"/>
    <n v="24.15"/>
    <s v="Third"/>
    <s v="man"/>
    <x v="0"/>
    <x v="0"/>
    <x v="0"/>
    <s v="no"/>
    <s v="No"/>
    <x v="0"/>
  </r>
  <r>
    <n v="1"/>
    <x v="1"/>
    <n v="2"/>
    <x v="2"/>
    <s v="female"/>
    <x v="1"/>
    <n v="30"/>
    <n v="0"/>
    <n v="0"/>
    <n v="33"/>
    <s v="Second"/>
    <s v="woman"/>
    <x v="1"/>
    <x v="1"/>
    <x v="0"/>
    <s v="yes"/>
    <s v="Yes"/>
    <x v="1"/>
  </r>
  <r>
    <n v="0"/>
    <x v="0"/>
    <n v="3"/>
    <x v="0"/>
    <s v="male"/>
    <x v="0"/>
    <n v="49"/>
    <n v="0"/>
    <n v="0"/>
    <n v="0"/>
    <s v="Third"/>
    <s v="man"/>
    <x v="0"/>
    <x v="0"/>
    <x v="0"/>
    <s v="no"/>
    <s v="No"/>
    <x v="1"/>
  </r>
  <r>
    <n v="0"/>
    <x v="0"/>
    <n v="3"/>
    <x v="0"/>
    <s v="male"/>
    <x v="0"/>
    <n v="30"/>
    <n v="0"/>
    <n v="0"/>
    <n v="7.2249999999999996"/>
    <s v="Third"/>
    <s v="man"/>
    <x v="0"/>
    <x v="0"/>
    <x v="1"/>
    <s v="no"/>
    <s v="No"/>
    <x v="1"/>
  </r>
  <r>
    <n v="1"/>
    <x v="1"/>
    <n v="1"/>
    <x v="1"/>
    <s v="male"/>
    <x v="0"/>
    <n v="49"/>
    <n v="1"/>
    <n v="0"/>
    <n v="56.929200000000002"/>
    <s v="First"/>
    <s v="man"/>
    <x v="0"/>
    <x v="0"/>
    <x v="1"/>
    <s v="yes"/>
    <s v="Yes"/>
    <x v="0"/>
  </r>
  <r>
    <n v="1"/>
    <x v="1"/>
    <n v="2"/>
    <x v="2"/>
    <s v="female"/>
    <x v="1"/>
    <n v="24"/>
    <n v="2"/>
    <n v="1"/>
    <n v="27"/>
    <s v="Second"/>
    <s v="woman"/>
    <x v="1"/>
    <x v="1"/>
    <x v="0"/>
    <s v="yes"/>
    <s v="Yes"/>
    <x v="0"/>
  </r>
  <r>
    <n v="0"/>
    <x v="0"/>
    <n v="3"/>
    <x v="0"/>
    <s v="male"/>
    <x v="0"/>
    <n v="30"/>
    <n v="0"/>
    <n v="0"/>
    <n v="7.8958000000000004"/>
    <s v="Third"/>
    <s v="man"/>
    <x v="0"/>
    <x v="0"/>
    <x v="0"/>
    <s v="no"/>
    <s v="No"/>
    <x v="1"/>
  </r>
  <r>
    <n v="0"/>
    <x v="0"/>
    <n v="1"/>
    <x v="1"/>
    <s v="male"/>
    <x v="0"/>
    <n v="30"/>
    <n v="0"/>
    <n v="0"/>
    <n v="42.4"/>
    <s v="First"/>
    <s v="man"/>
    <x v="0"/>
    <x v="0"/>
    <x v="0"/>
    <s v="no"/>
    <s v="No"/>
    <x v="1"/>
  </r>
  <r>
    <n v="0"/>
    <x v="0"/>
    <n v="3"/>
    <x v="0"/>
    <s v="male"/>
    <x v="0"/>
    <n v="44"/>
    <n v="0"/>
    <n v="0"/>
    <n v="8.0500000000000007"/>
    <s v="Third"/>
    <s v="man"/>
    <x v="0"/>
    <x v="0"/>
    <x v="0"/>
    <s v="no"/>
    <s v="No"/>
    <x v="1"/>
  </r>
  <r>
    <n v="1"/>
    <x v="1"/>
    <n v="1"/>
    <x v="1"/>
    <s v="male"/>
    <x v="0"/>
    <n v="35"/>
    <n v="0"/>
    <n v="0"/>
    <n v="26.55"/>
    <s v="First"/>
    <s v="man"/>
    <x v="0"/>
    <x v="0"/>
    <x v="1"/>
    <s v="yes"/>
    <s v="Yes"/>
    <x v="1"/>
  </r>
  <r>
    <n v="0"/>
    <x v="0"/>
    <n v="3"/>
    <x v="0"/>
    <s v="male"/>
    <x v="0"/>
    <n v="36"/>
    <n v="1"/>
    <n v="0"/>
    <n v="15.55"/>
    <s v="Third"/>
    <s v="man"/>
    <x v="0"/>
    <x v="0"/>
    <x v="0"/>
    <s v="no"/>
    <s v="No"/>
    <x v="0"/>
  </r>
  <r>
    <n v="0"/>
    <x v="0"/>
    <n v="3"/>
    <x v="0"/>
    <s v="male"/>
    <x v="0"/>
    <n v="30"/>
    <n v="0"/>
    <n v="0"/>
    <n v="7.8958000000000004"/>
    <s v="Third"/>
    <s v="man"/>
    <x v="0"/>
    <x v="0"/>
    <x v="0"/>
    <s v="no"/>
    <s v="No"/>
    <x v="1"/>
  </r>
  <r>
    <n v="1"/>
    <x v="1"/>
    <n v="1"/>
    <x v="1"/>
    <s v="male"/>
    <x v="0"/>
    <n v="27"/>
    <n v="0"/>
    <n v="0"/>
    <n v="30.5"/>
    <s v="First"/>
    <s v="man"/>
    <x v="0"/>
    <x v="0"/>
    <x v="0"/>
    <s v="yes"/>
    <s v="Yes"/>
    <x v="1"/>
  </r>
  <r>
    <n v="1"/>
    <x v="1"/>
    <n v="2"/>
    <x v="2"/>
    <s v="female"/>
    <x v="1"/>
    <n v="22"/>
    <n v="1"/>
    <n v="2"/>
    <n v="41.5792"/>
    <s v="Second"/>
    <s v="woman"/>
    <x v="1"/>
    <x v="1"/>
    <x v="1"/>
    <s v="yes"/>
    <s v="Yes"/>
    <x v="0"/>
  </r>
  <r>
    <n v="1"/>
    <x v="1"/>
    <n v="1"/>
    <x v="1"/>
    <s v="female"/>
    <x v="1"/>
    <n v="40"/>
    <n v="0"/>
    <n v="0"/>
    <n v="153.46250000000001"/>
    <s v="First"/>
    <s v="woman"/>
    <x v="1"/>
    <x v="1"/>
    <x v="0"/>
    <s v="yes"/>
    <s v="Yes"/>
    <x v="1"/>
  </r>
  <r>
    <n v="0"/>
    <x v="0"/>
    <n v="3"/>
    <x v="0"/>
    <s v="female"/>
    <x v="1"/>
    <n v="39"/>
    <n v="1"/>
    <n v="5"/>
    <n v="31.274999999999999"/>
    <s v="Third"/>
    <s v="woman"/>
    <x v="1"/>
    <x v="1"/>
    <x v="0"/>
    <s v="no"/>
    <s v="No"/>
    <x v="0"/>
  </r>
  <r>
    <n v="0"/>
    <x v="0"/>
    <n v="3"/>
    <x v="0"/>
    <s v="male"/>
    <x v="0"/>
    <n v="30"/>
    <n v="0"/>
    <n v="0"/>
    <n v="7.05"/>
    <s v="Third"/>
    <s v="man"/>
    <x v="0"/>
    <x v="0"/>
    <x v="0"/>
    <s v="no"/>
    <s v="No"/>
    <x v="1"/>
  </r>
  <r>
    <n v="1"/>
    <x v="1"/>
    <n v="3"/>
    <x v="0"/>
    <s v="female"/>
    <x v="1"/>
    <n v="30"/>
    <n v="1"/>
    <n v="0"/>
    <n v="15.5"/>
    <s v="Third"/>
    <s v="woman"/>
    <x v="1"/>
    <x v="1"/>
    <x v="2"/>
    <s v="yes"/>
    <s v="Yes"/>
    <x v="0"/>
  </r>
  <r>
    <n v="0"/>
    <x v="0"/>
    <n v="3"/>
    <x v="0"/>
    <s v="male"/>
    <x v="0"/>
    <n v="30"/>
    <n v="0"/>
    <n v="0"/>
    <n v="7.75"/>
    <s v="Third"/>
    <s v="man"/>
    <x v="0"/>
    <x v="0"/>
    <x v="2"/>
    <s v="no"/>
    <s v="No"/>
    <x v="1"/>
  </r>
  <r>
    <n v="0"/>
    <x v="0"/>
    <n v="3"/>
    <x v="0"/>
    <s v="male"/>
    <x v="0"/>
    <n v="35"/>
    <n v="0"/>
    <n v="0"/>
    <n v="8.0500000000000007"/>
    <s v="Third"/>
    <s v="man"/>
    <x v="0"/>
    <x v="0"/>
    <x v="0"/>
    <s v="no"/>
    <s v="No"/>
    <x v="1"/>
  </r>
  <r>
    <n v="1"/>
    <x v="1"/>
    <n v="2"/>
    <x v="2"/>
    <s v="female"/>
    <x v="1"/>
    <n v="24"/>
    <n v="1"/>
    <n v="2"/>
    <n v="65"/>
    <s v="Second"/>
    <s v="woman"/>
    <x v="1"/>
    <x v="1"/>
    <x v="0"/>
    <s v="yes"/>
    <s v="Yes"/>
    <x v="0"/>
  </r>
  <r>
    <n v="0"/>
    <x v="0"/>
    <n v="3"/>
    <x v="0"/>
    <s v="male"/>
    <x v="0"/>
    <n v="34"/>
    <n v="1"/>
    <n v="1"/>
    <n v="14.4"/>
    <s v="Third"/>
    <s v="man"/>
    <x v="0"/>
    <x v="0"/>
    <x v="0"/>
    <s v="no"/>
    <s v="No"/>
    <x v="0"/>
  </r>
  <r>
    <n v="0"/>
    <x v="0"/>
    <n v="3"/>
    <x v="0"/>
    <s v="female"/>
    <x v="1"/>
    <n v="26"/>
    <n v="1"/>
    <n v="0"/>
    <n v="16.100000000000001"/>
    <s v="Third"/>
    <s v="woman"/>
    <x v="1"/>
    <x v="1"/>
    <x v="0"/>
    <s v="no"/>
    <s v="No"/>
    <x v="0"/>
  </r>
  <r>
    <n v="1"/>
    <x v="1"/>
    <n v="2"/>
    <x v="2"/>
    <s v="female"/>
    <x v="1"/>
    <n v="4"/>
    <n v="2"/>
    <n v="1"/>
    <n v="39"/>
    <s v="Second"/>
    <s v="child"/>
    <x v="2"/>
    <x v="1"/>
    <x v="0"/>
    <s v="yes"/>
    <s v="Yes"/>
    <x v="0"/>
  </r>
  <r>
    <n v="0"/>
    <x v="0"/>
    <n v="2"/>
    <x v="2"/>
    <s v="male"/>
    <x v="0"/>
    <n v="26"/>
    <n v="0"/>
    <n v="0"/>
    <n v="10.5"/>
    <s v="Second"/>
    <s v="man"/>
    <x v="0"/>
    <x v="0"/>
    <x v="0"/>
    <s v="no"/>
    <s v="No"/>
    <x v="1"/>
  </r>
  <r>
    <n v="0"/>
    <x v="0"/>
    <n v="3"/>
    <x v="0"/>
    <s v="male"/>
    <x v="0"/>
    <n v="27"/>
    <n v="1"/>
    <n v="0"/>
    <n v="14.4542"/>
    <s v="Third"/>
    <s v="man"/>
    <x v="0"/>
    <x v="0"/>
    <x v="1"/>
    <s v="no"/>
    <s v="No"/>
    <x v="0"/>
  </r>
  <r>
    <n v="1"/>
    <x v="1"/>
    <n v="1"/>
    <x v="1"/>
    <s v="male"/>
    <x v="0"/>
    <n v="42"/>
    <n v="1"/>
    <n v="0"/>
    <n v="52.554200000000002"/>
    <s v="First"/>
    <s v="man"/>
    <x v="0"/>
    <x v="0"/>
    <x v="0"/>
    <s v="yes"/>
    <s v="Yes"/>
    <x v="0"/>
  </r>
  <r>
    <n v="1"/>
    <x v="1"/>
    <n v="3"/>
    <x v="0"/>
    <s v="male"/>
    <x v="0"/>
    <n v="20"/>
    <n v="1"/>
    <n v="1"/>
    <n v="15.7417"/>
    <s v="Third"/>
    <s v="man"/>
    <x v="0"/>
    <x v="0"/>
    <x v="1"/>
    <s v="yes"/>
    <s v="Yes"/>
    <x v="0"/>
  </r>
  <r>
    <n v="0"/>
    <x v="0"/>
    <n v="3"/>
    <x v="0"/>
    <s v="male"/>
    <x v="0"/>
    <n v="21"/>
    <n v="0"/>
    <n v="0"/>
    <n v="7.8541999999999996"/>
    <s v="Third"/>
    <s v="man"/>
    <x v="0"/>
    <x v="0"/>
    <x v="0"/>
    <s v="no"/>
    <s v="No"/>
    <x v="1"/>
  </r>
  <r>
    <n v="0"/>
    <x v="0"/>
    <n v="3"/>
    <x v="0"/>
    <s v="male"/>
    <x v="0"/>
    <n v="21"/>
    <n v="0"/>
    <n v="0"/>
    <n v="16.100000000000001"/>
    <s v="Third"/>
    <s v="man"/>
    <x v="0"/>
    <x v="0"/>
    <x v="0"/>
    <s v="no"/>
    <s v="No"/>
    <x v="1"/>
  </r>
  <r>
    <n v="0"/>
    <x v="0"/>
    <n v="1"/>
    <x v="1"/>
    <s v="male"/>
    <x v="0"/>
    <n v="61"/>
    <n v="0"/>
    <n v="0"/>
    <n v="32.320799999999998"/>
    <s v="First"/>
    <s v="man"/>
    <x v="0"/>
    <x v="0"/>
    <x v="0"/>
    <s v="no"/>
    <s v="No"/>
    <x v="1"/>
  </r>
  <r>
    <n v="0"/>
    <x v="0"/>
    <n v="2"/>
    <x v="2"/>
    <s v="male"/>
    <x v="0"/>
    <n v="57"/>
    <n v="0"/>
    <n v="0"/>
    <n v="12.35"/>
    <s v="Second"/>
    <s v="man"/>
    <x v="0"/>
    <x v="0"/>
    <x v="2"/>
    <s v="no"/>
    <s v="No"/>
    <x v="1"/>
  </r>
  <r>
    <n v="1"/>
    <x v="1"/>
    <n v="1"/>
    <x v="1"/>
    <s v="female"/>
    <x v="1"/>
    <n v="21"/>
    <n v="0"/>
    <n v="0"/>
    <n v="77.958299999999994"/>
    <s v="First"/>
    <s v="woman"/>
    <x v="1"/>
    <x v="1"/>
    <x v="0"/>
    <s v="yes"/>
    <s v="Yes"/>
    <x v="1"/>
  </r>
  <r>
    <n v="0"/>
    <x v="0"/>
    <n v="3"/>
    <x v="0"/>
    <s v="male"/>
    <x v="0"/>
    <n v="26"/>
    <n v="0"/>
    <n v="0"/>
    <n v="7.8958000000000004"/>
    <s v="Third"/>
    <s v="man"/>
    <x v="0"/>
    <x v="0"/>
    <x v="0"/>
    <s v="no"/>
    <s v="No"/>
    <x v="1"/>
  </r>
  <r>
    <n v="0"/>
    <x v="0"/>
    <n v="3"/>
    <x v="0"/>
    <s v="male"/>
    <x v="0"/>
    <n v="30"/>
    <n v="0"/>
    <n v="0"/>
    <n v="7.7332999999999998"/>
    <s v="Third"/>
    <s v="man"/>
    <x v="0"/>
    <x v="0"/>
    <x v="2"/>
    <s v="no"/>
    <s v="No"/>
    <x v="1"/>
  </r>
  <r>
    <n v="1"/>
    <x v="1"/>
    <n v="1"/>
    <x v="1"/>
    <s v="male"/>
    <x v="0"/>
    <n v="80"/>
    <n v="0"/>
    <n v="0"/>
    <n v="30"/>
    <s v="First"/>
    <s v="man"/>
    <x v="0"/>
    <x v="0"/>
    <x v="0"/>
    <s v="yes"/>
    <s v="Yes"/>
    <x v="1"/>
  </r>
  <r>
    <n v="0"/>
    <x v="0"/>
    <n v="3"/>
    <x v="0"/>
    <s v="male"/>
    <x v="0"/>
    <n v="51"/>
    <n v="0"/>
    <n v="0"/>
    <n v="7.0541999999999998"/>
    <s v="Third"/>
    <s v="man"/>
    <x v="0"/>
    <x v="0"/>
    <x v="0"/>
    <s v="no"/>
    <s v="No"/>
    <x v="1"/>
  </r>
  <r>
    <n v="1"/>
    <x v="1"/>
    <n v="1"/>
    <x v="1"/>
    <s v="male"/>
    <x v="0"/>
    <n v="32"/>
    <n v="0"/>
    <n v="0"/>
    <n v="30.5"/>
    <s v="First"/>
    <s v="man"/>
    <x v="0"/>
    <x v="0"/>
    <x v="1"/>
    <s v="yes"/>
    <s v="Yes"/>
    <x v="1"/>
  </r>
  <r>
    <n v="0"/>
    <x v="0"/>
    <n v="1"/>
    <x v="1"/>
    <s v="male"/>
    <x v="0"/>
    <n v="30"/>
    <n v="0"/>
    <n v="0"/>
    <n v="0"/>
    <s v="First"/>
    <s v="man"/>
    <x v="0"/>
    <x v="0"/>
    <x v="0"/>
    <s v="no"/>
    <s v="No"/>
    <x v="1"/>
  </r>
  <r>
    <n v="0"/>
    <x v="0"/>
    <n v="3"/>
    <x v="0"/>
    <s v="female"/>
    <x v="1"/>
    <n v="9"/>
    <n v="3"/>
    <n v="2"/>
    <n v="27.9"/>
    <s v="Third"/>
    <s v="child"/>
    <x v="2"/>
    <x v="1"/>
    <x v="0"/>
    <s v="no"/>
    <s v="No"/>
    <x v="0"/>
  </r>
  <r>
    <n v="1"/>
    <x v="1"/>
    <n v="2"/>
    <x v="2"/>
    <s v="female"/>
    <x v="1"/>
    <n v="28"/>
    <n v="0"/>
    <n v="0"/>
    <n v="13"/>
    <s v="Second"/>
    <s v="woman"/>
    <x v="1"/>
    <x v="1"/>
    <x v="0"/>
    <s v="yes"/>
    <s v="Yes"/>
    <x v="1"/>
  </r>
  <r>
    <n v="0"/>
    <x v="0"/>
    <n v="3"/>
    <x v="0"/>
    <s v="male"/>
    <x v="0"/>
    <n v="32"/>
    <n v="0"/>
    <n v="0"/>
    <n v="7.9249999999999998"/>
    <s v="Third"/>
    <s v="man"/>
    <x v="0"/>
    <x v="0"/>
    <x v="0"/>
    <s v="no"/>
    <s v="No"/>
    <x v="1"/>
  </r>
  <r>
    <n v="0"/>
    <x v="0"/>
    <n v="2"/>
    <x v="2"/>
    <s v="male"/>
    <x v="0"/>
    <n v="31"/>
    <n v="1"/>
    <n v="1"/>
    <n v="26.25"/>
    <s v="Second"/>
    <s v="man"/>
    <x v="0"/>
    <x v="0"/>
    <x v="0"/>
    <s v="no"/>
    <s v="No"/>
    <x v="0"/>
  </r>
  <r>
    <n v="0"/>
    <x v="0"/>
    <n v="3"/>
    <x v="0"/>
    <s v="female"/>
    <x v="1"/>
    <n v="41"/>
    <n v="0"/>
    <n v="5"/>
    <n v="39.6875"/>
    <s v="Third"/>
    <s v="woman"/>
    <x v="1"/>
    <x v="1"/>
    <x v="0"/>
    <s v="no"/>
    <s v="No"/>
    <x v="0"/>
  </r>
  <r>
    <n v="0"/>
    <x v="0"/>
    <n v="3"/>
    <x v="0"/>
    <s v="male"/>
    <x v="0"/>
    <n v="30"/>
    <n v="1"/>
    <n v="0"/>
    <n v="16.100000000000001"/>
    <s v="Third"/>
    <s v="man"/>
    <x v="0"/>
    <x v="0"/>
    <x v="0"/>
    <s v="no"/>
    <s v="No"/>
    <x v="0"/>
  </r>
  <r>
    <n v="0"/>
    <x v="0"/>
    <n v="3"/>
    <x v="0"/>
    <s v="male"/>
    <x v="0"/>
    <n v="20"/>
    <n v="0"/>
    <n v="0"/>
    <n v="7.8541999999999996"/>
    <s v="Third"/>
    <s v="man"/>
    <x v="0"/>
    <x v="0"/>
    <x v="0"/>
    <s v="no"/>
    <s v="No"/>
    <x v="1"/>
  </r>
  <r>
    <n v="1"/>
    <x v="1"/>
    <n v="1"/>
    <x v="1"/>
    <s v="female"/>
    <x v="1"/>
    <n v="24"/>
    <n v="0"/>
    <n v="0"/>
    <n v="69.3"/>
    <s v="First"/>
    <s v="woman"/>
    <x v="1"/>
    <x v="1"/>
    <x v="1"/>
    <s v="yes"/>
    <s v="Yes"/>
    <x v="1"/>
  </r>
  <r>
    <n v="0"/>
    <x v="0"/>
    <n v="3"/>
    <x v="0"/>
    <s v="female"/>
    <x v="1"/>
    <n v="2"/>
    <n v="3"/>
    <n v="2"/>
    <n v="27.9"/>
    <s v="Third"/>
    <s v="child"/>
    <x v="2"/>
    <x v="1"/>
    <x v="0"/>
    <s v="no"/>
    <s v="No"/>
    <x v="0"/>
  </r>
  <r>
    <n v="1"/>
    <x v="1"/>
    <n v="3"/>
    <x v="0"/>
    <s v="male"/>
    <x v="0"/>
    <n v="30"/>
    <n v="0"/>
    <n v="0"/>
    <n v="56.495800000000003"/>
    <s v="Third"/>
    <s v="man"/>
    <x v="0"/>
    <x v="0"/>
    <x v="0"/>
    <s v="yes"/>
    <s v="Yes"/>
    <x v="1"/>
  </r>
  <r>
    <n v="1"/>
    <x v="1"/>
    <n v="3"/>
    <x v="0"/>
    <s v="female"/>
    <x v="1"/>
    <n v="0.75"/>
    <n v="2"/>
    <n v="1"/>
    <n v="19.258299999999998"/>
    <s v="Third"/>
    <s v="child"/>
    <x v="2"/>
    <x v="1"/>
    <x v="1"/>
    <s v="yes"/>
    <s v="Yes"/>
    <x v="0"/>
  </r>
  <r>
    <n v="1"/>
    <x v="1"/>
    <n v="1"/>
    <x v="1"/>
    <s v="male"/>
    <x v="0"/>
    <n v="48"/>
    <n v="1"/>
    <n v="0"/>
    <n v="76.729200000000006"/>
    <s v="First"/>
    <s v="man"/>
    <x v="0"/>
    <x v="0"/>
    <x v="1"/>
    <s v="yes"/>
    <s v="Yes"/>
    <x v="0"/>
  </r>
  <r>
    <n v="0"/>
    <x v="0"/>
    <n v="3"/>
    <x v="0"/>
    <s v="male"/>
    <x v="0"/>
    <n v="19"/>
    <n v="0"/>
    <n v="0"/>
    <n v="7.8958000000000004"/>
    <s v="Third"/>
    <s v="man"/>
    <x v="0"/>
    <x v="0"/>
    <x v="0"/>
    <s v="no"/>
    <s v="No"/>
    <x v="1"/>
  </r>
  <r>
    <n v="1"/>
    <x v="1"/>
    <n v="1"/>
    <x v="1"/>
    <s v="male"/>
    <x v="0"/>
    <n v="56"/>
    <n v="0"/>
    <n v="0"/>
    <n v="35.5"/>
    <s v="First"/>
    <s v="man"/>
    <x v="0"/>
    <x v="0"/>
    <x v="1"/>
    <s v="yes"/>
    <s v="Yes"/>
    <x v="1"/>
  </r>
  <r>
    <n v="0"/>
    <x v="0"/>
    <n v="3"/>
    <x v="0"/>
    <s v="male"/>
    <x v="0"/>
    <n v="30"/>
    <n v="0"/>
    <n v="0"/>
    <n v="7.55"/>
    <s v="Third"/>
    <s v="man"/>
    <x v="0"/>
    <x v="0"/>
    <x v="0"/>
    <s v="no"/>
    <s v="No"/>
    <x v="1"/>
  </r>
  <r>
    <n v="1"/>
    <x v="1"/>
    <n v="3"/>
    <x v="0"/>
    <s v="female"/>
    <x v="1"/>
    <n v="23"/>
    <n v="0"/>
    <n v="0"/>
    <n v="7.55"/>
    <s v="Third"/>
    <s v="woman"/>
    <x v="1"/>
    <x v="1"/>
    <x v="0"/>
    <s v="yes"/>
    <s v="Yes"/>
    <x v="1"/>
  </r>
  <r>
    <n v="0"/>
    <x v="0"/>
    <n v="3"/>
    <x v="0"/>
    <s v="male"/>
    <x v="0"/>
    <n v="30"/>
    <n v="0"/>
    <n v="0"/>
    <n v="7.8958000000000004"/>
    <s v="Third"/>
    <s v="man"/>
    <x v="0"/>
    <x v="0"/>
    <x v="0"/>
    <s v="no"/>
    <s v="No"/>
    <x v="1"/>
  </r>
  <r>
    <n v="1"/>
    <x v="1"/>
    <n v="2"/>
    <x v="2"/>
    <s v="female"/>
    <x v="1"/>
    <n v="18"/>
    <n v="0"/>
    <n v="1"/>
    <n v="23"/>
    <s v="Second"/>
    <s v="woman"/>
    <x v="1"/>
    <x v="1"/>
    <x v="0"/>
    <s v="yes"/>
    <s v="Yes"/>
    <x v="0"/>
  </r>
  <r>
    <n v="0"/>
    <x v="0"/>
    <n v="3"/>
    <x v="0"/>
    <s v="male"/>
    <x v="0"/>
    <n v="21"/>
    <n v="0"/>
    <n v="0"/>
    <n v="8.4332999999999991"/>
    <s v="Third"/>
    <s v="man"/>
    <x v="0"/>
    <x v="0"/>
    <x v="0"/>
    <s v="no"/>
    <s v="No"/>
    <x v="1"/>
  </r>
  <r>
    <n v="1"/>
    <x v="1"/>
    <n v="3"/>
    <x v="0"/>
    <s v="female"/>
    <x v="1"/>
    <n v="30"/>
    <n v="0"/>
    <n v="0"/>
    <n v="7.8292000000000002"/>
    <s v="Third"/>
    <s v="woman"/>
    <x v="1"/>
    <x v="1"/>
    <x v="2"/>
    <s v="yes"/>
    <s v="Yes"/>
    <x v="1"/>
  </r>
  <r>
    <n v="0"/>
    <x v="0"/>
    <n v="3"/>
    <x v="0"/>
    <s v="female"/>
    <x v="1"/>
    <n v="18"/>
    <n v="0"/>
    <n v="0"/>
    <n v="6.75"/>
    <s v="Third"/>
    <s v="woman"/>
    <x v="1"/>
    <x v="1"/>
    <x v="2"/>
    <s v="no"/>
    <s v="No"/>
    <x v="1"/>
  </r>
  <r>
    <n v="0"/>
    <x v="0"/>
    <n v="2"/>
    <x v="2"/>
    <s v="male"/>
    <x v="0"/>
    <n v="24"/>
    <n v="2"/>
    <n v="0"/>
    <n v="73.5"/>
    <s v="Second"/>
    <s v="man"/>
    <x v="0"/>
    <x v="0"/>
    <x v="0"/>
    <s v="no"/>
    <s v="No"/>
    <x v="0"/>
  </r>
  <r>
    <n v="0"/>
    <x v="0"/>
    <n v="3"/>
    <x v="0"/>
    <s v="male"/>
    <x v="0"/>
    <n v="30"/>
    <n v="0"/>
    <n v="0"/>
    <n v="7.8958000000000004"/>
    <s v="Third"/>
    <s v="man"/>
    <x v="0"/>
    <x v="0"/>
    <x v="0"/>
    <s v="no"/>
    <s v="No"/>
    <x v="1"/>
  </r>
  <r>
    <n v="0"/>
    <x v="0"/>
    <n v="3"/>
    <x v="0"/>
    <s v="female"/>
    <x v="1"/>
    <n v="32"/>
    <n v="1"/>
    <n v="1"/>
    <n v="15.5"/>
    <s v="Third"/>
    <s v="woman"/>
    <x v="1"/>
    <x v="1"/>
    <x v="2"/>
    <s v="no"/>
    <s v="No"/>
    <x v="0"/>
  </r>
  <r>
    <n v="0"/>
    <x v="0"/>
    <n v="2"/>
    <x v="2"/>
    <s v="male"/>
    <x v="0"/>
    <n v="23"/>
    <n v="0"/>
    <n v="0"/>
    <n v="13"/>
    <s v="Second"/>
    <s v="man"/>
    <x v="0"/>
    <x v="0"/>
    <x v="0"/>
    <s v="no"/>
    <s v="No"/>
    <x v="1"/>
  </r>
  <r>
    <n v="0"/>
    <x v="0"/>
    <n v="1"/>
    <x v="1"/>
    <s v="male"/>
    <x v="0"/>
    <n v="58"/>
    <n v="0"/>
    <n v="2"/>
    <n v="113.27500000000001"/>
    <s v="First"/>
    <s v="man"/>
    <x v="0"/>
    <x v="0"/>
    <x v="1"/>
    <s v="no"/>
    <s v="No"/>
    <x v="0"/>
  </r>
  <r>
    <n v="1"/>
    <x v="1"/>
    <n v="1"/>
    <x v="1"/>
    <s v="male"/>
    <x v="0"/>
    <n v="50"/>
    <n v="2"/>
    <n v="0"/>
    <n v="133.65"/>
    <s v="First"/>
    <s v="man"/>
    <x v="0"/>
    <x v="0"/>
    <x v="0"/>
    <s v="yes"/>
    <s v="Yes"/>
    <x v="0"/>
  </r>
  <r>
    <n v="0"/>
    <x v="0"/>
    <n v="3"/>
    <x v="0"/>
    <s v="male"/>
    <x v="0"/>
    <n v="40"/>
    <n v="0"/>
    <n v="0"/>
    <n v="7.2249999999999996"/>
    <s v="Third"/>
    <s v="man"/>
    <x v="0"/>
    <x v="0"/>
    <x v="1"/>
    <s v="no"/>
    <s v="No"/>
    <x v="1"/>
  </r>
  <r>
    <n v="0"/>
    <x v="0"/>
    <n v="1"/>
    <x v="1"/>
    <s v="male"/>
    <x v="0"/>
    <n v="47"/>
    <n v="0"/>
    <n v="0"/>
    <n v="25.587499999999999"/>
    <s v="First"/>
    <s v="man"/>
    <x v="0"/>
    <x v="0"/>
    <x v="0"/>
    <s v="no"/>
    <s v="No"/>
    <x v="1"/>
  </r>
  <r>
    <n v="0"/>
    <x v="0"/>
    <n v="3"/>
    <x v="0"/>
    <s v="male"/>
    <x v="0"/>
    <n v="36"/>
    <n v="0"/>
    <n v="0"/>
    <n v="7.4958"/>
    <s v="Third"/>
    <s v="man"/>
    <x v="0"/>
    <x v="0"/>
    <x v="0"/>
    <s v="no"/>
    <s v="No"/>
    <x v="1"/>
  </r>
  <r>
    <n v="1"/>
    <x v="1"/>
    <n v="3"/>
    <x v="0"/>
    <s v="male"/>
    <x v="0"/>
    <n v="20"/>
    <n v="1"/>
    <n v="0"/>
    <n v="7.9249999999999998"/>
    <s v="Third"/>
    <s v="man"/>
    <x v="0"/>
    <x v="0"/>
    <x v="0"/>
    <s v="yes"/>
    <s v="Yes"/>
    <x v="0"/>
  </r>
  <r>
    <n v="0"/>
    <x v="0"/>
    <n v="2"/>
    <x v="2"/>
    <s v="male"/>
    <x v="0"/>
    <n v="32"/>
    <n v="2"/>
    <n v="0"/>
    <n v="73.5"/>
    <s v="Second"/>
    <s v="man"/>
    <x v="0"/>
    <x v="0"/>
    <x v="0"/>
    <s v="no"/>
    <s v="No"/>
    <x v="0"/>
  </r>
  <r>
    <n v="0"/>
    <x v="0"/>
    <n v="2"/>
    <x v="2"/>
    <s v="male"/>
    <x v="0"/>
    <n v="25"/>
    <n v="0"/>
    <n v="0"/>
    <n v="13"/>
    <s v="Second"/>
    <s v="man"/>
    <x v="0"/>
    <x v="0"/>
    <x v="0"/>
    <s v="no"/>
    <s v="No"/>
    <x v="1"/>
  </r>
  <r>
    <n v="0"/>
    <x v="0"/>
    <n v="3"/>
    <x v="0"/>
    <s v="male"/>
    <x v="0"/>
    <n v="30"/>
    <n v="0"/>
    <n v="0"/>
    <n v="7.7750000000000004"/>
    <s v="Third"/>
    <s v="man"/>
    <x v="0"/>
    <x v="0"/>
    <x v="0"/>
    <s v="no"/>
    <s v="No"/>
    <x v="1"/>
  </r>
  <r>
    <n v="0"/>
    <x v="0"/>
    <n v="3"/>
    <x v="0"/>
    <s v="male"/>
    <x v="0"/>
    <n v="43"/>
    <n v="0"/>
    <n v="0"/>
    <n v="8.0500000000000007"/>
    <s v="Third"/>
    <s v="man"/>
    <x v="0"/>
    <x v="0"/>
    <x v="0"/>
    <s v="no"/>
    <s v="No"/>
    <x v="1"/>
  </r>
  <r>
    <n v="1"/>
    <x v="1"/>
    <n v="1"/>
    <x v="1"/>
    <s v="female"/>
    <x v="1"/>
    <n v="30"/>
    <n v="1"/>
    <n v="0"/>
    <n v="52"/>
    <s v="First"/>
    <s v="woman"/>
    <x v="1"/>
    <x v="1"/>
    <x v="0"/>
    <s v="yes"/>
    <s v="Yes"/>
    <x v="0"/>
  </r>
  <r>
    <n v="1"/>
    <x v="1"/>
    <n v="2"/>
    <x v="2"/>
    <s v="female"/>
    <x v="1"/>
    <n v="40"/>
    <n v="1"/>
    <n v="1"/>
    <n v="39"/>
    <s v="Second"/>
    <s v="woman"/>
    <x v="1"/>
    <x v="1"/>
    <x v="0"/>
    <s v="yes"/>
    <s v="Yes"/>
    <x v="0"/>
  </r>
  <r>
    <n v="0"/>
    <x v="0"/>
    <n v="1"/>
    <x v="1"/>
    <s v="male"/>
    <x v="0"/>
    <n v="31"/>
    <n v="1"/>
    <n v="0"/>
    <n v="52"/>
    <s v="First"/>
    <s v="man"/>
    <x v="0"/>
    <x v="0"/>
    <x v="0"/>
    <s v="no"/>
    <s v="No"/>
    <x v="0"/>
  </r>
  <r>
    <n v="0"/>
    <x v="0"/>
    <n v="2"/>
    <x v="2"/>
    <s v="male"/>
    <x v="0"/>
    <n v="70"/>
    <n v="0"/>
    <n v="0"/>
    <n v="10.5"/>
    <s v="Second"/>
    <s v="man"/>
    <x v="0"/>
    <x v="0"/>
    <x v="0"/>
    <s v="no"/>
    <s v="No"/>
    <x v="1"/>
  </r>
  <r>
    <n v="1"/>
    <x v="1"/>
    <n v="2"/>
    <x v="2"/>
    <s v="male"/>
    <x v="0"/>
    <n v="31"/>
    <n v="0"/>
    <n v="0"/>
    <n v="13"/>
    <s v="Second"/>
    <s v="man"/>
    <x v="0"/>
    <x v="0"/>
    <x v="0"/>
    <s v="yes"/>
    <s v="Yes"/>
    <x v="1"/>
  </r>
  <r>
    <n v="0"/>
    <x v="0"/>
    <n v="2"/>
    <x v="2"/>
    <s v="male"/>
    <x v="0"/>
    <n v="30"/>
    <n v="0"/>
    <n v="0"/>
    <n v="0"/>
    <s v="Second"/>
    <s v="man"/>
    <x v="0"/>
    <x v="0"/>
    <x v="0"/>
    <s v="no"/>
    <s v="No"/>
    <x v="1"/>
  </r>
  <r>
    <n v="0"/>
    <x v="0"/>
    <n v="3"/>
    <x v="0"/>
    <s v="male"/>
    <x v="0"/>
    <n v="18"/>
    <n v="0"/>
    <n v="0"/>
    <n v="7.7750000000000004"/>
    <s v="Third"/>
    <s v="man"/>
    <x v="0"/>
    <x v="0"/>
    <x v="0"/>
    <s v="no"/>
    <s v="No"/>
    <x v="1"/>
  </r>
  <r>
    <n v="0"/>
    <x v="0"/>
    <n v="3"/>
    <x v="0"/>
    <s v="male"/>
    <x v="0"/>
    <n v="24.5"/>
    <n v="0"/>
    <n v="0"/>
    <n v="8.0500000000000007"/>
    <s v="Third"/>
    <s v="man"/>
    <x v="0"/>
    <x v="0"/>
    <x v="0"/>
    <s v="no"/>
    <s v="No"/>
    <x v="1"/>
  </r>
  <r>
    <n v="1"/>
    <x v="1"/>
    <n v="3"/>
    <x v="0"/>
    <s v="female"/>
    <x v="1"/>
    <n v="18"/>
    <n v="0"/>
    <n v="0"/>
    <n v="9.8416999999999994"/>
    <s v="Third"/>
    <s v="woman"/>
    <x v="1"/>
    <x v="1"/>
    <x v="0"/>
    <s v="yes"/>
    <s v="Yes"/>
    <x v="1"/>
  </r>
  <r>
    <n v="0"/>
    <x v="0"/>
    <n v="3"/>
    <x v="0"/>
    <s v="female"/>
    <x v="1"/>
    <n v="43"/>
    <n v="1"/>
    <n v="6"/>
    <n v="46.9"/>
    <s v="Third"/>
    <s v="woman"/>
    <x v="1"/>
    <x v="1"/>
    <x v="0"/>
    <s v="no"/>
    <s v="No"/>
    <x v="0"/>
  </r>
  <r>
    <n v="1"/>
    <x v="1"/>
    <n v="1"/>
    <x v="1"/>
    <s v="male"/>
    <x v="0"/>
    <n v="36"/>
    <n v="0"/>
    <n v="1"/>
    <n v="512.32920000000001"/>
    <s v="First"/>
    <s v="man"/>
    <x v="0"/>
    <x v="0"/>
    <x v="1"/>
    <s v="yes"/>
    <s v="Yes"/>
    <x v="0"/>
  </r>
  <r>
    <n v="0"/>
    <x v="0"/>
    <n v="3"/>
    <x v="0"/>
    <s v="female"/>
    <x v="1"/>
    <n v="30"/>
    <n v="0"/>
    <n v="0"/>
    <n v="8.1374999999999993"/>
    <s v="Third"/>
    <s v="woman"/>
    <x v="1"/>
    <x v="1"/>
    <x v="2"/>
    <s v="no"/>
    <s v="No"/>
    <x v="1"/>
  </r>
  <r>
    <n v="1"/>
    <x v="1"/>
    <n v="1"/>
    <x v="1"/>
    <s v="male"/>
    <x v="0"/>
    <n v="27"/>
    <n v="0"/>
    <n v="0"/>
    <n v="76.729200000000006"/>
    <s v="First"/>
    <s v="man"/>
    <x v="0"/>
    <x v="0"/>
    <x v="1"/>
    <s v="yes"/>
    <s v="Yes"/>
    <x v="1"/>
  </r>
  <r>
    <n v="0"/>
    <x v="0"/>
    <n v="3"/>
    <x v="0"/>
    <s v="male"/>
    <x v="0"/>
    <n v="20"/>
    <n v="0"/>
    <n v="0"/>
    <n v="9.2249999999999996"/>
    <s v="Third"/>
    <s v="man"/>
    <x v="0"/>
    <x v="0"/>
    <x v="0"/>
    <s v="no"/>
    <s v="No"/>
    <x v="1"/>
  </r>
  <r>
    <n v="0"/>
    <x v="0"/>
    <n v="3"/>
    <x v="0"/>
    <s v="male"/>
    <x v="0"/>
    <n v="14"/>
    <n v="5"/>
    <n v="2"/>
    <n v="46.9"/>
    <s v="Third"/>
    <s v="child"/>
    <x v="2"/>
    <x v="1"/>
    <x v="0"/>
    <s v="no"/>
    <s v="No"/>
    <x v="0"/>
  </r>
  <r>
    <n v="0"/>
    <x v="0"/>
    <n v="2"/>
    <x v="2"/>
    <s v="male"/>
    <x v="0"/>
    <n v="60"/>
    <n v="1"/>
    <n v="1"/>
    <n v="39"/>
    <s v="Second"/>
    <s v="man"/>
    <x v="0"/>
    <x v="0"/>
    <x v="0"/>
    <s v="no"/>
    <s v="No"/>
    <x v="0"/>
  </r>
  <r>
    <n v="0"/>
    <x v="0"/>
    <n v="2"/>
    <x v="2"/>
    <s v="male"/>
    <x v="0"/>
    <n v="25"/>
    <n v="1"/>
    <n v="2"/>
    <n v="41.5792"/>
    <s v="Second"/>
    <s v="man"/>
    <x v="0"/>
    <x v="0"/>
    <x v="1"/>
    <s v="no"/>
    <s v="No"/>
    <x v="0"/>
  </r>
  <r>
    <n v="0"/>
    <x v="0"/>
    <n v="3"/>
    <x v="0"/>
    <s v="male"/>
    <x v="0"/>
    <n v="14"/>
    <n v="4"/>
    <n v="1"/>
    <n v="39.6875"/>
    <s v="Third"/>
    <s v="child"/>
    <x v="2"/>
    <x v="1"/>
    <x v="0"/>
    <s v="no"/>
    <s v="No"/>
    <x v="0"/>
  </r>
  <r>
    <n v="0"/>
    <x v="0"/>
    <n v="3"/>
    <x v="0"/>
    <s v="male"/>
    <x v="0"/>
    <n v="19"/>
    <n v="0"/>
    <n v="0"/>
    <n v="10.1708"/>
    <s v="Third"/>
    <s v="man"/>
    <x v="0"/>
    <x v="0"/>
    <x v="0"/>
    <s v="no"/>
    <s v="No"/>
    <x v="1"/>
  </r>
  <r>
    <n v="0"/>
    <x v="0"/>
    <n v="3"/>
    <x v="0"/>
    <s v="male"/>
    <x v="0"/>
    <n v="18"/>
    <n v="0"/>
    <n v="0"/>
    <n v="7.7957999999999998"/>
    <s v="Third"/>
    <s v="man"/>
    <x v="0"/>
    <x v="0"/>
    <x v="0"/>
    <s v="no"/>
    <s v="No"/>
    <x v="1"/>
  </r>
  <r>
    <n v="1"/>
    <x v="1"/>
    <n v="1"/>
    <x v="1"/>
    <s v="female"/>
    <x v="1"/>
    <n v="15"/>
    <n v="0"/>
    <n v="1"/>
    <n v="211.33750000000001"/>
    <s v="First"/>
    <s v="child"/>
    <x v="2"/>
    <x v="1"/>
    <x v="0"/>
    <s v="yes"/>
    <s v="Yes"/>
    <x v="0"/>
  </r>
  <r>
    <n v="1"/>
    <x v="1"/>
    <n v="1"/>
    <x v="1"/>
    <s v="male"/>
    <x v="0"/>
    <n v="31"/>
    <n v="1"/>
    <n v="0"/>
    <n v="57"/>
    <s v="First"/>
    <s v="man"/>
    <x v="0"/>
    <x v="0"/>
    <x v="0"/>
    <s v="yes"/>
    <s v="Yes"/>
    <x v="0"/>
  </r>
  <r>
    <n v="1"/>
    <x v="1"/>
    <n v="3"/>
    <x v="0"/>
    <s v="female"/>
    <x v="1"/>
    <n v="4"/>
    <n v="0"/>
    <n v="1"/>
    <n v="13.416700000000001"/>
    <s v="Third"/>
    <s v="child"/>
    <x v="2"/>
    <x v="1"/>
    <x v="1"/>
    <s v="yes"/>
    <s v="Yes"/>
    <x v="0"/>
  </r>
  <r>
    <n v="1"/>
    <x v="1"/>
    <n v="3"/>
    <x v="0"/>
    <s v="male"/>
    <x v="0"/>
    <n v="30"/>
    <n v="0"/>
    <n v="0"/>
    <n v="56.495800000000003"/>
    <s v="Third"/>
    <s v="man"/>
    <x v="0"/>
    <x v="0"/>
    <x v="0"/>
    <s v="yes"/>
    <s v="Yes"/>
    <x v="1"/>
  </r>
  <r>
    <n v="0"/>
    <x v="0"/>
    <n v="3"/>
    <x v="0"/>
    <s v="male"/>
    <x v="0"/>
    <n v="25"/>
    <n v="0"/>
    <n v="0"/>
    <n v="7.2249999999999996"/>
    <s v="Third"/>
    <s v="man"/>
    <x v="0"/>
    <x v="0"/>
    <x v="1"/>
    <s v="no"/>
    <s v="No"/>
    <x v="1"/>
  </r>
  <r>
    <n v="0"/>
    <x v="0"/>
    <n v="1"/>
    <x v="1"/>
    <s v="male"/>
    <x v="0"/>
    <n v="60"/>
    <n v="0"/>
    <n v="0"/>
    <n v="26.55"/>
    <s v="First"/>
    <s v="man"/>
    <x v="0"/>
    <x v="0"/>
    <x v="0"/>
    <s v="no"/>
    <s v="No"/>
    <x v="1"/>
  </r>
  <r>
    <n v="0"/>
    <x v="0"/>
    <n v="2"/>
    <x v="2"/>
    <s v="male"/>
    <x v="0"/>
    <n v="52"/>
    <n v="0"/>
    <n v="0"/>
    <n v="13.5"/>
    <s v="Second"/>
    <s v="man"/>
    <x v="0"/>
    <x v="0"/>
    <x v="0"/>
    <s v="no"/>
    <s v="No"/>
    <x v="1"/>
  </r>
  <r>
    <n v="0"/>
    <x v="0"/>
    <n v="3"/>
    <x v="0"/>
    <s v="male"/>
    <x v="0"/>
    <n v="44"/>
    <n v="0"/>
    <n v="0"/>
    <n v="8.0500000000000007"/>
    <s v="Third"/>
    <s v="man"/>
    <x v="0"/>
    <x v="0"/>
    <x v="0"/>
    <s v="no"/>
    <s v="No"/>
    <x v="1"/>
  </r>
  <r>
    <n v="1"/>
    <x v="1"/>
    <n v="3"/>
    <x v="0"/>
    <s v="female"/>
    <x v="1"/>
    <n v="30"/>
    <n v="0"/>
    <n v="0"/>
    <n v="7.7332999999999998"/>
    <s v="Third"/>
    <s v="woman"/>
    <x v="1"/>
    <x v="1"/>
    <x v="2"/>
    <s v="yes"/>
    <s v="Yes"/>
    <x v="1"/>
  </r>
  <r>
    <n v="0"/>
    <x v="0"/>
    <n v="1"/>
    <x v="1"/>
    <s v="male"/>
    <x v="0"/>
    <n v="49"/>
    <n v="1"/>
    <n v="1"/>
    <n v="110.88330000000001"/>
    <s v="First"/>
    <s v="man"/>
    <x v="0"/>
    <x v="0"/>
    <x v="1"/>
    <s v="no"/>
    <s v="No"/>
    <x v="0"/>
  </r>
  <r>
    <n v="0"/>
    <x v="0"/>
    <n v="3"/>
    <x v="0"/>
    <s v="male"/>
    <x v="0"/>
    <n v="42"/>
    <n v="0"/>
    <n v="0"/>
    <n v="7.65"/>
    <s v="Third"/>
    <s v="man"/>
    <x v="0"/>
    <x v="0"/>
    <x v="0"/>
    <s v="no"/>
    <s v="No"/>
    <x v="1"/>
  </r>
  <r>
    <n v="1"/>
    <x v="1"/>
    <n v="1"/>
    <x v="1"/>
    <s v="female"/>
    <x v="1"/>
    <n v="18"/>
    <n v="1"/>
    <n v="0"/>
    <n v="227.52500000000001"/>
    <s v="First"/>
    <s v="woman"/>
    <x v="1"/>
    <x v="1"/>
    <x v="1"/>
    <s v="yes"/>
    <s v="Yes"/>
    <x v="0"/>
  </r>
  <r>
    <n v="1"/>
    <x v="1"/>
    <n v="1"/>
    <x v="1"/>
    <s v="male"/>
    <x v="0"/>
    <n v="35"/>
    <n v="0"/>
    <n v="0"/>
    <n v="26.287500000000001"/>
    <s v="First"/>
    <s v="man"/>
    <x v="0"/>
    <x v="0"/>
    <x v="0"/>
    <s v="yes"/>
    <s v="Yes"/>
    <x v="1"/>
  </r>
  <r>
    <n v="0"/>
    <x v="0"/>
    <n v="3"/>
    <x v="0"/>
    <s v="female"/>
    <x v="1"/>
    <n v="18"/>
    <n v="0"/>
    <n v="1"/>
    <n v="14.4542"/>
    <s v="Third"/>
    <s v="woman"/>
    <x v="1"/>
    <x v="1"/>
    <x v="1"/>
    <s v="no"/>
    <s v="No"/>
    <x v="0"/>
  </r>
  <r>
    <n v="0"/>
    <x v="0"/>
    <n v="3"/>
    <x v="0"/>
    <s v="male"/>
    <x v="0"/>
    <n v="25"/>
    <n v="0"/>
    <n v="0"/>
    <n v="7.7416999999999998"/>
    <s v="Third"/>
    <s v="man"/>
    <x v="0"/>
    <x v="0"/>
    <x v="2"/>
    <s v="no"/>
    <s v="No"/>
    <x v="1"/>
  </r>
  <r>
    <n v="0"/>
    <x v="0"/>
    <n v="3"/>
    <x v="0"/>
    <s v="male"/>
    <x v="0"/>
    <n v="26"/>
    <n v="1"/>
    <n v="0"/>
    <n v="7.8541999999999996"/>
    <s v="Third"/>
    <s v="man"/>
    <x v="0"/>
    <x v="0"/>
    <x v="0"/>
    <s v="no"/>
    <s v="No"/>
    <x v="0"/>
  </r>
  <r>
    <n v="0"/>
    <x v="0"/>
    <n v="2"/>
    <x v="2"/>
    <s v="male"/>
    <x v="0"/>
    <n v="39"/>
    <n v="0"/>
    <n v="0"/>
    <n v="26"/>
    <s v="Second"/>
    <s v="man"/>
    <x v="0"/>
    <x v="0"/>
    <x v="0"/>
    <s v="no"/>
    <s v="No"/>
    <x v="1"/>
  </r>
  <r>
    <n v="1"/>
    <x v="1"/>
    <n v="2"/>
    <x v="2"/>
    <s v="female"/>
    <x v="1"/>
    <n v="45"/>
    <n v="0"/>
    <n v="0"/>
    <n v="13.5"/>
    <s v="Second"/>
    <s v="woman"/>
    <x v="1"/>
    <x v="1"/>
    <x v="0"/>
    <s v="yes"/>
    <s v="Yes"/>
    <x v="1"/>
  </r>
  <r>
    <n v="1"/>
    <x v="1"/>
    <n v="1"/>
    <x v="1"/>
    <s v="male"/>
    <x v="0"/>
    <n v="42"/>
    <n v="0"/>
    <n v="0"/>
    <n v="26.287500000000001"/>
    <s v="First"/>
    <s v="man"/>
    <x v="0"/>
    <x v="0"/>
    <x v="0"/>
    <s v="yes"/>
    <s v="Yes"/>
    <x v="1"/>
  </r>
  <r>
    <n v="1"/>
    <x v="1"/>
    <n v="1"/>
    <x v="1"/>
    <s v="female"/>
    <x v="1"/>
    <n v="22"/>
    <n v="0"/>
    <n v="0"/>
    <n v="151.55000000000001"/>
    <s v="First"/>
    <s v="woman"/>
    <x v="1"/>
    <x v="1"/>
    <x v="0"/>
    <s v="yes"/>
    <s v="Yes"/>
    <x v="1"/>
  </r>
  <r>
    <n v="1"/>
    <x v="1"/>
    <n v="3"/>
    <x v="0"/>
    <s v="male"/>
    <x v="0"/>
    <n v="30"/>
    <n v="1"/>
    <n v="1"/>
    <n v="15.245799999999999"/>
    <s v="Third"/>
    <s v="man"/>
    <x v="0"/>
    <x v="0"/>
    <x v="1"/>
    <s v="yes"/>
    <s v="Yes"/>
    <x v="0"/>
  </r>
  <r>
    <n v="1"/>
    <x v="1"/>
    <n v="1"/>
    <x v="1"/>
    <s v="female"/>
    <x v="1"/>
    <n v="24"/>
    <n v="0"/>
    <n v="0"/>
    <n v="49.504199999999997"/>
    <s v="First"/>
    <s v="woman"/>
    <x v="1"/>
    <x v="1"/>
    <x v="1"/>
    <s v="yes"/>
    <s v="Yes"/>
    <x v="1"/>
  </r>
  <r>
    <n v="0"/>
    <x v="0"/>
    <n v="1"/>
    <x v="1"/>
    <s v="male"/>
    <x v="0"/>
    <n v="30"/>
    <n v="0"/>
    <n v="0"/>
    <n v="26.55"/>
    <s v="First"/>
    <s v="man"/>
    <x v="0"/>
    <x v="0"/>
    <x v="0"/>
    <s v="no"/>
    <s v="No"/>
    <x v="1"/>
  </r>
  <r>
    <n v="1"/>
    <x v="1"/>
    <n v="1"/>
    <x v="1"/>
    <s v="male"/>
    <x v="0"/>
    <n v="48"/>
    <n v="1"/>
    <n v="0"/>
    <n v="52"/>
    <s v="First"/>
    <s v="man"/>
    <x v="0"/>
    <x v="0"/>
    <x v="0"/>
    <s v="yes"/>
    <s v="Yes"/>
    <x v="0"/>
  </r>
  <r>
    <n v="0"/>
    <x v="0"/>
    <n v="3"/>
    <x v="0"/>
    <s v="male"/>
    <x v="0"/>
    <n v="29"/>
    <n v="0"/>
    <n v="0"/>
    <n v="9.4832999999999998"/>
    <s v="Third"/>
    <s v="man"/>
    <x v="0"/>
    <x v="0"/>
    <x v="0"/>
    <s v="no"/>
    <s v="No"/>
    <x v="1"/>
  </r>
  <r>
    <n v="0"/>
    <x v="0"/>
    <n v="2"/>
    <x v="2"/>
    <s v="male"/>
    <x v="0"/>
    <n v="52"/>
    <n v="0"/>
    <n v="0"/>
    <n v="13"/>
    <s v="Second"/>
    <s v="man"/>
    <x v="0"/>
    <x v="0"/>
    <x v="0"/>
    <s v="no"/>
    <s v="No"/>
    <x v="1"/>
  </r>
  <r>
    <n v="0"/>
    <x v="0"/>
    <n v="3"/>
    <x v="0"/>
    <s v="male"/>
    <x v="0"/>
    <n v="19"/>
    <n v="0"/>
    <n v="0"/>
    <n v="7.65"/>
    <s v="Third"/>
    <s v="man"/>
    <x v="0"/>
    <x v="0"/>
    <x v="0"/>
    <s v="no"/>
    <s v="No"/>
    <x v="1"/>
  </r>
  <r>
    <n v="1"/>
    <x v="1"/>
    <n v="1"/>
    <x v="1"/>
    <s v="female"/>
    <x v="1"/>
    <n v="38"/>
    <n v="0"/>
    <n v="0"/>
    <n v="227.52500000000001"/>
    <s v="First"/>
    <s v="woman"/>
    <x v="1"/>
    <x v="1"/>
    <x v="1"/>
    <s v="yes"/>
    <s v="Yes"/>
    <x v="1"/>
  </r>
  <r>
    <n v="1"/>
    <x v="1"/>
    <n v="2"/>
    <x v="2"/>
    <s v="female"/>
    <x v="1"/>
    <n v="27"/>
    <n v="0"/>
    <n v="0"/>
    <n v="10.5"/>
    <s v="Second"/>
    <s v="woman"/>
    <x v="1"/>
    <x v="1"/>
    <x v="0"/>
    <s v="yes"/>
    <s v="Yes"/>
    <x v="1"/>
  </r>
  <r>
    <n v="0"/>
    <x v="0"/>
    <n v="3"/>
    <x v="0"/>
    <s v="male"/>
    <x v="0"/>
    <n v="30"/>
    <n v="0"/>
    <n v="0"/>
    <n v="15.5"/>
    <s v="Third"/>
    <s v="man"/>
    <x v="0"/>
    <x v="0"/>
    <x v="2"/>
    <s v="no"/>
    <s v="No"/>
    <x v="1"/>
  </r>
  <r>
    <n v="0"/>
    <x v="0"/>
    <n v="3"/>
    <x v="0"/>
    <s v="male"/>
    <x v="0"/>
    <n v="33"/>
    <n v="0"/>
    <n v="0"/>
    <n v="7.7750000000000004"/>
    <s v="Third"/>
    <s v="man"/>
    <x v="0"/>
    <x v="0"/>
    <x v="0"/>
    <s v="no"/>
    <s v="No"/>
    <x v="1"/>
  </r>
  <r>
    <n v="1"/>
    <x v="1"/>
    <n v="2"/>
    <x v="2"/>
    <s v="female"/>
    <x v="1"/>
    <n v="6"/>
    <n v="0"/>
    <n v="1"/>
    <n v="33"/>
    <s v="Second"/>
    <s v="child"/>
    <x v="2"/>
    <x v="1"/>
    <x v="0"/>
    <s v="yes"/>
    <s v="Yes"/>
    <x v="0"/>
  </r>
  <r>
    <n v="0"/>
    <x v="0"/>
    <n v="3"/>
    <x v="0"/>
    <s v="male"/>
    <x v="0"/>
    <n v="17"/>
    <n v="1"/>
    <n v="0"/>
    <n v="7.0541999999999998"/>
    <s v="Third"/>
    <s v="man"/>
    <x v="0"/>
    <x v="0"/>
    <x v="0"/>
    <s v="no"/>
    <s v="No"/>
    <x v="0"/>
  </r>
  <r>
    <n v="0"/>
    <x v="0"/>
    <n v="2"/>
    <x v="2"/>
    <s v="male"/>
    <x v="0"/>
    <n v="34"/>
    <n v="0"/>
    <n v="0"/>
    <n v="13"/>
    <s v="Second"/>
    <s v="man"/>
    <x v="0"/>
    <x v="0"/>
    <x v="0"/>
    <s v="no"/>
    <s v="No"/>
    <x v="1"/>
  </r>
  <r>
    <n v="0"/>
    <x v="0"/>
    <n v="2"/>
    <x v="2"/>
    <s v="male"/>
    <x v="0"/>
    <n v="50"/>
    <n v="0"/>
    <n v="0"/>
    <n v="13"/>
    <s v="Second"/>
    <s v="man"/>
    <x v="0"/>
    <x v="0"/>
    <x v="0"/>
    <s v="no"/>
    <s v="No"/>
    <x v="1"/>
  </r>
  <r>
    <n v="1"/>
    <x v="1"/>
    <n v="1"/>
    <x v="1"/>
    <s v="male"/>
    <x v="0"/>
    <n v="27"/>
    <n v="1"/>
    <n v="0"/>
    <n v="53.1"/>
    <s v="First"/>
    <s v="man"/>
    <x v="0"/>
    <x v="0"/>
    <x v="0"/>
    <s v="yes"/>
    <s v="Yes"/>
    <x v="0"/>
  </r>
  <r>
    <n v="0"/>
    <x v="0"/>
    <n v="3"/>
    <x v="0"/>
    <s v="male"/>
    <x v="0"/>
    <n v="20"/>
    <n v="0"/>
    <n v="0"/>
    <n v="8.6624999999999996"/>
    <s v="Third"/>
    <s v="man"/>
    <x v="0"/>
    <x v="0"/>
    <x v="0"/>
    <s v="no"/>
    <s v="No"/>
    <x v="1"/>
  </r>
  <r>
    <n v="1"/>
    <x v="1"/>
    <n v="2"/>
    <x v="2"/>
    <s v="female"/>
    <x v="1"/>
    <n v="30"/>
    <n v="3"/>
    <n v="0"/>
    <n v="21"/>
    <s v="Second"/>
    <s v="woman"/>
    <x v="1"/>
    <x v="1"/>
    <x v="0"/>
    <s v="yes"/>
    <s v="Yes"/>
    <x v="0"/>
  </r>
  <r>
    <n v="1"/>
    <x v="1"/>
    <n v="3"/>
    <x v="0"/>
    <s v="female"/>
    <x v="1"/>
    <n v="30"/>
    <n v="0"/>
    <n v="0"/>
    <n v="7.7374999999999998"/>
    <s v="Third"/>
    <s v="woman"/>
    <x v="1"/>
    <x v="1"/>
    <x v="2"/>
    <s v="yes"/>
    <s v="Yes"/>
    <x v="1"/>
  </r>
  <r>
    <n v="0"/>
    <x v="0"/>
    <n v="2"/>
    <x v="2"/>
    <s v="male"/>
    <x v="0"/>
    <n v="25"/>
    <n v="1"/>
    <n v="0"/>
    <n v="26"/>
    <s v="Second"/>
    <s v="man"/>
    <x v="0"/>
    <x v="0"/>
    <x v="0"/>
    <s v="no"/>
    <s v="No"/>
    <x v="0"/>
  </r>
  <r>
    <n v="0"/>
    <x v="0"/>
    <n v="3"/>
    <x v="0"/>
    <s v="female"/>
    <x v="1"/>
    <n v="25"/>
    <n v="1"/>
    <n v="0"/>
    <n v="7.9249999999999998"/>
    <s v="Third"/>
    <s v="woman"/>
    <x v="1"/>
    <x v="1"/>
    <x v="0"/>
    <s v="no"/>
    <s v="No"/>
    <x v="0"/>
  </r>
  <r>
    <n v="1"/>
    <x v="1"/>
    <n v="1"/>
    <x v="1"/>
    <s v="female"/>
    <x v="1"/>
    <n v="29"/>
    <n v="0"/>
    <n v="0"/>
    <n v="211.33750000000001"/>
    <s v="First"/>
    <s v="woman"/>
    <x v="1"/>
    <x v="1"/>
    <x v="0"/>
    <s v="yes"/>
    <s v="Yes"/>
    <x v="1"/>
  </r>
  <r>
    <n v="0"/>
    <x v="0"/>
    <n v="3"/>
    <x v="0"/>
    <s v="male"/>
    <x v="0"/>
    <n v="11"/>
    <n v="0"/>
    <n v="0"/>
    <n v="18.787500000000001"/>
    <s v="Third"/>
    <s v="child"/>
    <x v="2"/>
    <x v="1"/>
    <x v="1"/>
    <s v="no"/>
    <s v="No"/>
    <x v="1"/>
  </r>
  <r>
    <n v="0"/>
    <x v="0"/>
    <n v="2"/>
    <x v="2"/>
    <s v="male"/>
    <x v="0"/>
    <n v="30"/>
    <n v="0"/>
    <n v="0"/>
    <n v="0"/>
    <s v="Second"/>
    <s v="man"/>
    <x v="0"/>
    <x v="0"/>
    <x v="0"/>
    <s v="no"/>
    <s v="No"/>
    <x v="1"/>
  </r>
  <r>
    <n v="0"/>
    <x v="0"/>
    <n v="2"/>
    <x v="2"/>
    <s v="male"/>
    <x v="0"/>
    <n v="23"/>
    <n v="0"/>
    <n v="0"/>
    <n v="13"/>
    <s v="Second"/>
    <s v="man"/>
    <x v="0"/>
    <x v="0"/>
    <x v="0"/>
    <s v="no"/>
    <s v="No"/>
    <x v="1"/>
  </r>
  <r>
    <n v="0"/>
    <x v="0"/>
    <n v="2"/>
    <x v="2"/>
    <s v="male"/>
    <x v="0"/>
    <n v="23"/>
    <n v="0"/>
    <n v="0"/>
    <n v="13"/>
    <s v="Second"/>
    <s v="man"/>
    <x v="0"/>
    <x v="0"/>
    <x v="0"/>
    <s v="no"/>
    <s v="No"/>
    <x v="1"/>
  </r>
  <r>
    <n v="0"/>
    <x v="0"/>
    <n v="3"/>
    <x v="0"/>
    <s v="male"/>
    <x v="0"/>
    <n v="28.5"/>
    <n v="0"/>
    <n v="0"/>
    <n v="16.100000000000001"/>
    <s v="Third"/>
    <s v="man"/>
    <x v="0"/>
    <x v="0"/>
    <x v="0"/>
    <s v="no"/>
    <s v="No"/>
    <x v="1"/>
  </r>
  <r>
    <n v="0"/>
    <x v="0"/>
    <n v="3"/>
    <x v="0"/>
    <s v="female"/>
    <x v="1"/>
    <n v="48"/>
    <n v="1"/>
    <n v="3"/>
    <n v="34.375"/>
    <s v="Third"/>
    <s v="woman"/>
    <x v="1"/>
    <x v="1"/>
    <x v="0"/>
    <s v="no"/>
    <s v="No"/>
    <x v="0"/>
  </r>
  <r>
    <n v="1"/>
    <x v="1"/>
    <n v="1"/>
    <x v="1"/>
    <s v="male"/>
    <x v="0"/>
    <n v="35"/>
    <n v="0"/>
    <n v="0"/>
    <n v="512.32920000000001"/>
    <s v="First"/>
    <s v="man"/>
    <x v="0"/>
    <x v="0"/>
    <x v="1"/>
    <s v="yes"/>
    <s v="Yes"/>
    <x v="1"/>
  </r>
  <r>
    <n v="0"/>
    <x v="0"/>
    <n v="3"/>
    <x v="0"/>
    <s v="male"/>
    <x v="0"/>
    <n v="30"/>
    <n v="0"/>
    <n v="0"/>
    <n v="7.8958000000000004"/>
    <s v="Third"/>
    <s v="man"/>
    <x v="0"/>
    <x v="0"/>
    <x v="0"/>
    <s v="no"/>
    <s v="No"/>
    <x v="1"/>
  </r>
  <r>
    <n v="0"/>
    <x v="0"/>
    <n v="3"/>
    <x v="0"/>
    <s v="male"/>
    <x v="0"/>
    <n v="30"/>
    <n v="0"/>
    <n v="0"/>
    <n v="7.8958000000000004"/>
    <s v="Third"/>
    <s v="man"/>
    <x v="0"/>
    <x v="0"/>
    <x v="0"/>
    <s v="no"/>
    <s v="No"/>
    <x v="1"/>
  </r>
  <r>
    <n v="1"/>
    <x v="1"/>
    <n v="1"/>
    <x v="1"/>
    <s v="male"/>
    <x v="0"/>
    <n v="30"/>
    <n v="0"/>
    <n v="0"/>
    <n v="30"/>
    <s v="First"/>
    <s v="man"/>
    <x v="0"/>
    <x v="0"/>
    <x v="0"/>
    <s v="yes"/>
    <s v="Yes"/>
    <x v="1"/>
  </r>
  <r>
    <n v="0"/>
    <x v="0"/>
    <n v="1"/>
    <x v="1"/>
    <s v="male"/>
    <x v="0"/>
    <n v="36"/>
    <n v="1"/>
    <n v="0"/>
    <n v="78.849999999999994"/>
    <s v="First"/>
    <s v="man"/>
    <x v="0"/>
    <x v="0"/>
    <x v="0"/>
    <s v="no"/>
    <s v="No"/>
    <x v="0"/>
  </r>
  <r>
    <n v="1"/>
    <x v="1"/>
    <n v="1"/>
    <x v="1"/>
    <s v="female"/>
    <x v="1"/>
    <n v="21"/>
    <n v="2"/>
    <n v="2"/>
    <n v="262.375"/>
    <s v="First"/>
    <s v="woman"/>
    <x v="1"/>
    <x v="1"/>
    <x v="1"/>
    <s v="yes"/>
    <s v="Yes"/>
    <x v="0"/>
  </r>
  <r>
    <n v="0"/>
    <x v="0"/>
    <n v="3"/>
    <x v="0"/>
    <s v="male"/>
    <x v="0"/>
    <n v="24"/>
    <n v="1"/>
    <n v="0"/>
    <n v="16.100000000000001"/>
    <s v="Third"/>
    <s v="man"/>
    <x v="0"/>
    <x v="0"/>
    <x v="0"/>
    <s v="no"/>
    <s v="No"/>
    <x v="0"/>
  </r>
  <r>
    <n v="1"/>
    <x v="1"/>
    <n v="3"/>
    <x v="0"/>
    <s v="male"/>
    <x v="0"/>
    <n v="31"/>
    <n v="0"/>
    <n v="0"/>
    <n v="7.9249999999999998"/>
    <s v="Third"/>
    <s v="man"/>
    <x v="0"/>
    <x v="0"/>
    <x v="0"/>
    <s v="yes"/>
    <s v="Yes"/>
    <x v="1"/>
  </r>
  <r>
    <n v="0"/>
    <x v="0"/>
    <n v="1"/>
    <x v="1"/>
    <s v="male"/>
    <x v="0"/>
    <n v="70"/>
    <n v="1"/>
    <n v="1"/>
    <n v="71"/>
    <s v="First"/>
    <s v="man"/>
    <x v="0"/>
    <x v="0"/>
    <x v="0"/>
    <s v="no"/>
    <s v="No"/>
    <x v="0"/>
  </r>
  <r>
    <n v="0"/>
    <x v="0"/>
    <n v="3"/>
    <x v="0"/>
    <s v="male"/>
    <x v="0"/>
    <n v="16"/>
    <n v="1"/>
    <n v="1"/>
    <n v="20.25"/>
    <s v="Third"/>
    <s v="man"/>
    <x v="0"/>
    <x v="0"/>
    <x v="0"/>
    <s v="no"/>
    <s v="No"/>
    <x v="0"/>
  </r>
  <r>
    <n v="1"/>
    <x v="1"/>
    <n v="2"/>
    <x v="2"/>
    <s v="female"/>
    <x v="1"/>
    <n v="30"/>
    <n v="0"/>
    <n v="0"/>
    <n v="13"/>
    <s v="Second"/>
    <s v="woman"/>
    <x v="1"/>
    <x v="1"/>
    <x v="0"/>
    <s v="yes"/>
    <s v="Yes"/>
    <x v="1"/>
  </r>
  <r>
    <n v="0"/>
    <x v="0"/>
    <n v="1"/>
    <x v="1"/>
    <s v="male"/>
    <x v="0"/>
    <n v="19"/>
    <n v="1"/>
    <n v="0"/>
    <n v="53.1"/>
    <s v="First"/>
    <s v="man"/>
    <x v="0"/>
    <x v="0"/>
    <x v="0"/>
    <s v="no"/>
    <s v="No"/>
    <x v="0"/>
  </r>
  <r>
    <n v="0"/>
    <x v="0"/>
    <n v="3"/>
    <x v="0"/>
    <s v="male"/>
    <x v="0"/>
    <n v="31"/>
    <n v="0"/>
    <n v="0"/>
    <n v="7.75"/>
    <s v="Third"/>
    <s v="man"/>
    <x v="0"/>
    <x v="0"/>
    <x v="2"/>
    <s v="no"/>
    <s v="No"/>
    <x v="1"/>
  </r>
  <r>
    <n v="1"/>
    <x v="1"/>
    <n v="2"/>
    <x v="2"/>
    <s v="female"/>
    <x v="1"/>
    <n v="4"/>
    <n v="1"/>
    <n v="1"/>
    <n v="23"/>
    <s v="Second"/>
    <s v="child"/>
    <x v="2"/>
    <x v="1"/>
    <x v="0"/>
    <s v="yes"/>
    <s v="Yes"/>
    <x v="0"/>
  </r>
  <r>
    <n v="1"/>
    <x v="1"/>
    <n v="3"/>
    <x v="0"/>
    <s v="male"/>
    <x v="0"/>
    <n v="6"/>
    <n v="0"/>
    <n v="1"/>
    <n v="12.475"/>
    <s v="Third"/>
    <s v="child"/>
    <x v="2"/>
    <x v="1"/>
    <x v="0"/>
    <s v="yes"/>
    <s v="Yes"/>
    <x v="0"/>
  </r>
  <r>
    <n v="0"/>
    <x v="0"/>
    <n v="3"/>
    <x v="0"/>
    <s v="male"/>
    <x v="0"/>
    <n v="33"/>
    <n v="0"/>
    <n v="0"/>
    <n v="9.5"/>
    <s v="Third"/>
    <s v="man"/>
    <x v="0"/>
    <x v="0"/>
    <x v="0"/>
    <s v="no"/>
    <s v="No"/>
    <x v="1"/>
  </r>
  <r>
    <n v="0"/>
    <x v="0"/>
    <n v="3"/>
    <x v="0"/>
    <s v="male"/>
    <x v="0"/>
    <n v="23"/>
    <n v="0"/>
    <n v="0"/>
    <n v="7.8958000000000004"/>
    <s v="Third"/>
    <s v="man"/>
    <x v="0"/>
    <x v="0"/>
    <x v="0"/>
    <s v="no"/>
    <s v="No"/>
    <x v="1"/>
  </r>
  <r>
    <n v="1"/>
    <x v="1"/>
    <n v="2"/>
    <x v="2"/>
    <s v="female"/>
    <x v="1"/>
    <n v="48"/>
    <n v="1"/>
    <n v="2"/>
    <n v="65"/>
    <s v="Second"/>
    <s v="woman"/>
    <x v="1"/>
    <x v="1"/>
    <x v="0"/>
    <s v="yes"/>
    <s v="Yes"/>
    <x v="0"/>
  </r>
  <r>
    <n v="1"/>
    <x v="1"/>
    <n v="2"/>
    <x v="2"/>
    <s v="male"/>
    <x v="0"/>
    <n v="0.67"/>
    <n v="1"/>
    <n v="1"/>
    <n v="14.5"/>
    <s v="Second"/>
    <s v="child"/>
    <x v="2"/>
    <x v="1"/>
    <x v="0"/>
    <s v="yes"/>
    <s v="Yes"/>
    <x v="0"/>
  </r>
  <r>
    <n v="0"/>
    <x v="0"/>
    <n v="3"/>
    <x v="0"/>
    <s v="male"/>
    <x v="0"/>
    <n v="28"/>
    <n v="0"/>
    <n v="0"/>
    <n v="7.7957999999999998"/>
    <s v="Third"/>
    <s v="man"/>
    <x v="0"/>
    <x v="0"/>
    <x v="0"/>
    <s v="no"/>
    <s v="No"/>
    <x v="1"/>
  </r>
  <r>
    <n v="0"/>
    <x v="0"/>
    <n v="2"/>
    <x v="2"/>
    <s v="male"/>
    <x v="0"/>
    <n v="18"/>
    <n v="0"/>
    <n v="0"/>
    <n v="11.5"/>
    <s v="Second"/>
    <s v="man"/>
    <x v="0"/>
    <x v="0"/>
    <x v="0"/>
    <s v="no"/>
    <s v="No"/>
    <x v="1"/>
  </r>
  <r>
    <n v="0"/>
    <x v="0"/>
    <n v="3"/>
    <x v="0"/>
    <s v="male"/>
    <x v="0"/>
    <n v="34"/>
    <n v="0"/>
    <n v="0"/>
    <n v="8.0500000000000007"/>
    <s v="Third"/>
    <s v="man"/>
    <x v="0"/>
    <x v="0"/>
    <x v="0"/>
    <s v="no"/>
    <s v="No"/>
    <x v="1"/>
  </r>
  <r>
    <n v="1"/>
    <x v="1"/>
    <n v="1"/>
    <x v="1"/>
    <s v="female"/>
    <x v="1"/>
    <n v="33"/>
    <n v="0"/>
    <n v="0"/>
    <n v="86.5"/>
    <s v="First"/>
    <s v="woman"/>
    <x v="1"/>
    <x v="1"/>
    <x v="0"/>
    <s v="yes"/>
    <s v="Yes"/>
    <x v="1"/>
  </r>
  <r>
    <n v="0"/>
    <x v="0"/>
    <n v="3"/>
    <x v="0"/>
    <s v="male"/>
    <x v="0"/>
    <n v="30"/>
    <n v="0"/>
    <n v="0"/>
    <n v="14.5"/>
    <s v="Third"/>
    <s v="man"/>
    <x v="0"/>
    <x v="0"/>
    <x v="0"/>
    <s v="no"/>
    <s v="No"/>
    <x v="1"/>
  </r>
  <r>
    <n v="0"/>
    <x v="0"/>
    <n v="3"/>
    <x v="0"/>
    <s v="male"/>
    <x v="0"/>
    <n v="41"/>
    <n v="0"/>
    <n v="0"/>
    <n v="7.125"/>
    <s v="Third"/>
    <s v="man"/>
    <x v="0"/>
    <x v="0"/>
    <x v="0"/>
    <s v="no"/>
    <s v="No"/>
    <x v="1"/>
  </r>
  <r>
    <n v="1"/>
    <x v="1"/>
    <n v="3"/>
    <x v="0"/>
    <s v="male"/>
    <x v="0"/>
    <n v="20"/>
    <n v="0"/>
    <n v="0"/>
    <n v="7.2291999999999996"/>
    <s v="Third"/>
    <s v="man"/>
    <x v="0"/>
    <x v="0"/>
    <x v="1"/>
    <s v="yes"/>
    <s v="Yes"/>
    <x v="1"/>
  </r>
  <r>
    <n v="1"/>
    <x v="1"/>
    <n v="1"/>
    <x v="1"/>
    <s v="female"/>
    <x v="1"/>
    <n v="36"/>
    <n v="1"/>
    <n v="2"/>
    <n v="120"/>
    <s v="First"/>
    <s v="woman"/>
    <x v="1"/>
    <x v="1"/>
    <x v="0"/>
    <s v="yes"/>
    <s v="Yes"/>
    <x v="0"/>
  </r>
  <r>
    <n v="0"/>
    <x v="0"/>
    <n v="3"/>
    <x v="0"/>
    <s v="male"/>
    <x v="0"/>
    <n v="16"/>
    <n v="0"/>
    <n v="0"/>
    <n v="7.7750000000000004"/>
    <s v="Third"/>
    <s v="man"/>
    <x v="0"/>
    <x v="0"/>
    <x v="0"/>
    <s v="no"/>
    <s v="No"/>
    <x v="1"/>
  </r>
  <r>
    <n v="1"/>
    <x v="1"/>
    <n v="1"/>
    <x v="1"/>
    <s v="female"/>
    <x v="1"/>
    <n v="51"/>
    <n v="1"/>
    <n v="0"/>
    <n v="77.958299999999994"/>
    <s v="First"/>
    <s v="woman"/>
    <x v="1"/>
    <x v="1"/>
    <x v="0"/>
    <s v="yes"/>
    <s v="Yes"/>
    <x v="0"/>
  </r>
  <r>
    <n v="0"/>
    <x v="0"/>
    <n v="1"/>
    <x v="1"/>
    <s v="male"/>
    <x v="0"/>
    <n v="30"/>
    <n v="0"/>
    <n v="0"/>
    <n v="39.6"/>
    <s v="First"/>
    <s v="man"/>
    <x v="0"/>
    <x v="0"/>
    <x v="1"/>
    <s v="no"/>
    <s v="No"/>
    <x v="1"/>
  </r>
  <r>
    <n v="0"/>
    <x v="0"/>
    <n v="3"/>
    <x v="0"/>
    <s v="female"/>
    <x v="1"/>
    <n v="30.5"/>
    <n v="0"/>
    <n v="0"/>
    <n v="7.75"/>
    <s v="Third"/>
    <s v="woman"/>
    <x v="1"/>
    <x v="1"/>
    <x v="2"/>
    <s v="no"/>
    <s v="No"/>
    <x v="1"/>
  </r>
  <r>
    <n v="0"/>
    <x v="0"/>
    <n v="3"/>
    <x v="0"/>
    <s v="male"/>
    <x v="0"/>
    <n v="30"/>
    <n v="1"/>
    <n v="0"/>
    <n v="24.15"/>
    <s v="Third"/>
    <s v="man"/>
    <x v="0"/>
    <x v="0"/>
    <x v="2"/>
    <s v="no"/>
    <s v="No"/>
    <x v="0"/>
  </r>
  <r>
    <n v="0"/>
    <x v="0"/>
    <n v="3"/>
    <x v="0"/>
    <s v="male"/>
    <x v="0"/>
    <n v="32"/>
    <n v="0"/>
    <n v="0"/>
    <n v="8.3625000000000007"/>
    <s v="Third"/>
    <s v="man"/>
    <x v="0"/>
    <x v="0"/>
    <x v="0"/>
    <s v="no"/>
    <s v="No"/>
    <x v="1"/>
  </r>
  <r>
    <n v="0"/>
    <x v="0"/>
    <n v="3"/>
    <x v="0"/>
    <s v="male"/>
    <x v="0"/>
    <n v="24"/>
    <n v="0"/>
    <n v="0"/>
    <n v="9.5"/>
    <s v="Third"/>
    <s v="man"/>
    <x v="0"/>
    <x v="0"/>
    <x v="0"/>
    <s v="no"/>
    <s v="No"/>
    <x v="1"/>
  </r>
  <r>
    <n v="0"/>
    <x v="0"/>
    <n v="3"/>
    <x v="0"/>
    <s v="male"/>
    <x v="0"/>
    <n v="48"/>
    <n v="0"/>
    <n v="0"/>
    <n v="7.8541999999999996"/>
    <s v="Third"/>
    <s v="man"/>
    <x v="0"/>
    <x v="0"/>
    <x v="0"/>
    <s v="no"/>
    <s v="No"/>
    <x v="1"/>
  </r>
  <r>
    <n v="0"/>
    <x v="0"/>
    <n v="2"/>
    <x v="2"/>
    <s v="female"/>
    <x v="1"/>
    <n v="57"/>
    <n v="0"/>
    <n v="0"/>
    <n v="10.5"/>
    <s v="Second"/>
    <s v="woman"/>
    <x v="1"/>
    <x v="1"/>
    <x v="0"/>
    <s v="no"/>
    <s v="No"/>
    <x v="1"/>
  </r>
  <r>
    <n v="0"/>
    <x v="0"/>
    <n v="3"/>
    <x v="0"/>
    <s v="male"/>
    <x v="0"/>
    <n v="30"/>
    <n v="0"/>
    <n v="0"/>
    <n v="7.2249999999999996"/>
    <s v="Third"/>
    <s v="man"/>
    <x v="0"/>
    <x v="0"/>
    <x v="1"/>
    <s v="no"/>
    <s v="No"/>
    <x v="1"/>
  </r>
  <r>
    <n v="1"/>
    <x v="1"/>
    <n v="2"/>
    <x v="2"/>
    <s v="female"/>
    <x v="1"/>
    <n v="54"/>
    <n v="1"/>
    <n v="3"/>
    <n v="23"/>
    <s v="Second"/>
    <s v="woman"/>
    <x v="1"/>
    <x v="1"/>
    <x v="0"/>
    <s v="yes"/>
    <s v="Yes"/>
    <x v="0"/>
  </r>
  <r>
    <n v="0"/>
    <x v="0"/>
    <n v="3"/>
    <x v="0"/>
    <s v="male"/>
    <x v="0"/>
    <n v="18"/>
    <n v="0"/>
    <n v="0"/>
    <n v="7.75"/>
    <s v="Third"/>
    <s v="man"/>
    <x v="0"/>
    <x v="0"/>
    <x v="0"/>
    <s v="no"/>
    <s v="No"/>
    <x v="1"/>
  </r>
  <r>
    <n v="0"/>
    <x v="0"/>
    <n v="3"/>
    <x v="0"/>
    <s v="male"/>
    <x v="0"/>
    <n v="30"/>
    <n v="0"/>
    <n v="0"/>
    <n v="7.75"/>
    <s v="Third"/>
    <s v="man"/>
    <x v="0"/>
    <x v="0"/>
    <x v="2"/>
    <s v="no"/>
    <s v="No"/>
    <x v="1"/>
  </r>
  <r>
    <n v="1"/>
    <x v="1"/>
    <n v="3"/>
    <x v="0"/>
    <s v="female"/>
    <x v="1"/>
    <n v="5"/>
    <n v="0"/>
    <n v="0"/>
    <n v="12.475"/>
    <s v="Third"/>
    <s v="child"/>
    <x v="2"/>
    <x v="1"/>
    <x v="0"/>
    <s v="yes"/>
    <s v="Yes"/>
    <x v="1"/>
  </r>
  <r>
    <n v="0"/>
    <x v="0"/>
    <n v="3"/>
    <x v="0"/>
    <s v="male"/>
    <x v="0"/>
    <n v="30"/>
    <n v="0"/>
    <n v="0"/>
    <n v="7.7374999999999998"/>
    <s v="Third"/>
    <s v="man"/>
    <x v="0"/>
    <x v="0"/>
    <x v="2"/>
    <s v="no"/>
    <s v="No"/>
    <x v="1"/>
  </r>
  <r>
    <n v="1"/>
    <x v="1"/>
    <n v="1"/>
    <x v="1"/>
    <s v="female"/>
    <x v="1"/>
    <n v="43"/>
    <n v="0"/>
    <n v="1"/>
    <n v="211.33750000000001"/>
    <s v="First"/>
    <s v="woman"/>
    <x v="1"/>
    <x v="1"/>
    <x v="0"/>
    <s v="yes"/>
    <s v="Yes"/>
    <x v="0"/>
  </r>
  <r>
    <n v="1"/>
    <x v="1"/>
    <n v="3"/>
    <x v="0"/>
    <s v="female"/>
    <x v="1"/>
    <n v="13"/>
    <n v="0"/>
    <n v="0"/>
    <n v="7.2291999999999996"/>
    <s v="Third"/>
    <s v="child"/>
    <x v="2"/>
    <x v="1"/>
    <x v="1"/>
    <s v="yes"/>
    <s v="Yes"/>
    <x v="1"/>
  </r>
  <r>
    <n v="1"/>
    <x v="1"/>
    <n v="1"/>
    <x v="1"/>
    <s v="female"/>
    <x v="1"/>
    <n v="17"/>
    <n v="1"/>
    <n v="0"/>
    <n v="57"/>
    <s v="First"/>
    <s v="woman"/>
    <x v="1"/>
    <x v="1"/>
    <x v="0"/>
    <s v="yes"/>
    <s v="Yes"/>
    <x v="0"/>
  </r>
  <r>
    <n v="0"/>
    <x v="0"/>
    <n v="1"/>
    <x v="1"/>
    <s v="male"/>
    <x v="0"/>
    <n v="29"/>
    <n v="0"/>
    <n v="0"/>
    <n v="30"/>
    <s v="First"/>
    <s v="man"/>
    <x v="0"/>
    <x v="0"/>
    <x v="0"/>
    <s v="no"/>
    <s v="No"/>
    <x v="1"/>
  </r>
  <r>
    <n v="0"/>
    <x v="0"/>
    <n v="3"/>
    <x v="0"/>
    <s v="male"/>
    <x v="0"/>
    <n v="30"/>
    <n v="1"/>
    <n v="2"/>
    <n v="23.45"/>
    <s v="Third"/>
    <s v="man"/>
    <x v="0"/>
    <x v="0"/>
    <x v="0"/>
    <s v="no"/>
    <s v="No"/>
    <x v="0"/>
  </r>
  <r>
    <n v="0"/>
    <x v="0"/>
    <n v="3"/>
    <x v="0"/>
    <s v="male"/>
    <x v="0"/>
    <n v="25"/>
    <n v="0"/>
    <n v="0"/>
    <n v="7.05"/>
    <s v="Third"/>
    <s v="man"/>
    <x v="0"/>
    <x v="0"/>
    <x v="0"/>
    <s v="no"/>
    <s v="No"/>
    <x v="1"/>
  </r>
  <r>
    <n v="0"/>
    <x v="0"/>
    <n v="3"/>
    <x v="0"/>
    <s v="male"/>
    <x v="0"/>
    <n v="25"/>
    <n v="0"/>
    <n v="0"/>
    <n v="7.25"/>
    <s v="Third"/>
    <s v="man"/>
    <x v="0"/>
    <x v="0"/>
    <x v="0"/>
    <s v="no"/>
    <s v="No"/>
    <x v="1"/>
  </r>
  <r>
    <n v="1"/>
    <x v="1"/>
    <n v="3"/>
    <x v="0"/>
    <s v="female"/>
    <x v="1"/>
    <n v="18"/>
    <n v="0"/>
    <n v="0"/>
    <n v="7.4958"/>
    <s v="Third"/>
    <s v="woman"/>
    <x v="1"/>
    <x v="1"/>
    <x v="0"/>
    <s v="yes"/>
    <s v="Yes"/>
    <x v="1"/>
  </r>
  <r>
    <n v="0"/>
    <x v="0"/>
    <n v="3"/>
    <x v="0"/>
    <s v="male"/>
    <x v="0"/>
    <n v="8"/>
    <n v="4"/>
    <n v="1"/>
    <n v="29.125"/>
    <s v="Third"/>
    <s v="child"/>
    <x v="2"/>
    <x v="1"/>
    <x v="2"/>
    <s v="no"/>
    <s v="No"/>
    <x v="0"/>
  </r>
  <r>
    <n v="1"/>
    <x v="1"/>
    <n v="3"/>
    <x v="0"/>
    <s v="male"/>
    <x v="0"/>
    <n v="1"/>
    <n v="1"/>
    <n v="2"/>
    <n v="20.574999999999999"/>
    <s v="Third"/>
    <s v="child"/>
    <x v="2"/>
    <x v="1"/>
    <x v="0"/>
    <s v="yes"/>
    <s v="Yes"/>
    <x v="0"/>
  </r>
  <r>
    <n v="0"/>
    <x v="0"/>
    <n v="1"/>
    <x v="1"/>
    <s v="male"/>
    <x v="0"/>
    <n v="46"/>
    <n v="0"/>
    <n v="0"/>
    <n v="79.2"/>
    <s v="First"/>
    <s v="man"/>
    <x v="0"/>
    <x v="0"/>
    <x v="1"/>
    <s v="no"/>
    <s v="No"/>
    <x v="1"/>
  </r>
  <r>
    <n v="0"/>
    <x v="0"/>
    <n v="3"/>
    <x v="0"/>
    <s v="male"/>
    <x v="0"/>
    <n v="30"/>
    <n v="0"/>
    <n v="0"/>
    <n v="7.75"/>
    <s v="Third"/>
    <s v="man"/>
    <x v="0"/>
    <x v="0"/>
    <x v="2"/>
    <s v="no"/>
    <s v="No"/>
    <x v="1"/>
  </r>
  <r>
    <n v="0"/>
    <x v="0"/>
    <n v="2"/>
    <x v="2"/>
    <s v="male"/>
    <x v="0"/>
    <n v="16"/>
    <n v="0"/>
    <n v="0"/>
    <n v="26"/>
    <s v="Second"/>
    <s v="man"/>
    <x v="0"/>
    <x v="0"/>
    <x v="0"/>
    <s v="no"/>
    <s v="No"/>
    <x v="1"/>
  </r>
  <r>
    <n v="0"/>
    <x v="0"/>
    <n v="3"/>
    <x v="0"/>
    <s v="female"/>
    <x v="1"/>
    <n v="30"/>
    <n v="8"/>
    <n v="2"/>
    <n v="69.55"/>
    <s v="Third"/>
    <s v="woman"/>
    <x v="1"/>
    <x v="1"/>
    <x v="0"/>
    <s v="no"/>
    <s v="No"/>
    <x v="0"/>
  </r>
  <r>
    <n v="0"/>
    <x v="0"/>
    <n v="1"/>
    <x v="1"/>
    <s v="male"/>
    <x v="0"/>
    <n v="30"/>
    <n v="0"/>
    <n v="0"/>
    <n v="30.695799999999998"/>
    <s v="First"/>
    <s v="man"/>
    <x v="0"/>
    <x v="0"/>
    <x v="1"/>
    <s v="no"/>
    <s v="No"/>
    <x v="1"/>
  </r>
  <r>
    <n v="0"/>
    <x v="0"/>
    <n v="3"/>
    <x v="0"/>
    <s v="male"/>
    <x v="0"/>
    <n v="25"/>
    <n v="0"/>
    <n v="0"/>
    <n v="7.8958000000000004"/>
    <s v="Third"/>
    <s v="man"/>
    <x v="0"/>
    <x v="0"/>
    <x v="0"/>
    <s v="no"/>
    <s v="No"/>
    <x v="1"/>
  </r>
  <r>
    <n v="0"/>
    <x v="0"/>
    <n v="2"/>
    <x v="2"/>
    <s v="male"/>
    <x v="0"/>
    <n v="39"/>
    <n v="0"/>
    <n v="0"/>
    <n v="13"/>
    <s v="Second"/>
    <s v="man"/>
    <x v="0"/>
    <x v="0"/>
    <x v="0"/>
    <s v="no"/>
    <s v="No"/>
    <x v="1"/>
  </r>
  <r>
    <n v="1"/>
    <x v="1"/>
    <n v="1"/>
    <x v="1"/>
    <s v="female"/>
    <x v="1"/>
    <n v="49"/>
    <n v="0"/>
    <n v="0"/>
    <n v="25.929200000000002"/>
    <s v="First"/>
    <s v="woman"/>
    <x v="1"/>
    <x v="1"/>
    <x v="0"/>
    <s v="yes"/>
    <s v="Yes"/>
    <x v="1"/>
  </r>
  <r>
    <n v="1"/>
    <x v="1"/>
    <n v="3"/>
    <x v="0"/>
    <s v="female"/>
    <x v="1"/>
    <n v="31"/>
    <n v="0"/>
    <n v="0"/>
    <n v="8.6832999999999991"/>
    <s v="Third"/>
    <s v="woman"/>
    <x v="1"/>
    <x v="1"/>
    <x v="0"/>
    <s v="yes"/>
    <s v="Yes"/>
    <x v="1"/>
  </r>
  <r>
    <n v="0"/>
    <x v="0"/>
    <n v="3"/>
    <x v="0"/>
    <s v="male"/>
    <x v="0"/>
    <n v="30"/>
    <n v="0"/>
    <n v="0"/>
    <n v="7.2291999999999996"/>
    <s v="Third"/>
    <s v="man"/>
    <x v="0"/>
    <x v="0"/>
    <x v="1"/>
    <s v="no"/>
    <s v="No"/>
    <x v="1"/>
  </r>
  <r>
    <n v="0"/>
    <x v="0"/>
    <n v="3"/>
    <x v="0"/>
    <s v="female"/>
    <x v="1"/>
    <n v="30"/>
    <n v="1"/>
    <n v="1"/>
    <n v="24.15"/>
    <s v="Third"/>
    <s v="woman"/>
    <x v="1"/>
    <x v="1"/>
    <x v="0"/>
    <s v="no"/>
    <s v="No"/>
    <x v="0"/>
  </r>
  <r>
    <n v="0"/>
    <x v="0"/>
    <n v="2"/>
    <x v="2"/>
    <s v="male"/>
    <x v="0"/>
    <n v="34"/>
    <n v="0"/>
    <n v="0"/>
    <n v="13"/>
    <s v="Second"/>
    <s v="man"/>
    <x v="0"/>
    <x v="0"/>
    <x v="0"/>
    <s v="no"/>
    <s v="No"/>
    <x v="1"/>
  </r>
  <r>
    <n v="1"/>
    <x v="1"/>
    <n v="2"/>
    <x v="2"/>
    <s v="female"/>
    <x v="1"/>
    <n v="31"/>
    <n v="1"/>
    <n v="1"/>
    <n v="26.25"/>
    <s v="Second"/>
    <s v="woman"/>
    <x v="1"/>
    <x v="1"/>
    <x v="0"/>
    <s v="yes"/>
    <s v="Yes"/>
    <x v="0"/>
  </r>
  <r>
    <n v="1"/>
    <x v="1"/>
    <n v="1"/>
    <x v="1"/>
    <s v="male"/>
    <x v="0"/>
    <n v="11"/>
    <n v="1"/>
    <n v="2"/>
    <n v="120"/>
    <s v="First"/>
    <s v="child"/>
    <x v="2"/>
    <x v="1"/>
    <x v="0"/>
    <s v="yes"/>
    <s v="Yes"/>
    <x v="0"/>
  </r>
  <r>
    <n v="1"/>
    <x v="1"/>
    <n v="3"/>
    <x v="0"/>
    <s v="male"/>
    <x v="0"/>
    <n v="0.42"/>
    <n v="0"/>
    <n v="1"/>
    <n v="8.5167000000000002"/>
    <s v="Third"/>
    <s v="child"/>
    <x v="2"/>
    <x v="1"/>
    <x v="1"/>
    <s v="yes"/>
    <s v="Yes"/>
    <x v="0"/>
  </r>
  <r>
    <n v="1"/>
    <x v="1"/>
    <n v="3"/>
    <x v="0"/>
    <s v="male"/>
    <x v="0"/>
    <n v="27"/>
    <n v="0"/>
    <n v="0"/>
    <n v="6.9749999999999996"/>
    <s v="Third"/>
    <s v="man"/>
    <x v="0"/>
    <x v="0"/>
    <x v="0"/>
    <s v="yes"/>
    <s v="Yes"/>
    <x v="1"/>
  </r>
  <r>
    <n v="0"/>
    <x v="0"/>
    <n v="3"/>
    <x v="0"/>
    <s v="male"/>
    <x v="0"/>
    <n v="31"/>
    <n v="0"/>
    <n v="0"/>
    <n v="7.7750000000000004"/>
    <s v="Third"/>
    <s v="man"/>
    <x v="0"/>
    <x v="0"/>
    <x v="0"/>
    <s v="no"/>
    <s v="No"/>
    <x v="1"/>
  </r>
  <r>
    <n v="0"/>
    <x v="0"/>
    <n v="1"/>
    <x v="1"/>
    <s v="male"/>
    <x v="0"/>
    <n v="39"/>
    <n v="0"/>
    <n v="0"/>
    <n v="0"/>
    <s v="First"/>
    <s v="man"/>
    <x v="0"/>
    <x v="0"/>
    <x v="0"/>
    <s v="no"/>
    <s v="No"/>
    <x v="1"/>
  </r>
  <r>
    <n v="0"/>
    <x v="0"/>
    <n v="3"/>
    <x v="0"/>
    <s v="female"/>
    <x v="1"/>
    <n v="18"/>
    <n v="0"/>
    <n v="0"/>
    <n v="7.7750000000000004"/>
    <s v="Third"/>
    <s v="woman"/>
    <x v="1"/>
    <x v="1"/>
    <x v="0"/>
    <s v="no"/>
    <s v="No"/>
    <x v="1"/>
  </r>
  <r>
    <n v="0"/>
    <x v="0"/>
    <n v="2"/>
    <x v="2"/>
    <s v="male"/>
    <x v="0"/>
    <n v="39"/>
    <n v="0"/>
    <n v="0"/>
    <n v="13"/>
    <s v="Second"/>
    <s v="man"/>
    <x v="0"/>
    <x v="0"/>
    <x v="0"/>
    <s v="no"/>
    <s v="No"/>
    <x v="1"/>
  </r>
  <r>
    <n v="1"/>
    <x v="1"/>
    <n v="1"/>
    <x v="1"/>
    <s v="female"/>
    <x v="1"/>
    <n v="33"/>
    <n v="1"/>
    <n v="0"/>
    <n v="53.1"/>
    <s v="First"/>
    <s v="woman"/>
    <x v="1"/>
    <x v="1"/>
    <x v="0"/>
    <s v="yes"/>
    <s v="Yes"/>
    <x v="0"/>
  </r>
  <r>
    <n v="0"/>
    <x v="0"/>
    <n v="3"/>
    <x v="0"/>
    <s v="male"/>
    <x v="0"/>
    <n v="26"/>
    <n v="0"/>
    <n v="0"/>
    <n v="7.8875000000000002"/>
    <s v="Third"/>
    <s v="man"/>
    <x v="0"/>
    <x v="0"/>
    <x v="0"/>
    <s v="no"/>
    <s v="No"/>
    <x v="1"/>
  </r>
  <r>
    <n v="0"/>
    <x v="0"/>
    <n v="3"/>
    <x v="0"/>
    <s v="male"/>
    <x v="0"/>
    <n v="39"/>
    <n v="0"/>
    <n v="0"/>
    <n v="24.15"/>
    <s v="Third"/>
    <s v="man"/>
    <x v="0"/>
    <x v="0"/>
    <x v="0"/>
    <s v="no"/>
    <s v="No"/>
    <x v="1"/>
  </r>
  <r>
    <n v="0"/>
    <x v="0"/>
    <n v="2"/>
    <x v="2"/>
    <s v="male"/>
    <x v="0"/>
    <n v="35"/>
    <n v="0"/>
    <n v="0"/>
    <n v="10.5"/>
    <s v="Second"/>
    <s v="man"/>
    <x v="0"/>
    <x v="0"/>
    <x v="0"/>
    <s v="no"/>
    <s v="No"/>
    <x v="1"/>
  </r>
  <r>
    <n v="0"/>
    <x v="0"/>
    <n v="3"/>
    <x v="0"/>
    <s v="female"/>
    <x v="1"/>
    <n v="6"/>
    <n v="4"/>
    <n v="2"/>
    <n v="31.274999999999999"/>
    <s v="Third"/>
    <s v="child"/>
    <x v="2"/>
    <x v="1"/>
    <x v="0"/>
    <s v="no"/>
    <s v="No"/>
    <x v="0"/>
  </r>
  <r>
    <n v="0"/>
    <x v="0"/>
    <n v="3"/>
    <x v="0"/>
    <s v="male"/>
    <x v="0"/>
    <n v="30.5"/>
    <n v="0"/>
    <n v="0"/>
    <n v="8.0500000000000007"/>
    <s v="Third"/>
    <s v="man"/>
    <x v="0"/>
    <x v="0"/>
    <x v="0"/>
    <s v="no"/>
    <s v="No"/>
    <x v="1"/>
  </r>
  <r>
    <n v="0"/>
    <x v="0"/>
    <n v="1"/>
    <x v="1"/>
    <s v="male"/>
    <x v="0"/>
    <n v="30"/>
    <n v="0"/>
    <n v="0"/>
    <n v="0"/>
    <s v="First"/>
    <s v="man"/>
    <x v="0"/>
    <x v="0"/>
    <x v="0"/>
    <s v="no"/>
    <s v="No"/>
    <x v="1"/>
  </r>
  <r>
    <n v="0"/>
    <x v="0"/>
    <n v="3"/>
    <x v="0"/>
    <s v="female"/>
    <x v="1"/>
    <n v="23"/>
    <n v="0"/>
    <n v="0"/>
    <n v="7.9249999999999998"/>
    <s v="Third"/>
    <s v="woman"/>
    <x v="1"/>
    <x v="1"/>
    <x v="0"/>
    <s v="no"/>
    <s v="No"/>
    <x v="1"/>
  </r>
  <r>
    <n v="0"/>
    <x v="0"/>
    <n v="2"/>
    <x v="2"/>
    <s v="male"/>
    <x v="0"/>
    <n v="31"/>
    <n v="1"/>
    <n v="1"/>
    <n v="37.004199999999997"/>
    <s v="Second"/>
    <s v="man"/>
    <x v="0"/>
    <x v="0"/>
    <x v="1"/>
    <s v="no"/>
    <s v="No"/>
    <x v="0"/>
  </r>
  <r>
    <n v="0"/>
    <x v="0"/>
    <n v="3"/>
    <x v="0"/>
    <s v="male"/>
    <x v="0"/>
    <n v="43"/>
    <n v="0"/>
    <n v="0"/>
    <n v="6.45"/>
    <s v="Third"/>
    <s v="man"/>
    <x v="0"/>
    <x v="0"/>
    <x v="0"/>
    <s v="no"/>
    <s v="No"/>
    <x v="1"/>
  </r>
  <r>
    <n v="0"/>
    <x v="0"/>
    <n v="3"/>
    <x v="0"/>
    <s v="male"/>
    <x v="0"/>
    <n v="10"/>
    <n v="3"/>
    <n v="2"/>
    <n v="27.9"/>
    <s v="Third"/>
    <s v="child"/>
    <x v="2"/>
    <x v="1"/>
    <x v="0"/>
    <s v="no"/>
    <s v="No"/>
    <x v="0"/>
  </r>
  <r>
    <n v="1"/>
    <x v="1"/>
    <n v="1"/>
    <x v="1"/>
    <s v="female"/>
    <x v="1"/>
    <n v="52"/>
    <n v="1"/>
    <n v="1"/>
    <n v="93.5"/>
    <s v="First"/>
    <s v="woman"/>
    <x v="1"/>
    <x v="1"/>
    <x v="0"/>
    <s v="yes"/>
    <s v="Yes"/>
    <x v="0"/>
  </r>
  <r>
    <n v="1"/>
    <x v="1"/>
    <n v="3"/>
    <x v="0"/>
    <s v="male"/>
    <x v="0"/>
    <n v="27"/>
    <n v="0"/>
    <n v="0"/>
    <n v="8.6624999999999996"/>
    <s v="Third"/>
    <s v="man"/>
    <x v="0"/>
    <x v="0"/>
    <x v="0"/>
    <s v="yes"/>
    <s v="Yes"/>
    <x v="1"/>
  </r>
  <r>
    <n v="0"/>
    <x v="0"/>
    <n v="1"/>
    <x v="1"/>
    <s v="male"/>
    <x v="0"/>
    <n v="38"/>
    <n v="0"/>
    <n v="0"/>
    <n v="0"/>
    <s v="First"/>
    <s v="man"/>
    <x v="0"/>
    <x v="0"/>
    <x v="0"/>
    <s v="no"/>
    <s v="No"/>
    <x v="1"/>
  </r>
  <r>
    <n v="1"/>
    <x v="1"/>
    <n v="3"/>
    <x v="0"/>
    <s v="female"/>
    <x v="1"/>
    <n v="27"/>
    <n v="0"/>
    <n v="1"/>
    <n v="12.475"/>
    <s v="Third"/>
    <s v="woman"/>
    <x v="1"/>
    <x v="1"/>
    <x v="0"/>
    <s v="yes"/>
    <s v="Yes"/>
    <x v="0"/>
  </r>
  <r>
    <n v="0"/>
    <x v="0"/>
    <n v="3"/>
    <x v="0"/>
    <s v="male"/>
    <x v="0"/>
    <n v="2"/>
    <n v="4"/>
    <n v="1"/>
    <n v="39.6875"/>
    <s v="Third"/>
    <s v="child"/>
    <x v="2"/>
    <x v="1"/>
    <x v="0"/>
    <s v="no"/>
    <s v="No"/>
    <x v="0"/>
  </r>
  <r>
    <n v="0"/>
    <x v="0"/>
    <n v="3"/>
    <x v="0"/>
    <s v="male"/>
    <x v="0"/>
    <n v="30"/>
    <n v="0"/>
    <n v="0"/>
    <n v="6.95"/>
    <s v="Third"/>
    <s v="man"/>
    <x v="0"/>
    <x v="0"/>
    <x v="2"/>
    <s v="no"/>
    <s v="No"/>
    <x v="1"/>
  </r>
  <r>
    <n v="0"/>
    <x v="0"/>
    <n v="3"/>
    <x v="0"/>
    <s v="male"/>
    <x v="0"/>
    <n v="30"/>
    <n v="0"/>
    <n v="0"/>
    <n v="56.495800000000003"/>
    <s v="Third"/>
    <s v="man"/>
    <x v="0"/>
    <x v="0"/>
    <x v="0"/>
    <s v="no"/>
    <s v="No"/>
    <x v="1"/>
  </r>
  <r>
    <n v="1"/>
    <x v="1"/>
    <n v="2"/>
    <x v="2"/>
    <s v="male"/>
    <x v="0"/>
    <n v="1"/>
    <n v="0"/>
    <n v="2"/>
    <n v="37.004199999999997"/>
    <s v="Second"/>
    <s v="child"/>
    <x v="2"/>
    <x v="1"/>
    <x v="1"/>
    <s v="yes"/>
    <s v="Yes"/>
    <x v="0"/>
  </r>
  <r>
    <n v="1"/>
    <x v="1"/>
    <n v="3"/>
    <x v="0"/>
    <s v="male"/>
    <x v="0"/>
    <n v="30"/>
    <n v="0"/>
    <n v="0"/>
    <n v="7.75"/>
    <s v="Third"/>
    <s v="man"/>
    <x v="0"/>
    <x v="0"/>
    <x v="2"/>
    <s v="yes"/>
    <s v="Yes"/>
    <x v="1"/>
  </r>
  <r>
    <n v="1"/>
    <x v="1"/>
    <n v="1"/>
    <x v="1"/>
    <s v="female"/>
    <x v="1"/>
    <n v="62"/>
    <n v="0"/>
    <n v="0"/>
    <n v="80"/>
    <s v="First"/>
    <s v="woman"/>
    <x v="1"/>
    <x v="1"/>
    <x v="0"/>
    <s v="yes"/>
    <s v="Yes"/>
    <x v="1"/>
  </r>
  <r>
    <n v="1"/>
    <x v="1"/>
    <n v="3"/>
    <x v="0"/>
    <s v="female"/>
    <x v="1"/>
    <n v="15"/>
    <n v="1"/>
    <n v="0"/>
    <n v="14.4542"/>
    <s v="Third"/>
    <s v="child"/>
    <x v="2"/>
    <x v="1"/>
    <x v="1"/>
    <s v="yes"/>
    <s v="Yes"/>
    <x v="0"/>
  </r>
  <r>
    <n v="1"/>
    <x v="1"/>
    <n v="2"/>
    <x v="2"/>
    <s v="male"/>
    <x v="0"/>
    <n v="0.83"/>
    <n v="1"/>
    <n v="1"/>
    <n v="18.75"/>
    <s v="Second"/>
    <s v="child"/>
    <x v="2"/>
    <x v="1"/>
    <x v="0"/>
    <s v="yes"/>
    <s v="Yes"/>
    <x v="0"/>
  </r>
  <r>
    <n v="0"/>
    <x v="0"/>
    <n v="3"/>
    <x v="0"/>
    <s v="male"/>
    <x v="0"/>
    <n v="30"/>
    <n v="0"/>
    <n v="0"/>
    <n v="7.2291999999999996"/>
    <s v="Third"/>
    <s v="man"/>
    <x v="0"/>
    <x v="0"/>
    <x v="1"/>
    <s v="no"/>
    <s v="No"/>
    <x v="1"/>
  </r>
  <r>
    <n v="0"/>
    <x v="0"/>
    <n v="3"/>
    <x v="0"/>
    <s v="male"/>
    <x v="0"/>
    <n v="23"/>
    <n v="0"/>
    <n v="0"/>
    <n v="7.8541999999999996"/>
    <s v="Third"/>
    <s v="man"/>
    <x v="0"/>
    <x v="0"/>
    <x v="0"/>
    <s v="no"/>
    <s v="No"/>
    <x v="1"/>
  </r>
  <r>
    <n v="0"/>
    <x v="0"/>
    <n v="3"/>
    <x v="0"/>
    <s v="male"/>
    <x v="0"/>
    <n v="18"/>
    <n v="0"/>
    <n v="0"/>
    <n v="8.3000000000000007"/>
    <s v="Third"/>
    <s v="man"/>
    <x v="0"/>
    <x v="0"/>
    <x v="0"/>
    <s v="no"/>
    <s v="No"/>
    <x v="1"/>
  </r>
  <r>
    <n v="1"/>
    <x v="1"/>
    <n v="1"/>
    <x v="1"/>
    <s v="female"/>
    <x v="1"/>
    <n v="39"/>
    <n v="1"/>
    <n v="1"/>
    <n v="83.158299999999997"/>
    <s v="First"/>
    <s v="woman"/>
    <x v="1"/>
    <x v="1"/>
    <x v="1"/>
    <s v="yes"/>
    <s v="Yes"/>
    <x v="0"/>
  </r>
  <r>
    <n v="0"/>
    <x v="0"/>
    <n v="3"/>
    <x v="0"/>
    <s v="male"/>
    <x v="0"/>
    <n v="21"/>
    <n v="0"/>
    <n v="0"/>
    <n v="8.6624999999999996"/>
    <s v="Third"/>
    <s v="man"/>
    <x v="0"/>
    <x v="0"/>
    <x v="0"/>
    <s v="no"/>
    <s v="No"/>
    <x v="1"/>
  </r>
  <r>
    <n v="0"/>
    <x v="0"/>
    <n v="3"/>
    <x v="0"/>
    <s v="male"/>
    <x v="0"/>
    <n v="30"/>
    <n v="0"/>
    <n v="0"/>
    <n v="8.0500000000000007"/>
    <s v="Third"/>
    <s v="man"/>
    <x v="0"/>
    <x v="0"/>
    <x v="0"/>
    <s v="no"/>
    <s v="No"/>
    <x v="1"/>
  </r>
  <r>
    <n v="1"/>
    <x v="1"/>
    <n v="3"/>
    <x v="0"/>
    <s v="male"/>
    <x v="0"/>
    <n v="32"/>
    <n v="0"/>
    <n v="0"/>
    <n v="56.495800000000003"/>
    <s v="Third"/>
    <s v="man"/>
    <x v="0"/>
    <x v="0"/>
    <x v="0"/>
    <s v="yes"/>
    <s v="Yes"/>
    <x v="1"/>
  </r>
  <r>
    <n v="1"/>
    <x v="1"/>
    <n v="1"/>
    <x v="1"/>
    <s v="male"/>
    <x v="0"/>
    <n v="30"/>
    <n v="0"/>
    <n v="0"/>
    <n v="29.7"/>
    <s v="First"/>
    <s v="man"/>
    <x v="0"/>
    <x v="0"/>
    <x v="1"/>
    <s v="yes"/>
    <s v="Yes"/>
    <x v="1"/>
  </r>
  <r>
    <n v="0"/>
    <x v="0"/>
    <n v="3"/>
    <x v="0"/>
    <s v="male"/>
    <x v="0"/>
    <n v="20"/>
    <n v="0"/>
    <n v="0"/>
    <n v="7.9249999999999998"/>
    <s v="Third"/>
    <s v="man"/>
    <x v="0"/>
    <x v="0"/>
    <x v="0"/>
    <s v="no"/>
    <s v="No"/>
    <x v="1"/>
  </r>
  <r>
    <n v="0"/>
    <x v="0"/>
    <n v="2"/>
    <x v="2"/>
    <s v="male"/>
    <x v="0"/>
    <n v="16"/>
    <n v="0"/>
    <n v="0"/>
    <n v="10.5"/>
    <s v="Second"/>
    <s v="man"/>
    <x v="0"/>
    <x v="0"/>
    <x v="0"/>
    <s v="no"/>
    <s v="No"/>
    <x v="1"/>
  </r>
  <r>
    <n v="1"/>
    <x v="1"/>
    <n v="1"/>
    <x v="1"/>
    <s v="female"/>
    <x v="1"/>
    <n v="30"/>
    <n v="0"/>
    <n v="0"/>
    <n v="31"/>
    <s v="First"/>
    <s v="woman"/>
    <x v="1"/>
    <x v="1"/>
    <x v="1"/>
    <s v="yes"/>
    <s v="Yes"/>
    <x v="1"/>
  </r>
  <r>
    <n v="0"/>
    <x v="0"/>
    <n v="3"/>
    <x v="0"/>
    <s v="male"/>
    <x v="0"/>
    <n v="34.5"/>
    <n v="0"/>
    <n v="0"/>
    <n v="6.4375"/>
    <s v="Third"/>
    <s v="man"/>
    <x v="0"/>
    <x v="0"/>
    <x v="1"/>
    <s v="no"/>
    <s v="No"/>
    <x v="1"/>
  </r>
  <r>
    <n v="0"/>
    <x v="0"/>
    <n v="3"/>
    <x v="0"/>
    <s v="male"/>
    <x v="0"/>
    <n v="17"/>
    <n v="0"/>
    <n v="0"/>
    <n v="8.6624999999999996"/>
    <s v="Third"/>
    <s v="man"/>
    <x v="0"/>
    <x v="0"/>
    <x v="0"/>
    <s v="no"/>
    <s v="No"/>
    <x v="1"/>
  </r>
  <r>
    <n v="0"/>
    <x v="0"/>
    <n v="3"/>
    <x v="0"/>
    <s v="male"/>
    <x v="0"/>
    <n v="42"/>
    <n v="0"/>
    <n v="0"/>
    <n v="7.55"/>
    <s v="Third"/>
    <s v="man"/>
    <x v="0"/>
    <x v="0"/>
    <x v="0"/>
    <s v="no"/>
    <s v="No"/>
    <x v="1"/>
  </r>
  <r>
    <n v="0"/>
    <x v="0"/>
    <n v="3"/>
    <x v="0"/>
    <s v="male"/>
    <x v="0"/>
    <n v="30"/>
    <n v="8"/>
    <n v="2"/>
    <n v="69.55"/>
    <s v="Third"/>
    <s v="man"/>
    <x v="0"/>
    <x v="0"/>
    <x v="0"/>
    <s v="no"/>
    <s v="No"/>
    <x v="0"/>
  </r>
  <r>
    <n v="0"/>
    <x v="0"/>
    <n v="3"/>
    <x v="0"/>
    <s v="male"/>
    <x v="0"/>
    <n v="35"/>
    <n v="0"/>
    <n v="0"/>
    <n v="7.8958000000000004"/>
    <s v="Third"/>
    <s v="man"/>
    <x v="0"/>
    <x v="0"/>
    <x v="1"/>
    <s v="no"/>
    <s v="No"/>
    <x v="1"/>
  </r>
  <r>
    <n v="0"/>
    <x v="0"/>
    <n v="2"/>
    <x v="2"/>
    <s v="male"/>
    <x v="0"/>
    <n v="28"/>
    <n v="0"/>
    <n v="1"/>
    <n v="33"/>
    <s v="Second"/>
    <s v="man"/>
    <x v="0"/>
    <x v="0"/>
    <x v="0"/>
    <s v="no"/>
    <s v="No"/>
    <x v="0"/>
  </r>
  <r>
    <n v="1"/>
    <x v="1"/>
    <n v="1"/>
    <x v="1"/>
    <s v="female"/>
    <x v="1"/>
    <n v="30"/>
    <n v="1"/>
    <n v="0"/>
    <n v="89.104200000000006"/>
    <s v="First"/>
    <s v="woman"/>
    <x v="1"/>
    <x v="1"/>
    <x v="1"/>
    <s v="yes"/>
    <s v="Yes"/>
    <x v="0"/>
  </r>
  <r>
    <n v="0"/>
    <x v="0"/>
    <n v="3"/>
    <x v="0"/>
    <s v="male"/>
    <x v="0"/>
    <n v="4"/>
    <n v="4"/>
    <n v="2"/>
    <n v="31.274999999999999"/>
    <s v="Third"/>
    <s v="child"/>
    <x v="2"/>
    <x v="1"/>
    <x v="0"/>
    <s v="no"/>
    <s v="No"/>
    <x v="0"/>
  </r>
  <r>
    <n v="0"/>
    <x v="0"/>
    <n v="3"/>
    <x v="0"/>
    <s v="male"/>
    <x v="0"/>
    <n v="74"/>
    <n v="0"/>
    <n v="0"/>
    <n v="7.7750000000000004"/>
    <s v="Third"/>
    <s v="man"/>
    <x v="0"/>
    <x v="0"/>
    <x v="0"/>
    <s v="no"/>
    <s v="No"/>
    <x v="1"/>
  </r>
  <r>
    <n v="0"/>
    <x v="0"/>
    <n v="3"/>
    <x v="0"/>
    <s v="female"/>
    <x v="1"/>
    <n v="9"/>
    <n v="1"/>
    <n v="1"/>
    <n v="15.245799999999999"/>
    <s v="Third"/>
    <s v="child"/>
    <x v="2"/>
    <x v="1"/>
    <x v="1"/>
    <s v="no"/>
    <s v="No"/>
    <x v="0"/>
  </r>
  <r>
    <n v="1"/>
    <x v="1"/>
    <n v="1"/>
    <x v="1"/>
    <s v="female"/>
    <x v="1"/>
    <n v="16"/>
    <n v="0"/>
    <n v="1"/>
    <n v="39.4"/>
    <s v="First"/>
    <s v="woman"/>
    <x v="1"/>
    <x v="1"/>
    <x v="0"/>
    <s v="yes"/>
    <s v="Yes"/>
    <x v="0"/>
  </r>
  <r>
    <n v="0"/>
    <x v="0"/>
    <n v="2"/>
    <x v="2"/>
    <s v="female"/>
    <x v="1"/>
    <n v="44"/>
    <n v="1"/>
    <n v="0"/>
    <n v="26"/>
    <s v="Second"/>
    <s v="woman"/>
    <x v="1"/>
    <x v="1"/>
    <x v="0"/>
    <s v="no"/>
    <s v="No"/>
    <x v="0"/>
  </r>
  <r>
    <n v="1"/>
    <x v="1"/>
    <n v="3"/>
    <x v="0"/>
    <s v="female"/>
    <x v="1"/>
    <n v="18"/>
    <n v="0"/>
    <n v="1"/>
    <n v="9.35"/>
    <s v="Third"/>
    <s v="woman"/>
    <x v="1"/>
    <x v="1"/>
    <x v="0"/>
    <s v="yes"/>
    <s v="Yes"/>
    <x v="0"/>
  </r>
  <r>
    <n v="1"/>
    <x v="1"/>
    <n v="1"/>
    <x v="1"/>
    <s v="female"/>
    <x v="1"/>
    <n v="45"/>
    <n v="1"/>
    <n v="1"/>
    <n v="164.86670000000001"/>
    <s v="First"/>
    <s v="woman"/>
    <x v="1"/>
    <x v="1"/>
    <x v="0"/>
    <s v="yes"/>
    <s v="Yes"/>
    <x v="0"/>
  </r>
  <r>
    <n v="1"/>
    <x v="1"/>
    <n v="1"/>
    <x v="1"/>
    <s v="male"/>
    <x v="0"/>
    <n v="51"/>
    <n v="0"/>
    <n v="0"/>
    <n v="26.55"/>
    <s v="First"/>
    <s v="man"/>
    <x v="0"/>
    <x v="0"/>
    <x v="0"/>
    <s v="yes"/>
    <s v="Yes"/>
    <x v="1"/>
  </r>
  <r>
    <n v="1"/>
    <x v="1"/>
    <n v="3"/>
    <x v="0"/>
    <s v="female"/>
    <x v="1"/>
    <n v="24"/>
    <n v="0"/>
    <n v="3"/>
    <n v="19.258299999999998"/>
    <s v="Third"/>
    <s v="woman"/>
    <x v="1"/>
    <x v="1"/>
    <x v="1"/>
    <s v="yes"/>
    <s v="Yes"/>
    <x v="0"/>
  </r>
  <r>
    <n v="0"/>
    <x v="0"/>
    <n v="3"/>
    <x v="0"/>
    <s v="male"/>
    <x v="0"/>
    <n v="30"/>
    <n v="0"/>
    <n v="0"/>
    <n v="7.2291999999999996"/>
    <s v="Third"/>
    <s v="man"/>
    <x v="0"/>
    <x v="0"/>
    <x v="1"/>
    <s v="no"/>
    <s v="No"/>
    <x v="1"/>
  </r>
  <r>
    <n v="0"/>
    <x v="0"/>
    <n v="3"/>
    <x v="0"/>
    <s v="male"/>
    <x v="0"/>
    <n v="41"/>
    <n v="2"/>
    <n v="0"/>
    <n v="14.1083"/>
    <s v="Third"/>
    <s v="man"/>
    <x v="0"/>
    <x v="0"/>
    <x v="0"/>
    <s v="no"/>
    <s v="No"/>
    <x v="0"/>
  </r>
  <r>
    <n v="0"/>
    <x v="0"/>
    <n v="2"/>
    <x v="2"/>
    <s v="male"/>
    <x v="0"/>
    <n v="21"/>
    <n v="1"/>
    <n v="0"/>
    <n v="11.5"/>
    <s v="Second"/>
    <s v="man"/>
    <x v="0"/>
    <x v="0"/>
    <x v="0"/>
    <s v="no"/>
    <s v="No"/>
    <x v="0"/>
  </r>
  <r>
    <n v="1"/>
    <x v="1"/>
    <n v="1"/>
    <x v="1"/>
    <s v="female"/>
    <x v="1"/>
    <n v="48"/>
    <n v="0"/>
    <n v="0"/>
    <n v="25.929200000000002"/>
    <s v="First"/>
    <s v="woman"/>
    <x v="1"/>
    <x v="1"/>
    <x v="0"/>
    <s v="yes"/>
    <s v="Yes"/>
    <x v="1"/>
  </r>
  <r>
    <n v="0"/>
    <x v="0"/>
    <n v="3"/>
    <x v="0"/>
    <s v="female"/>
    <x v="1"/>
    <n v="30"/>
    <n v="8"/>
    <n v="2"/>
    <n v="69.55"/>
    <s v="Third"/>
    <s v="woman"/>
    <x v="1"/>
    <x v="1"/>
    <x v="0"/>
    <s v="no"/>
    <s v="No"/>
    <x v="0"/>
  </r>
  <r>
    <n v="0"/>
    <x v="0"/>
    <n v="2"/>
    <x v="2"/>
    <s v="male"/>
    <x v="0"/>
    <n v="24"/>
    <n v="0"/>
    <n v="0"/>
    <n v="13"/>
    <s v="Second"/>
    <s v="man"/>
    <x v="0"/>
    <x v="0"/>
    <x v="0"/>
    <s v="no"/>
    <s v="No"/>
    <x v="1"/>
  </r>
  <r>
    <n v="1"/>
    <x v="1"/>
    <n v="2"/>
    <x v="2"/>
    <s v="female"/>
    <x v="1"/>
    <n v="42"/>
    <n v="0"/>
    <n v="0"/>
    <n v="13"/>
    <s v="Second"/>
    <s v="woman"/>
    <x v="1"/>
    <x v="1"/>
    <x v="0"/>
    <s v="yes"/>
    <s v="Yes"/>
    <x v="1"/>
  </r>
  <r>
    <n v="1"/>
    <x v="1"/>
    <n v="2"/>
    <x v="2"/>
    <s v="female"/>
    <x v="1"/>
    <n v="27"/>
    <n v="1"/>
    <n v="0"/>
    <n v="13.8583"/>
    <s v="Second"/>
    <s v="woman"/>
    <x v="1"/>
    <x v="1"/>
    <x v="1"/>
    <s v="yes"/>
    <s v="Yes"/>
    <x v="0"/>
  </r>
  <r>
    <n v="0"/>
    <x v="0"/>
    <n v="1"/>
    <x v="1"/>
    <s v="male"/>
    <x v="0"/>
    <n v="31"/>
    <n v="0"/>
    <n v="0"/>
    <n v="50.495800000000003"/>
    <s v="First"/>
    <s v="man"/>
    <x v="0"/>
    <x v="0"/>
    <x v="0"/>
    <s v="no"/>
    <s v="No"/>
    <x v="1"/>
  </r>
  <r>
    <n v="0"/>
    <x v="0"/>
    <n v="3"/>
    <x v="0"/>
    <s v="male"/>
    <x v="0"/>
    <n v="30"/>
    <n v="0"/>
    <n v="0"/>
    <n v="9.5"/>
    <s v="Third"/>
    <s v="man"/>
    <x v="0"/>
    <x v="0"/>
    <x v="0"/>
    <s v="no"/>
    <s v="No"/>
    <x v="1"/>
  </r>
  <r>
    <n v="1"/>
    <x v="1"/>
    <n v="3"/>
    <x v="0"/>
    <s v="male"/>
    <x v="0"/>
    <n v="4"/>
    <n v="1"/>
    <n v="1"/>
    <n v="11.1333"/>
    <s v="Third"/>
    <s v="child"/>
    <x v="2"/>
    <x v="1"/>
    <x v="0"/>
    <s v="yes"/>
    <s v="Yes"/>
    <x v="0"/>
  </r>
  <r>
    <n v="0"/>
    <x v="0"/>
    <n v="3"/>
    <x v="0"/>
    <s v="male"/>
    <x v="0"/>
    <n v="26"/>
    <n v="0"/>
    <n v="0"/>
    <n v="7.8958000000000004"/>
    <s v="Third"/>
    <s v="man"/>
    <x v="0"/>
    <x v="0"/>
    <x v="0"/>
    <s v="no"/>
    <s v="No"/>
    <x v="1"/>
  </r>
  <r>
    <n v="1"/>
    <x v="1"/>
    <n v="1"/>
    <x v="1"/>
    <s v="female"/>
    <x v="1"/>
    <n v="47"/>
    <n v="1"/>
    <n v="1"/>
    <n v="52.554200000000002"/>
    <s v="First"/>
    <s v="woman"/>
    <x v="1"/>
    <x v="1"/>
    <x v="0"/>
    <s v="yes"/>
    <s v="Yes"/>
    <x v="0"/>
  </r>
  <r>
    <n v="0"/>
    <x v="0"/>
    <n v="1"/>
    <x v="1"/>
    <s v="male"/>
    <x v="0"/>
    <n v="33"/>
    <n v="0"/>
    <n v="0"/>
    <n v="5"/>
    <s v="First"/>
    <s v="man"/>
    <x v="0"/>
    <x v="0"/>
    <x v="0"/>
    <s v="no"/>
    <s v="No"/>
    <x v="1"/>
  </r>
  <r>
    <n v="0"/>
    <x v="0"/>
    <n v="3"/>
    <x v="0"/>
    <s v="male"/>
    <x v="0"/>
    <n v="47"/>
    <n v="0"/>
    <n v="0"/>
    <n v="9"/>
    <s v="Third"/>
    <s v="man"/>
    <x v="0"/>
    <x v="0"/>
    <x v="0"/>
    <s v="no"/>
    <s v="No"/>
    <x v="1"/>
  </r>
  <r>
    <n v="1"/>
    <x v="1"/>
    <n v="2"/>
    <x v="2"/>
    <s v="female"/>
    <x v="1"/>
    <n v="28"/>
    <n v="1"/>
    <n v="0"/>
    <n v="24"/>
    <s v="Second"/>
    <s v="woman"/>
    <x v="1"/>
    <x v="1"/>
    <x v="1"/>
    <s v="yes"/>
    <s v="Yes"/>
    <x v="0"/>
  </r>
  <r>
    <n v="1"/>
    <x v="1"/>
    <n v="3"/>
    <x v="0"/>
    <s v="female"/>
    <x v="1"/>
    <n v="15"/>
    <n v="0"/>
    <n v="0"/>
    <n v="7.2249999999999996"/>
    <s v="Third"/>
    <s v="child"/>
    <x v="2"/>
    <x v="1"/>
    <x v="1"/>
    <s v="yes"/>
    <s v="Yes"/>
    <x v="1"/>
  </r>
  <r>
    <n v="0"/>
    <x v="0"/>
    <n v="3"/>
    <x v="0"/>
    <s v="male"/>
    <x v="0"/>
    <n v="20"/>
    <n v="0"/>
    <n v="0"/>
    <n v="9.8458000000000006"/>
    <s v="Third"/>
    <s v="man"/>
    <x v="0"/>
    <x v="0"/>
    <x v="0"/>
    <s v="no"/>
    <s v="No"/>
    <x v="1"/>
  </r>
  <r>
    <n v="0"/>
    <x v="0"/>
    <n v="3"/>
    <x v="0"/>
    <s v="male"/>
    <x v="0"/>
    <n v="19"/>
    <n v="0"/>
    <n v="0"/>
    <n v="7.8958000000000004"/>
    <s v="Third"/>
    <s v="man"/>
    <x v="0"/>
    <x v="0"/>
    <x v="0"/>
    <s v="no"/>
    <s v="No"/>
    <x v="1"/>
  </r>
  <r>
    <n v="0"/>
    <x v="0"/>
    <n v="3"/>
    <x v="0"/>
    <s v="male"/>
    <x v="0"/>
    <n v="30"/>
    <n v="0"/>
    <n v="0"/>
    <n v="7.8958000000000004"/>
    <s v="Third"/>
    <s v="man"/>
    <x v="0"/>
    <x v="0"/>
    <x v="0"/>
    <s v="no"/>
    <s v="No"/>
    <x v="1"/>
  </r>
  <r>
    <n v="1"/>
    <x v="1"/>
    <n v="1"/>
    <x v="1"/>
    <s v="female"/>
    <x v="1"/>
    <n v="56"/>
    <n v="0"/>
    <n v="1"/>
    <n v="83.158299999999997"/>
    <s v="First"/>
    <s v="woman"/>
    <x v="1"/>
    <x v="1"/>
    <x v="1"/>
    <s v="yes"/>
    <s v="Yes"/>
    <x v="0"/>
  </r>
  <r>
    <n v="1"/>
    <x v="1"/>
    <n v="2"/>
    <x v="2"/>
    <s v="female"/>
    <x v="1"/>
    <n v="25"/>
    <n v="0"/>
    <n v="1"/>
    <n v="26"/>
    <s v="Second"/>
    <s v="woman"/>
    <x v="1"/>
    <x v="1"/>
    <x v="0"/>
    <s v="yes"/>
    <s v="Yes"/>
    <x v="0"/>
  </r>
  <r>
    <n v="0"/>
    <x v="0"/>
    <n v="3"/>
    <x v="0"/>
    <s v="male"/>
    <x v="0"/>
    <n v="33"/>
    <n v="0"/>
    <n v="0"/>
    <n v="7.8958000000000004"/>
    <s v="Third"/>
    <s v="man"/>
    <x v="0"/>
    <x v="0"/>
    <x v="0"/>
    <s v="no"/>
    <s v="No"/>
    <x v="1"/>
  </r>
  <r>
    <n v="0"/>
    <x v="0"/>
    <n v="3"/>
    <x v="0"/>
    <s v="female"/>
    <x v="1"/>
    <n v="22"/>
    <n v="0"/>
    <n v="0"/>
    <n v="10.5167"/>
    <s v="Third"/>
    <s v="woman"/>
    <x v="1"/>
    <x v="1"/>
    <x v="0"/>
    <s v="no"/>
    <s v="No"/>
    <x v="1"/>
  </r>
  <r>
    <n v="0"/>
    <x v="0"/>
    <n v="2"/>
    <x v="2"/>
    <s v="male"/>
    <x v="0"/>
    <n v="28"/>
    <n v="0"/>
    <n v="0"/>
    <n v="10.5"/>
    <s v="Second"/>
    <s v="man"/>
    <x v="0"/>
    <x v="0"/>
    <x v="0"/>
    <s v="no"/>
    <s v="No"/>
    <x v="1"/>
  </r>
  <r>
    <n v="0"/>
    <x v="0"/>
    <n v="3"/>
    <x v="0"/>
    <s v="male"/>
    <x v="0"/>
    <n v="25"/>
    <n v="0"/>
    <n v="0"/>
    <n v="7.05"/>
    <s v="Third"/>
    <s v="man"/>
    <x v="0"/>
    <x v="0"/>
    <x v="0"/>
    <s v="no"/>
    <s v="No"/>
    <x v="1"/>
  </r>
  <r>
    <n v="0"/>
    <x v="0"/>
    <n v="3"/>
    <x v="0"/>
    <s v="female"/>
    <x v="1"/>
    <n v="39"/>
    <n v="0"/>
    <n v="5"/>
    <n v="29.125"/>
    <s v="Third"/>
    <s v="woman"/>
    <x v="1"/>
    <x v="1"/>
    <x v="2"/>
    <s v="no"/>
    <s v="No"/>
    <x v="0"/>
  </r>
  <r>
    <n v="0"/>
    <x v="0"/>
    <n v="2"/>
    <x v="2"/>
    <s v="male"/>
    <x v="0"/>
    <n v="27"/>
    <n v="0"/>
    <n v="0"/>
    <n v="13"/>
    <s v="Second"/>
    <s v="man"/>
    <x v="0"/>
    <x v="0"/>
    <x v="0"/>
    <s v="no"/>
    <s v="No"/>
    <x v="1"/>
  </r>
  <r>
    <n v="1"/>
    <x v="1"/>
    <n v="1"/>
    <x v="1"/>
    <s v="female"/>
    <x v="1"/>
    <n v="19"/>
    <n v="0"/>
    <n v="0"/>
    <n v="30"/>
    <s v="First"/>
    <s v="woman"/>
    <x v="1"/>
    <x v="1"/>
    <x v="0"/>
    <s v="yes"/>
    <s v="Yes"/>
    <x v="1"/>
  </r>
  <r>
    <n v="0"/>
    <x v="0"/>
    <n v="3"/>
    <x v="0"/>
    <s v="female"/>
    <x v="1"/>
    <n v="30"/>
    <n v="1"/>
    <n v="2"/>
    <n v="23.45"/>
    <s v="Third"/>
    <s v="woman"/>
    <x v="1"/>
    <x v="1"/>
    <x v="0"/>
    <s v="no"/>
    <s v="No"/>
    <x v="0"/>
  </r>
  <r>
    <n v="1"/>
    <x v="1"/>
    <n v="1"/>
    <x v="1"/>
    <s v="male"/>
    <x v="0"/>
    <n v="26"/>
    <n v="0"/>
    <n v="0"/>
    <n v="30"/>
    <s v="First"/>
    <s v="man"/>
    <x v="0"/>
    <x v="0"/>
    <x v="1"/>
    <s v="yes"/>
    <s v="Yes"/>
    <x v="1"/>
  </r>
  <r>
    <n v="0"/>
    <x v="0"/>
    <n v="3"/>
    <x v="0"/>
    <s v="male"/>
    <x v="0"/>
    <n v="32"/>
    <n v="0"/>
    <n v="0"/>
    <n v="7.75"/>
    <s v="Third"/>
    <s v="man"/>
    <x v="0"/>
    <x v="0"/>
    <x v="2"/>
    <s v="no"/>
    <s v="N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2E047-FF8D-4D48-A306-24BD851594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3">
        <item x="0"/>
        <item x="1"/>
        <item t="default"/>
      </items>
    </pivotField>
  </pivotFields>
  <rowItems count="1">
    <i/>
  </rowItems>
  <colItems count="1">
    <i/>
  </colItems>
  <dataFields count="1">
    <dataField name="Count of New_survive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8F670C-19AB-473B-B640-11E2D6F1827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6:B130" firstHeaderRow="1" firstDataRow="1" firstDataCol="1"/>
  <pivotFields count="18">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items count="3">
        <item x="1"/>
        <item x="0"/>
        <item t="default"/>
      </items>
    </pivotField>
    <pivotField showAll="0"/>
    <pivotField showAll="0"/>
    <pivotField showAll="0"/>
    <pivotField showAll="0">
      <items count="3">
        <item x="0"/>
        <item x="1"/>
        <item t="default"/>
      </items>
    </pivotField>
  </pivotFields>
  <rowFields count="1">
    <field x="12"/>
  </rowFields>
  <rowItems count="4">
    <i>
      <x/>
    </i>
    <i>
      <x v="1"/>
    </i>
    <i>
      <x v="2"/>
    </i>
    <i t="grand">
      <x/>
    </i>
  </rowItems>
  <colItems count="1">
    <i/>
  </colItems>
  <dataFields count="1">
    <dataField name="Count of WHO3" fld="12"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FEF001-23F7-452C-A2FA-5E6554958D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4" firstHeaderRow="1" firstDataRow="1" firstDataCol="1"/>
  <pivotFields count="18">
    <pivotField showAll="0"/>
    <pivotField axis="axisRow" dataField="1" showAll="0">
      <items count="3">
        <item x="0"/>
        <item x="1"/>
        <item t="default"/>
      </items>
    </pivotField>
    <pivotField showAll="0"/>
    <pivotField showAll="0">
      <items count="4">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4">
        <item x="1"/>
        <item h="1" x="2"/>
        <item h="1" x="0"/>
        <item t="default"/>
      </items>
    </pivotField>
    <pivotField showAll="0"/>
    <pivotField showAll="0"/>
    <pivotField showAll="0">
      <items count="3">
        <item x="0"/>
        <item x="1"/>
        <item t="default"/>
      </items>
    </pivotField>
  </pivotFields>
  <rowFields count="1">
    <field x="1"/>
  </rowFields>
  <rowItems count="3">
    <i>
      <x/>
    </i>
    <i>
      <x v="1"/>
    </i>
    <i t="grand">
      <x/>
    </i>
  </rowItems>
  <colItems count="1">
    <i/>
  </colItems>
  <dataFields count="1">
    <dataField name="Count of New_survived" fld="1"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9E694-1FB5-4D19-A49B-D5245E010C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75:E80" firstHeaderRow="1" firstDataRow="2" firstDataCol="1"/>
  <pivotFields count="18">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dataField="1" showAll="0">
      <items count="4">
        <item x="1"/>
        <item x="2"/>
        <item x="0"/>
        <item t="default"/>
      </items>
    </pivotField>
    <pivotField showAll="0"/>
    <pivotField showAll="0"/>
    <pivotField showAll="0">
      <items count="3">
        <item x="0"/>
        <item x="1"/>
        <item t="default"/>
      </items>
    </pivotField>
  </pivotFields>
  <rowFields count="1">
    <field x="14"/>
  </rowFields>
  <rowItems count="4">
    <i>
      <x/>
    </i>
    <i>
      <x v="1"/>
    </i>
    <i>
      <x v="2"/>
    </i>
    <i t="grand">
      <x/>
    </i>
  </rowItems>
  <colFields count="1">
    <field x="1"/>
  </colFields>
  <colItems count="3">
    <i>
      <x/>
    </i>
    <i>
      <x v="1"/>
    </i>
    <i t="grand">
      <x/>
    </i>
  </colItems>
  <dataFields count="1">
    <dataField name="Count of embark_town" fld="14"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18BB70-B06D-431D-9215-DFE4AFA281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26" firstHeaderRow="1" firstDataRow="1" firstDataCol="1"/>
  <pivotFields count="18">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3">
        <item x="0"/>
        <item x="1"/>
        <item t="default"/>
      </items>
    </pivotField>
  </pivotFields>
  <rowFields count="1">
    <field x="5"/>
  </rowFields>
  <rowItems count="3">
    <i>
      <x/>
    </i>
    <i>
      <x v="1"/>
    </i>
    <i t="grand">
      <x/>
    </i>
  </rowItems>
  <colItems count="1">
    <i/>
  </colItems>
  <dataFields count="1">
    <dataField name="Count of Gender " fld="5"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B379AF-943A-4D1E-A3D9-D200FDDBC4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87:C90" firstHeaderRow="1" firstDataRow="1" firstDataCol="1"/>
  <pivotFields count="18">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dataField="1" showAll="0">
      <items count="3">
        <item x="0"/>
        <item x="1"/>
        <item t="default"/>
      </items>
    </pivotField>
  </pivotFields>
  <rowFields count="1">
    <field x="17"/>
  </rowFields>
  <rowItems count="3">
    <i>
      <x/>
    </i>
    <i>
      <x v="1"/>
    </i>
    <i t="grand">
      <x/>
    </i>
  </rowItems>
  <colItems count="1">
    <i/>
  </colItems>
  <dataFields count="1">
    <dataField name="Count of alone" fld="17"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20BC0C-DF60-4003-ABCE-C6675F9999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5" firstHeaderRow="1" firstDataRow="1" firstDataCol="1"/>
  <pivotFields count="18">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dataField="1" showAll="0">
      <items count="4">
        <item x="1"/>
        <item x="2"/>
        <item x="0"/>
        <item t="default"/>
      </items>
    </pivotField>
    <pivotField showAll="0"/>
    <pivotField showAll="0"/>
    <pivotField showAll="0">
      <items count="3">
        <item x="0"/>
        <item x="1"/>
        <item t="default"/>
      </items>
    </pivotField>
  </pivotFields>
  <rowFields count="1">
    <field x="14"/>
  </rowFields>
  <rowItems count="4">
    <i>
      <x/>
    </i>
    <i>
      <x v="1"/>
    </i>
    <i>
      <x v="2"/>
    </i>
    <i t="grand">
      <x/>
    </i>
  </rowItems>
  <colItems count="1">
    <i/>
  </colItems>
  <dataFields count="1">
    <dataField name="Count of embark_tow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D55CCE-012F-4286-85FE-27FB5A816A6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17:E121" firstHeaderRow="1" firstDataRow="2" firstDataCol="1"/>
  <pivotFields count="18">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items count="3">
        <item x="0"/>
        <item x="1"/>
        <item t="default"/>
      </items>
    </pivotField>
  </pivotFields>
  <rowFields count="1">
    <field x="13"/>
  </rowFields>
  <rowItems count="3">
    <i>
      <x/>
    </i>
    <i>
      <x v="1"/>
    </i>
    <i t="grand">
      <x/>
    </i>
  </rowItems>
  <colFields count="1">
    <field x="1"/>
  </colFields>
  <colItems count="3">
    <i>
      <x/>
    </i>
    <i>
      <x v="1"/>
    </i>
    <i t="grand">
      <x/>
    </i>
  </colItems>
  <dataFields count="1">
    <dataField name="Count of adult_male" fld="13" subtotal="count" baseField="0" baseItem="0"/>
  </dataFields>
  <chartFormats count="4">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51EE88-760E-4AB2-9066-A47CA12D98A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8:E102" firstHeaderRow="1" firstDataRow="2" firstDataCol="1"/>
  <pivotFields count="18">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dataField="1" showAll="0">
      <items count="3">
        <item x="0"/>
        <item x="1"/>
        <item t="default"/>
      </items>
    </pivotField>
  </pivotFields>
  <rowFields count="1">
    <field x="17"/>
  </rowFields>
  <rowItems count="3">
    <i>
      <x/>
    </i>
    <i>
      <x v="1"/>
    </i>
    <i t="grand">
      <x/>
    </i>
  </rowItems>
  <colFields count="1">
    <field x="1"/>
  </colFields>
  <colItems count="3">
    <i>
      <x/>
    </i>
    <i>
      <x v="1"/>
    </i>
    <i t="grand">
      <x/>
    </i>
  </colItems>
  <dataFields count="1">
    <dataField name="Count of alone"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38C608-FB59-47A5-87E7-255E1D59885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9:B112" firstHeaderRow="1" firstDataRow="1" firstDataCol="1"/>
  <pivotFields count="18">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items count="3">
        <item x="0"/>
        <item x="1"/>
        <item t="default"/>
      </items>
    </pivotField>
  </pivotFields>
  <rowFields count="1">
    <field x="13"/>
  </rowFields>
  <rowItems count="3">
    <i>
      <x/>
    </i>
    <i>
      <x v="1"/>
    </i>
    <i t="grand">
      <x/>
    </i>
  </rowItems>
  <colItems count="1">
    <i/>
  </colItems>
  <dataFields count="1">
    <dataField name="Count of adult_mal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0BC484-D04D-4FF7-AA38-316EA23FC1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1:E55" firstHeaderRow="1" firstDataRow="2" firstDataCol="1"/>
  <pivotFields count="18">
    <pivotField showAll="0"/>
    <pivotField axis="axisCol" showAll="0">
      <items count="3">
        <item x="0"/>
        <item x="1"/>
        <item t="default"/>
      </items>
    </pivotField>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3">
        <item x="0"/>
        <item x="1"/>
        <item t="default"/>
      </items>
    </pivotField>
  </pivotFields>
  <rowFields count="1">
    <field x="5"/>
  </rowFields>
  <rowItems count="3">
    <i>
      <x/>
    </i>
    <i>
      <x v="1"/>
    </i>
    <i t="grand">
      <x/>
    </i>
  </rowItems>
  <colFields count="1">
    <field x="1"/>
  </colFields>
  <colItems count="3">
    <i>
      <x/>
    </i>
    <i>
      <x v="1"/>
    </i>
    <i t="grand">
      <x/>
    </i>
  </colItems>
  <dataFields count="1">
    <dataField name="Count of Gender "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7434E0-163A-4FC0-B78D-5CB7FB343DB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3:E68" firstHeaderRow="1" firstDataRow="2" firstDataCol="1"/>
  <pivotFields count="18">
    <pivotField showAll="0"/>
    <pivotField axis="axisCol" showAll="0">
      <items count="3">
        <item x="0"/>
        <item x="1"/>
        <item t="default"/>
      </items>
    </pivotField>
    <pivotField showAll="0"/>
    <pivotField axis="axisRow"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3">
        <item x="0"/>
        <item x="1"/>
        <item t="default"/>
      </items>
    </pivotField>
  </pivotFields>
  <rowFields count="1">
    <field x="3"/>
  </rowFields>
  <rowItems count="4">
    <i>
      <x/>
    </i>
    <i>
      <x v="1"/>
    </i>
    <i>
      <x v="2"/>
    </i>
    <i t="grand">
      <x/>
    </i>
  </rowItems>
  <colFields count="1">
    <field x="1"/>
  </colFields>
  <colItems count="3">
    <i>
      <x/>
    </i>
    <i>
      <x v="1"/>
    </i>
    <i t="grand">
      <x/>
    </i>
  </colItems>
  <dataFields count="1">
    <dataField name="Count of PCLASS2"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07A7BF-D415-4946-9BA8-4618959BA2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B35" firstHeaderRow="1" firstDataRow="1" firstDataCol="1"/>
  <pivotFields count="18">
    <pivotField showAll="0"/>
    <pivotField showAll="0">
      <items count="3">
        <item x="0"/>
        <item x="1"/>
        <item t="default"/>
      </items>
    </pivotField>
    <pivotField showAll="0"/>
    <pivotField axis="axisRow"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3">
        <item x="0"/>
        <item x="1"/>
        <item t="default"/>
      </items>
    </pivotField>
  </pivotFields>
  <rowFields count="1">
    <field x="3"/>
  </rowFields>
  <rowItems count="4">
    <i>
      <x/>
    </i>
    <i>
      <x v="1"/>
    </i>
    <i>
      <x v="2"/>
    </i>
    <i t="grand">
      <x/>
    </i>
  </rowItems>
  <colItems count="1">
    <i/>
  </colItems>
  <dataFields count="1">
    <dataField name="Count of PCLASS2" fld="3"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survived" xr10:uid="{33D70476-D931-4231-B715-A07A21A928C7}" sourceName="New_survived">
  <pivotTables>
    <pivotTable tabId="3" name="PivotTable2"/>
    <pivotTable tabId="3" name="PivotTable1"/>
    <pivotTable tabId="3" name="PivotTable10"/>
    <pivotTable tabId="3" name="PivotTable11"/>
    <pivotTable tabId="3" name="PivotTable12"/>
    <pivotTable tabId="3" name="PivotTable13"/>
    <pivotTable tabId="3" name="PivotTable4"/>
    <pivotTable tabId="3" name="PivotTable5"/>
    <pivotTable tabId="3" name="PivotTable6"/>
    <pivotTable tabId="3" name="PivotTable7"/>
    <pivotTable tabId="3" name="PivotTable8"/>
    <pivotTable tabId="3" name="PivotTable9"/>
  </pivotTables>
  <data>
    <tabular pivotCacheId="6208234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ult_male" xr10:uid="{42D0717C-0E43-46BC-956B-831F881FF36B}" sourceName="adult_male">
  <pivotTables>
    <pivotTable tabId="3" name="PivotTable2"/>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s>
  <data>
    <tabular pivotCacheId="62082342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one" xr10:uid="{A3CA276B-5C0A-4C83-B3B6-57B6B375C33D}" sourceName="alone">
  <pivotTables>
    <pivotTable tabId="3" name="PivotTable2"/>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s>
  <data>
    <tabular pivotCacheId="62082342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w_survived" xr10:uid="{396DA4F8-871D-47EB-9698-99B00321F8B3}" cache="Slicer_New_survived" caption="New_survived" style="SlicerStyleLight3 2 2" rowHeight="234950"/>
  <slicer name="adult_male" xr10:uid="{D6CBB71D-C6B0-4F72-AA19-B070A1828853}" cache="Slicer_adult_male" caption="adult_male" style="SlicerStyleLight3 2 2" rowHeight="234950"/>
  <slicer name="alone" xr10:uid="{47F184D0-975C-4E43-8CF8-FBF90126DD68}" cache="Slicer_alone" caption="alone" style="SlicerStyleLight3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922F8D-A37A-491D-89A2-E139CE2BDA0E}" name="Table1" displayName="Table1" ref="A1:R892" totalsRowShown="0">
  <autoFilter ref="A1:R892" xr:uid="{DB922F8D-A37A-491D-89A2-E139CE2BDA0E}"/>
  <tableColumns count="18">
    <tableColumn id="1" xr3:uid="{473E8FEA-CD0A-45C8-9824-79C0ECBFFC7A}" name="survived"/>
    <tableColumn id="2" xr3:uid="{82A6AF7B-7E0C-464F-A6FB-C0804E5BEF90}" name="New_survived"/>
    <tableColumn id="3" xr3:uid="{E5ED7983-7D54-4090-A448-A7AD1EDEDA60}" name="pclass"/>
    <tableColumn id="4" xr3:uid="{EF677972-6A42-47C6-BB88-4C9F4A038CEF}" name="PCLASS2"/>
    <tableColumn id="5" xr3:uid="{F46C47BC-BCE3-47ED-B8F0-4DAD6FC53328}" name="sex"/>
    <tableColumn id="6" xr3:uid="{BDEB03DE-CF59-49B3-925A-4BC12B0C020B}" name="Gender "/>
    <tableColumn id="7" xr3:uid="{6004BE77-E699-450E-AB1C-8DB358B14397}" name="age"/>
    <tableColumn id="8" xr3:uid="{12C8A143-3589-4B51-80FC-453506F5C15D}" name="sibsp"/>
    <tableColumn id="9" xr3:uid="{947B58E8-65A4-4487-927A-6853976DF34F}" name="parch"/>
    <tableColumn id="10" xr3:uid="{4090249A-D2D8-4B28-A55D-CC53249C12C3}" name="fare"/>
    <tableColumn id="11" xr3:uid="{5A3E7167-B770-4534-B0A8-D31945741AFE}" name="class"/>
    <tableColumn id="12" xr3:uid="{040E37CF-C366-42F6-89B4-7C1A1D45586E}" name="who"/>
    <tableColumn id="13" xr3:uid="{A240BCAE-EF3A-449B-875B-773B2DF6B12F}" name="WHO3"/>
    <tableColumn id="14" xr3:uid="{061C5B64-0B57-4710-A77E-CC5B704FA6A3}" name="adult_male"/>
    <tableColumn id="15" xr3:uid="{F586B059-9BF7-40B6-8A24-BE3EB4817147}" name="embark_town"/>
    <tableColumn id="16" xr3:uid="{B3443F08-BA33-4928-BBE1-C74CBE02BEB5}" name="alive"/>
    <tableColumn id="17" xr3:uid="{F4828A0A-1237-4E7D-AC00-CCE485789DC9}" name="Alive4"/>
    <tableColumn id="18" xr3:uid="{273BFB8F-8239-423F-B038-3A88BA49AF73}" name="al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FEDCB-7020-4C02-B103-F1E839383248}">
  <dimension ref="A1:R892"/>
  <sheetViews>
    <sheetView workbookViewId="0">
      <pane ySplit="1" topLeftCell="A2" activePane="bottomLeft" state="frozen"/>
      <selection pane="bottomLeft" activeCell="D1" sqref="D1"/>
    </sheetView>
  </sheetViews>
  <sheetFormatPr defaultRowHeight="14.4" x14ac:dyDescent="0.3"/>
  <cols>
    <col min="1" max="2" width="16.44140625" customWidth="1"/>
    <col min="3" max="4" width="17.33203125" customWidth="1"/>
    <col min="5" max="6" width="18.88671875" customWidth="1"/>
    <col min="7" max="7" width="14.33203125" customWidth="1"/>
    <col min="8" max="8" width="14" customWidth="1"/>
    <col min="9" max="9" width="16.109375" customWidth="1"/>
    <col min="10" max="10" width="15.33203125" customWidth="1"/>
    <col min="11" max="11" width="17" customWidth="1"/>
    <col min="12" max="13" width="14.44140625" customWidth="1"/>
    <col min="14" max="14" width="19.77734375" customWidth="1"/>
    <col min="15" max="15" width="21.21875" customWidth="1"/>
    <col min="16" max="17" width="15" customWidth="1"/>
  </cols>
  <sheetData>
    <row r="1" spans="1:18" s="1" customFormat="1" x14ac:dyDescent="0.3">
      <c r="A1" s="1" t="s">
        <v>0</v>
      </c>
      <c r="B1" s="1" t="s">
        <v>28</v>
      </c>
      <c r="C1" s="1" t="s">
        <v>1</v>
      </c>
      <c r="D1" s="1" t="s">
        <v>29</v>
      </c>
      <c r="E1" s="1" t="s">
        <v>2</v>
      </c>
      <c r="F1" s="1" t="s">
        <v>33</v>
      </c>
      <c r="G1" s="1" t="s">
        <v>3</v>
      </c>
      <c r="H1" s="1" t="s">
        <v>4</v>
      </c>
      <c r="I1" s="1" t="s">
        <v>5</v>
      </c>
      <c r="J1" s="1" t="s">
        <v>6</v>
      </c>
      <c r="K1" s="1" t="s">
        <v>7</v>
      </c>
      <c r="L1" s="1" t="s">
        <v>8</v>
      </c>
      <c r="M1" s="1" t="s">
        <v>34</v>
      </c>
      <c r="N1" s="1" t="s">
        <v>9</v>
      </c>
      <c r="O1" s="1" t="s">
        <v>10</v>
      </c>
      <c r="P1" s="1" t="s">
        <v>11</v>
      </c>
      <c r="Q1" s="1" t="s">
        <v>35</v>
      </c>
      <c r="R1" s="1" t="s">
        <v>12</v>
      </c>
    </row>
    <row r="2" spans="1:18" x14ac:dyDescent="0.3">
      <c r="A2">
        <v>0</v>
      </c>
      <c r="B2" t="s">
        <v>26</v>
      </c>
      <c r="C2">
        <v>3</v>
      </c>
      <c r="D2" t="s">
        <v>32</v>
      </c>
      <c r="E2" t="s">
        <v>13</v>
      </c>
      <c r="F2" t="str">
        <f>PROPER(E2)</f>
        <v>Male</v>
      </c>
      <c r="G2">
        <v>22</v>
      </c>
      <c r="H2">
        <v>1</v>
      </c>
      <c r="I2">
        <v>0</v>
      </c>
      <c r="J2">
        <v>7.25</v>
      </c>
      <c r="K2" t="s">
        <v>14</v>
      </c>
      <c r="L2" t="s">
        <v>15</v>
      </c>
      <c r="M2" t="str">
        <f>PROPER(L2)</f>
        <v>Man</v>
      </c>
      <c r="N2" t="b">
        <v>1</v>
      </c>
      <c r="O2" t="s">
        <v>16</v>
      </c>
      <c r="P2" t="s">
        <v>17</v>
      </c>
      <c r="Q2" t="str">
        <f>PROPER(P2)</f>
        <v>No</v>
      </c>
      <c r="R2" t="b">
        <v>0</v>
      </c>
    </row>
    <row r="3" spans="1:18" x14ac:dyDescent="0.3">
      <c r="A3">
        <v>1</v>
      </c>
      <c r="B3" t="s">
        <v>27</v>
      </c>
      <c r="C3">
        <v>1</v>
      </c>
      <c r="D3" t="s">
        <v>30</v>
      </c>
      <c r="E3" t="s">
        <v>18</v>
      </c>
      <c r="F3" t="str">
        <f t="shared" ref="F3:F66" si="0">PROPER(E3)</f>
        <v>Female</v>
      </c>
      <c r="G3">
        <v>38</v>
      </c>
      <c r="H3">
        <v>1</v>
      </c>
      <c r="I3">
        <v>0</v>
      </c>
      <c r="J3">
        <v>71.283299999999997</v>
      </c>
      <c r="K3" t="s">
        <v>19</v>
      </c>
      <c r="L3" t="s">
        <v>20</v>
      </c>
      <c r="M3" t="str">
        <f t="shared" ref="M3:M66" si="1">PROPER(L3)</f>
        <v>Woman</v>
      </c>
      <c r="N3" t="b">
        <v>0</v>
      </c>
      <c r="O3" t="s">
        <v>21</v>
      </c>
      <c r="P3" t="s">
        <v>22</v>
      </c>
      <c r="Q3" t="str">
        <f t="shared" ref="Q3:Q66" si="2">PROPER(P3)</f>
        <v>Yes</v>
      </c>
      <c r="R3" t="b">
        <v>0</v>
      </c>
    </row>
    <row r="4" spans="1:18" x14ac:dyDescent="0.3">
      <c r="A4">
        <v>1</v>
      </c>
      <c r="B4" t="s">
        <v>27</v>
      </c>
      <c r="C4">
        <v>3</v>
      </c>
      <c r="D4" t="s">
        <v>32</v>
      </c>
      <c r="E4" t="s">
        <v>18</v>
      </c>
      <c r="F4" t="str">
        <f t="shared" si="0"/>
        <v>Female</v>
      </c>
      <c r="G4">
        <v>26</v>
      </c>
      <c r="H4">
        <v>0</v>
      </c>
      <c r="I4">
        <v>0</v>
      </c>
      <c r="J4">
        <v>7.9249999999999998</v>
      </c>
      <c r="K4" t="s">
        <v>14</v>
      </c>
      <c r="L4" t="s">
        <v>20</v>
      </c>
      <c r="M4" t="str">
        <f t="shared" si="1"/>
        <v>Woman</v>
      </c>
      <c r="N4" t="b">
        <v>0</v>
      </c>
      <c r="O4" t="s">
        <v>16</v>
      </c>
      <c r="P4" t="s">
        <v>22</v>
      </c>
      <c r="Q4" t="str">
        <f t="shared" si="2"/>
        <v>Yes</v>
      </c>
      <c r="R4" t="b">
        <v>1</v>
      </c>
    </row>
    <row r="5" spans="1:18" x14ac:dyDescent="0.3">
      <c r="A5">
        <v>1</v>
      </c>
      <c r="B5" t="s">
        <v>27</v>
      </c>
      <c r="C5">
        <v>1</v>
      </c>
      <c r="D5" t="s">
        <v>30</v>
      </c>
      <c r="E5" t="s">
        <v>18</v>
      </c>
      <c r="F5" t="str">
        <f t="shared" si="0"/>
        <v>Female</v>
      </c>
      <c r="G5">
        <v>35</v>
      </c>
      <c r="H5">
        <v>1</v>
      </c>
      <c r="I5">
        <v>0</v>
      </c>
      <c r="J5">
        <v>53.1</v>
      </c>
      <c r="K5" t="s">
        <v>19</v>
      </c>
      <c r="L5" t="s">
        <v>20</v>
      </c>
      <c r="M5" t="str">
        <f t="shared" si="1"/>
        <v>Woman</v>
      </c>
      <c r="N5" t="b">
        <v>0</v>
      </c>
      <c r="O5" t="s">
        <v>16</v>
      </c>
      <c r="P5" t="s">
        <v>22</v>
      </c>
      <c r="Q5" t="str">
        <f t="shared" si="2"/>
        <v>Yes</v>
      </c>
      <c r="R5" t="b">
        <v>0</v>
      </c>
    </row>
    <row r="6" spans="1:18" x14ac:dyDescent="0.3">
      <c r="A6">
        <v>0</v>
      </c>
      <c r="B6" t="s">
        <v>26</v>
      </c>
      <c r="C6">
        <v>3</v>
      </c>
      <c r="D6" t="s">
        <v>32</v>
      </c>
      <c r="E6" t="s">
        <v>13</v>
      </c>
      <c r="F6" t="str">
        <f t="shared" si="0"/>
        <v>Male</v>
      </c>
      <c r="G6">
        <v>35</v>
      </c>
      <c r="H6">
        <v>0</v>
      </c>
      <c r="I6">
        <v>0</v>
      </c>
      <c r="J6">
        <v>8.0500000000000007</v>
      </c>
      <c r="K6" t="s">
        <v>14</v>
      </c>
      <c r="L6" t="s">
        <v>15</v>
      </c>
      <c r="M6" t="str">
        <f t="shared" si="1"/>
        <v>Man</v>
      </c>
      <c r="N6" t="b">
        <v>1</v>
      </c>
      <c r="O6" t="s">
        <v>16</v>
      </c>
      <c r="P6" t="s">
        <v>17</v>
      </c>
      <c r="Q6" t="str">
        <f t="shared" si="2"/>
        <v>No</v>
      </c>
      <c r="R6" t="b">
        <v>1</v>
      </c>
    </row>
    <row r="7" spans="1:18" x14ac:dyDescent="0.3">
      <c r="A7">
        <v>0</v>
      </c>
      <c r="B7" t="s">
        <v>26</v>
      </c>
      <c r="C7">
        <v>3</v>
      </c>
      <c r="D7" t="s">
        <v>32</v>
      </c>
      <c r="E7" t="s">
        <v>13</v>
      </c>
      <c r="F7" t="str">
        <f t="shared" si="0"/>
        <v>Male</v>
      </c>
      <c r="G7">
        <v>30</v>
      </c>
      <c r="H7">
        <v>0</v>
      </c>
      <c r="I7">
        <v>0</v>
      </c>
      <c r="J7">
        <v>8.4582999999999995</v>
      </c>
      <c r="K7" t="s">
        <v>14</v>
      </c>
      <c r="L7" t="s">
        <v>15</v>
      </c>
      <c r="M7" t="str">
        <f t="shared" si="1"/>
        <v>Man</v>
      </c>
      <c r="N7" t="b">
        <v>1</v>
      </c>
      <c r="O7" t="s">
        <v>23</v>
      </c>
      <c r="P7" t="s">
        <v>17</v>
      </c>
      <c r="Q7" t="str">
        <f t="shared" si="2"/>
        <v>No</v>
      </c>
      <c r="R7" t="b">
        <v>1</v>
      </c>
    </row>
    <row r="8" spans="1:18" x14ac:dyDescent="0.3">
      <c r="A8">
        <v>0</v>
      </c>
      <c r="B8" t="s">
        <v>26</v>
      </c>
      <c r="C8">
        <v>1</v>
      </c>
      <c r="D8" t="s">
        <v>30</v>
      </c>
      <c r="E8" t="s">
        <v>13</v>
      </c>
      <c r="F8" t="str">
        <f t="shared" si="0"/>
        <v>Male</v>
      </c>
      <c r="G8">
        <v>54</v>
      </c>
      <c r="H8">
        <v>0</v>
      </c>
      <c r="I8">
        <v>0</v>
      </c>
      <c r="J8">
        <v>51.862499999999997</v>
      </c>
      <c r="K8" t="s">
        <v>19</v>
      </c>
      <c r="L8" t="s">
        <v>15</v>
      </c>
      <c r="M8" t="str">
        <f t="shared" si="1"/>
        <v>Man</v>
      </c>
      <c r="N8" t="b">
        <v>1</v>
      </c>
      <c r="O8" t="s">
        <v>16</v>
      </c>
      <c r="P8" t="s">
        <v>17</v>
      </c>
      <c r="Q8" t="str">
        <f t="shared" si="2"/>
        <v>No</v>
      </c>
      <c r="R8" t="b">
        <v>1</v>
      </c>
    </row>
    <row r="9" spans="1:18" x14ac:dyDescent="0.3">
      <c r="A9">
        <v>0</v>
      </c>
      <c r="B9" t="s">
        <v>26</v>
      </c>
      <c r="C9">
        <v>3</v>
      </c>
      <c r="D9" t="s">
        <v>32</v>
      </c>
      <c r="E9" t="s">
        <v>13</v>
      </c>
      <c r="F9" t="str">
        <f t="shared" si="0"/>
        <v>Male</v>
      </c>
      <c r="G9">
        <v>2</v>
      </c>
      <c r="H9">
        <v>3</v>
      </c>
      <c r="I9">
        <v>1</v>
      </c>
      <c r="J9">
        <v>21.074999999999999</v>
      </c>
      <c r="K9" t="s">
        <v>14</v>
      </c>
      <c r="L9" t="s">
        <v>24</v>
      </c>
      <c r="M9" t="str">
        <f t="shared" si="1"/>
        <v>Child</v>
      </c>
      <c r="N9" t="b">
        <v>0</v>
      </c>
      <c r="O9" t="s">
        <v>16</v>
      </c>
      <c r="P9" t="s">
        <v>17</v>
      </c>
      <c r="Q9" t="str">
        <f t="shared" si="2"/>
        <v>No</v>
      </c>
      <c r="R9" t="b">
        <v>0</v>
      </c>
    </row>
    <row r="10" spans="1:18" x14ac:dyDescent="0.3">
      <c r="A10">
        <v>1</v>
      </c>
      <c r="B10" t="s">
        <v>27</v>
      </c>
      <c r="C10">
        <v>3</v>
      </c>
      <c r="D10" t="s">
        <v>32</v>
      </c>
      <c r="E10" t="s">
        <v>18</v>
      </c>
      <c r="F10" t="str">
        <f t="shared" si="0"/>
        <v>Female</v>
      </c>
      <c r="G10">
        <v>27</v>
      </c>
      <c r="H10">
        <v>0</v>
      </c>
      <c r="I10">
        <v>2</v>
      </c>
      <c r="J10">
        <v>11.1333</v>
      </c>
      <c r="K10" t="s">
        <v>14</v>
      </c>
      <c r="L10" t="s">
        <v>20</v>
      </c>
      <c r="M10" t="str">
        <f t="shared" si="1"/>
        <v>Woman</v>
      </c>
      <c r="N10" t="b">
        <v>0</v>
      </c>
      <c r="O10" t="s">
        <v>16</v>
      </c>
      <c r="P10" t="s">
        <v>22</v>
      </c>
      <c r="Q10" t="str">
        <f t="shared" si="2"/>
        <v>Yes</v>
      </c>
      <c r="R10" t="b">
        <v>0</v>
      </c>
    </row>
    <row r="11" spans="1:18" x14ac:dyDescent="0.3">
      <c r="A11">
        <v>1</v>
      </c>
      <c r="B11" t="s">
        <v>27</v>
      </c>
      <c r="C11">
        <v>2</v>
      </c>
      <c r="D11" t="s">
        <v>31</v>
      </c>
      <c r="E11" t="s">
        <v>18</v>
      </c>
      <c r="F11" t="str">
        <f t="shared" si="0"/>
        <v>Female</v>
      </c>
      <c r="G11">
        <v>14</v>
      </c>
      <c r="H11">
        <v>1</v>
      </c>
      <c r="I11">
        <v>0</v>
      </c>
      <c r="J11">
        <v>30.070799999999998</v>
      </c>
      <c r="K11" t="s">
        <v>25</v>
      </c>
      <c r="L11" t="s">
        <v>24</v>
      </c>
      <c r="M11" t="str">
        <f t="shared" si="1"/>
        <v>Child</v>
      </c>
      <c r="N11" t="b">
        <v>0</v>
      </c>
      <c r="O11" t="s">
        <v>21</v>
      </c>
      <c r="P11" t="s">
        <v>22</v>
      </c>
      <c r="Q11" t="str">
        <f t="shared" si="2"/>
        <v>Yes</v>
      </c>
      <c r="R11" t="b">
        <v>0</v>
      </c>
    </row>
    <row r="12" spans="1:18" x14ac:dyDescent="0.3">
      <c r="A12">
        <v>1</v>
      </c>
      <c r="B12" t="s">
        <v>27</v>
      </c>
      <c r="C12">
        <v>3</v>
      </c>
      <c r="D12" t="s">
        <v>32</v>
      </c>
      <c r="E12" t="s">
        <v>18</v>
      </c>
      <c r="F12" t="str">
        <f t="shared" si="0"/>
        <v>Female</v>
      </c>
      <c r="G12">
        <v>4</v>
      </c>
      <c r="H12">
        <v>1</v>
      </c>
      <c r="I12">
        <v>1</v>
      </c>
      <c r="J12">
        <v>16.7</v>
      </c>
      <c r="K12" t="s">
        <v>14</v>
      </c>
      <c r="L12" t="s">
        <v>24</v>
      </c>
      <c r="M12" t="str">
        <f t="shared" si="1"/>
        <v>Child</v>
      </c>
      <c r="N12" t="b">
        <v>0</v>
      </c>
      <c r="O12" t="s">
        <v>16</v>
      </c>
      <c r="P12" t="s">
        <v>22</v>
      </c>
      <c r="Q12" t="str">
        <f t="shared" si="2"/>
        <v>Yes</v>
      </c>
      <c r="R12" t="b">
        <v>0</v>
      </c>
    </row>
    <row r="13" spans="1:18" x14ac:dyDescent="0.3">
      <c r="A13">
        <v>1</v>
      </c>
      <c r="B13" t="s">
        <v>27</v>
      </c>
      <c r="C13">
        <v>1</v>
      </c>
      <c r="D13" t="s">
        <v>30</v>
      </c>
      <c r="E13" t="s">
        <v>18</v>
      </c>
      <c r="F13" t="str">
        <f t="shared" si="0"/>
        <v>Female</v>
      </c>
      <c r="G13">
        <v>58</v>
      </c>
      <c r="H13">
        <v>0</v>
      </c>
      <c r="I13">
        <v>0</v>
      </c>
      <c r="J13">
        <v>26.55</v>
      </c>
      <c r="K13" t="s">
        <v>19</v>
      </c>
      <c r="L13" t="s">
        <v>20</v>
      </c>
      <c r="M13" t="str">
        <f t="shared" si="1"/>
        <v>Woman</v>
      </c>
      <c r="N13" t="b">
        <v>0</v>
      </c>
      <c r="O13" t="s">
        <v>16</v>
      </c>
      <c r="P13" t="s">
        <v>22</v>
      </c>
      <c r="Q13" t="str">
        <f t="shared" si="2"/>
        <v>Yes</v>
      </c>
      <c r="R13" t="b">
        <v>1</v>
      </c>
    </row>
    <row r="14" spans="1:18" x14ac:dyDescent="0.3">
      <c r="A14">
        <v>0</v>
      </c>
      <c r="B14" t="s">
        <v>26</v>
      </c>
      <c r="C14">
        <v>3</v>
      </c>
      <c r="D14" t="s">
        <v>32</v>
      </c>
      <c r="E14" t="s">
        <v>13</v>
      </c>
      <c r="F14" t="str">
        <f t="shared" si="0"/>
        <v>Male</v>
      </c>
      <c r="G14">
        <v>20</v>
      </c>
      <c r="H14">
        <v>0</v>
      </c>
      <c r="I14">
        <v>0</v>
      </c>
      <c r="J14">
        <v>8.0500000000000007</v>
      </c>
      <c r="K14" t="s">
        <v>14</v>
      </c>
      <c r="L14" t="s">
        <v>15</v>
      </c>
      <c r="M14" t="str">
        <f t="shared" si="1"/>
        <v>Man</v>
      </c>
      <c r="N14" t="b">
        <v>1</v>
      </c>
      <c r="O14" t="s">
        <v>16</v>
      </c>
      <c r="P14" t="s">
        <v>17</v>
      </c>
      <c r="Q14" t="str">
        <f t="shared" si="2"/>
        <v>No</v>
      </c>
      <c r="R14" t="b">
        <v>1</v>
      </c>
    </row>
    <row r="15" spans="1:18" x14ac:dyDescent="0.3">
      <c r="A15">
        <v>0</v>
      </c>
      <c r="B15" t="s">
        <v>26</v>
      </c>
      <c r="C15">
        <v>3</v>
      </c>
      <c r="D15" t="s">
        <v>32</v>
      </c>
      <c r="E15" t="s">
        <v>13</v>
      </c>
      <c r="F15" t="str">
        <f t="shared" si="0"/>
        <v>Male</v>
      </c>
      <c r="G15">
        <v>39</v>
      </c>
      <c r="H15">
        <v>1</v>
      </c>
      <c r="I15">
        <v>5</v>
      </c>
      <c r="J15">
        <v>31.274999999999999</v>
      </c>
      <c r="K15" t="s">
        <v>14</v>
      </c>
      <c r="L15" t="s">
        <v>15</v>
      </c>
      <c r="M15" t="str">
        <f t="shared" si="1"/>
        <v>Man</v>
      </c>
      <c r="N15" t="b">
        <v>1</v>
      </c>
      <c r="O15" t="s">
        <v>16</v>
      </c>
      <c r="P15" t="s">
        <v>17</v>
      </c>
      <c r="Q15" t="str">
        <f t="shared" si="2"/>
        <v>No</v>
      </c>
      <c r="R15" t="b">
        <v>0</v>
      </c>
    </row>
    <row r="16" spans="1:18" x14ac:dyDescent="0.3">
      <c r="A16">
        <v>0</v>
      </c>
      <c r="B16" t="s">
        <v>26</v>
      </c>
      <c r="C16">
        <v>3</v>
      </c>
      <c r="D16" t="s">
        <v>32</v>
      </c>
      <c r="E16" t="s">
        <v>18</v>
      </c>
      <c r="F16" t="str">
        <f t="shared" si="0"/>
        <v>Female</v>
      </c>
      <c r="G16">
        <v>14</v>
      </c>
      <c r="H16">
        <v>0</v>
      </c>
      <c r="I16">
        <v>0</v>
      </c>
      <c r="J16">
        <v>7.8541999999999996</v>
      </c>
      <c r="K16" t="s">
        <v>14</v>
      </c>
      <c r="L16" t="s">
        <v>24</v>
      </c>
      <c r="M16" t="str">
        <f t="shared" si="1"/>
        <v>Child</v>
      </c>
      <c r="N16" t="b">
        <v>0</v>
      </c>
      <c r="O16" t="s">
        <v>16</v>
      </c>
      <c r="P16" t="s">
        <v>17</v>
      </c>
      <c r="Q16" t="str">
        <f t="shared" si="2"/>
        <v>No</v>
      </c>
      <c r="R16" t="b">
        <v>1</v>
      </c>
    </row>
    <row r="17" spans="1:18" x14ac:dyDescent="0.3">
      <c r="A17">
        <v>1</v>
      </c>
      <c r="B17" t="s">
        <v>27</v>
      </c>
      <c r="C17">
        <v>2</v>
      </c>
      <c r="D17" t="s">
        <v>31</v>
      </c>
      <c r="E17" t="s">
        <v>18</v>
      </c>
      <c r="F17" t="str">
        <f t="shared" si="0"/>
        <v>Female</v>
      </c>
      <c r="G17">
        <v>55</v>
      </c>
      <c r="H17">
        <v>0</v>
      </c>
      <c r="I17">
        <v>0</v>
      </c>
      <c r="J17">
        <v>16</v>
      </c>
      <c r="K17" t="s">
        <v>25</v>
      </c>
      <c r="L17" t="s">
        <v>20</v>
      </c>
      <c r="M17" t="str">
        <f t="shared" si="1"/>
        <v>Woman</v>
      </c>
      <c r="N17" t="b">
        <v>0</v>
      </c>
      <c r="O17" t="s">
        <v>16</v>
      </c>
      <c r="P17" t="s">
        <v>22</v>
      </c>
      <c r="Q17" t="str">
        <f t="shared" si="2"/>
        <v>Yes</v>
      </c>
      <c r="R17" t="b">
        <v>1</v>
      </c>
    </row>
    <row r="18" spans="1:18" x14ac:dyDescent="0.3">
      <c r="A18">
        <v>0</v>
      </c>
      <c r="B18" t="s">
        <v>26</v>
      </c>
      <c r="C18">
        <v>3</v>
      </c>
      <c r="D18" t="s">
        <v>32</v>
      </c>
      <c r="E18" t="s">
        <v>13</v>
      </c>
      <c r="F18" t="str">
        <f t="shared" si="0"/>
        <v>Male</v>
      </c>
      <c r="G18">
        <v>2</v>
      </c>
      <c r="H18">
        <v>4</v>
      </c>
      <c r="I18">
        <v>1</v>
      </c>
      <c r="J18">
        <v>29.125</v>
      </c>
      <c r="K18" t="s">
        <v>14</v>
      </c>
      <c r="L18" t="s">
        <v>24</v>
      </c>
      <c r="M18" t="str">
        <f t="shared" si="1"/>
        <v>Child</v>
      </c>
      <c r="N18" t="b">
        <v>0</v>
      </c>
      <c r="O18" t="s">
        <v>23</v>
      </c>
      <c r="P18" t="s">
        <v>17</v>
      </c>
      <c r="Q18" t="str">
        <f t="shared" si="2"/>
        <v>No</v>
      </c>
      <c r="R18" t="b">
        <v>0</v>
      </c>
    </row>
    <row r="19" spans="1:18" x14ac:dyDescent="0.3">
      <c r="A19">
        <v>1</v>
      </c>
      <c r="B19" t="s">
        <v>27</v>
      </c>
      <c r="C19">
        <v>2</v>
      </c>
      <c r="D19" t="s">
        <v>31</v>
      </c>
      <c r="E19" t="s">
        <v>13</v>
      </c>
      <c r="F19" t="str">
        <f t="shared" si="0"/>
        <v>Male</v>
      </c>
      <c r="G19">
        <v>30</v>
      </c>
      <c r="H19">
        <v>0</v>
      </c>
      <c r="I19">
        <v>0</v>
      </c>
      <c r="J19">
        <v>13</v>
      </c>
      <c r="K19" t="s">
        <v>25</v>
      </c>
      <c r="L19" t="s">
        <v>15</v>
      </c>
      <c r="M19" t="str">
        <f t="shared" si="1"/>
        <v>Man</v>
      </c>
      <c r="N19" t="b">
        <v>1</v>
      </c>
      <c r="O19" t="s">
        <v>16</v>
      </c>
      <c r="P19" t="s">
        <v>22</v>
      </c>
      <c r="Q19" t="str">
        <f t="shared" si="2"/>
        <v>Yes</v>
      </c>
      <c r="R19" t="b">
        <v>1</v>
      </c>
    </row>
    <row r="20" spans="1:18" x14ac:dyDescent="0.3">
      <c r="A20">
        <v>0</v>
      </c>
      <c r="B20" t="s">
        <v>26</v>
      </c>
      <c r="C20">
        <v>3</v>
      </c>
      <c r="D20" t="s">
        <v>32</v>
      </c>
      <c r="E20" t="s">
        <v>18</v>
      </c>
      <c r="F20" t="str">
        <f t="shared" si="0"/>
        <v>Female</v>
      </c>
      <c r="G20">
        <v>31</v>
      </c>
      <c r="H20">
        <v>1</v>
      </c>
      <c r="I20">
        <v>0</v>
      </c>
      <c r="J20">
        <v>18</v>
      </c>
      <c r="K20" t="s">
        <v>14</v>
      </c>
      <c r="L20" t="s">
        <v>20</v>
      </c>
      <c r="M20" t="str">
        <f t="shared" si="1"/>
        <v>Woman</v>
      </c>
      <c r="N20" t="b">
        <v>0</v>
      </c>
      <c r="O20" t="s">
        <v>16</v>
      </c>
      <c r="P20" t="s">
        <v>17</v>
      </c>
      <c r="Q20" t="str">
        <f t="shared" si="2"/>
        <v>No</v>
      </c>
      <c r="R20" t="b">
        <v>0</v>
      </c>
    </row>
    <row r="21" spans="1:18" x14ac:dyDescent="0.3">
      <c r="A21">
        <v>1</v>
      </c>
      <c r="B21" t="s">
        <v>27</v>
      </c>
      <c r="C21">
        <v>3</v>
      </c>
      <c r="D21" t="s">
        <v>32</v>
      </c>
      <c r="E21" t="s">
        <v>18</v>
      </c>
      <c r="F21" t="str">
        <f t="shared" si="0"/>
        <v>Female</v>
      </c>
      <c r="G21">
        <v>30</v>
      </c>
      <c r="H21">
        <v>0</v>
      </c>
      <c r="I21">
        <v>0</v>
      </c>
      <c r="J21">
        <v>7.2249999999999996</v>
      </c>
      <c r="K21" t="s">
        <v>14</v>
      </c>
      <c r="L21" t="s">
        <v>20</v>
      </c>
      <c r="M21" t="str">
        <f t="shared" si="1"/>
        <v>Woman</v>
      </c>
      <c r="N21" t="b">
        <v>0</v>
      </c>
      <c r="O21" t="s">
        <v>21</v>
      </c>
      <c r="P21" t="s">
        <v>22</v>
      </c>
      <c r="Q21" t="str">
        <f t="shared" si="2"/>
        <v>Yes</v>
      </c>
      <c r="R21" t="b">
        <v>1</v>
      </c>
    </row>
    <row r="22" spans="1:18" x14ac:dyDescent="0.3">
      <c r="A22">
        <v>0</v>
      </c>
      <c r="B22" t="s">
        <v>26</v>
      </c>
      <c r="C22">
        <v>2</v>
      </c>
      <c r="D22" t="s">
        <v>31</v>
      </c>
      <c r="E22" t="s">
        <v>13</v>
      </c>
      <c r="F22" t="str">
        <f t="shared" si="0"/>
        <v>Male</v>
      </c>
      <c r="G22">
        <v>35</v>
      </c>
      <c r="H22">
        <v>0</v>
      </c>
      <c r="I22">
        <v>0</v>
      </c>
      <c r="J22">
        <v>26</v>
      </c>
      <c r="K22" t="s">
        <v>25</v>
      </c>
      <c r="L22" t="s">
        <v>15</v>
      </c>
      <c r="M22" t="str">
        <f t="shared" si="1"/>
        <v>Man</v>
      </c>
      <c r="N22" t="b">
        <v>1</v>
      </c>
      <c r="O22" t="s">
        <v>16</v>
      </c>
      <c r="P22" t="s">
        <v>17</v>
      </c>
      <c r="Q22" t="str">
        <f t="shared" si="2"/>
        <v>No</v>
      </c>
      <c r="R22" t="b">
        <v>1</v>
      </c>
    </row>
    <row r="23" spans="1:18" x14ac:dyDescent="0.3">
      <c r="A23">
        <v>1</v>
      </c>
      <c r="B23" t="s">
        <v>27</v>
      </c>
      <c r="C23">
        <v>2</v>
      </c>
      <c r="D23" t="s">
        <v>31</v>
      </c>
      <c r="E23" t="s">
        <v>13</v>
      </c>
      <c r="F23" t="str">
        <f t="shared" si="0"/>
        <v>Male</v>
      </c>
      <c r="G23">
        <v>34</v>
      </c>
      <c r="H23">
        <v>0</v>
      </c>
      <c r="I23">
        <v>0</v>
      </c>
      <c r="J23">
        <v>13</v>
      </c>
      <c r="K23" t="s">
        <v>25</v>
      </c>
      <c r="L23" t="s">
        <v>15</v>
      </c>
      <c r="M23" t="str">
        <f t="shared" si="1"/>
        <v>Man</v>
      </c>
      <c r="N23" t="b">
        <v>1</v>
      </c>
      <c r="O23" t="s">
        <v>16</v>
      </c>
      <c r="P23" t="s">
        <v>22</v>
      </c>
      <c r="Q23" t="str">
        <f t="shared" si="2"/>
        <v>Yes</v>
      </c>
      <c r="R23" t="b">
        <v>1</v>
      </c>
    </row>
    <row r="24" spans="1:18" x14ac:dyDescent="0.3">
      <c r="A24">
        <v>1</v>
      </c>
      <c r="B24" t="s">
        <v>27</v>
      </c>
      <c r="C24">
        <v>3</v>
      </c>
      <c r="D24" t="s">
        <v>32</v>
      </c>
      <c r="E24" t="s">
        <v>18</v>
      </c>
      <c r="F24" t="str">
        <f t="shared" si="0"/>
        <v>Female</v>
      </c>
      <c r="G24">
        <v>15</v>
      </c>
      <c r="H24">
        <v>0</v>
      </c>
      <c r="I24">
        <v>0</v>
      </c>
      <c r="J24">
        <v>8.0291999999999994</v>
      </c>
      <c r="K24" t="s">
        <v>14</v>
      </c>
      <c r="L24" t="s">
        <v>24</v>
      </c>
      <c r="M24" t="str">
        <f t="shared" si="1"/>
        <v>Child</v>
      </c>
      <c r="N24" t="b">
        <v>0</v>
      </c>
      <c r="O24" t="s">
        <v>23</v>
      </c>
      <c r="P24" t="s">
        <v>22</v>
      </c>
      <c r="Q24" t="str">
        <f t="shared" si="2"/>
        <v>Yes</v>
      </c>
      <c r="R24" t="b">
        <v>1</v>
      </c>
    </row>
    <row r="25" spans="1:18" x14ac:dyDescent="0.3">
      <c r="A25">
        <v>1</v>
      </c>
      <c r="B25" t="s">
        <v>27</v>
      </c>
      <c r="C25">
        <v>1</v>
      </c>
      <c r="D25" t="s">
        <v>30</v>
      </c>
      <c r="E25" t="s">
        <v>13</v>
      </c>
      <c r="F25" t="str">
        <f t="shared" si="0"/>
        <v>Male</v>
      </c>
      <c r="G25">
        <v>28</v>
      </c>
      <c r="H25">
        <v>0</v>
      </c>
      <c r="I25">
        <v>0</v>
      </c>
      <c r="J25">
        <v>35.5</v>
      </c>
      <c r="K25" t="s">
        <v>19</v>
      </c>
      <c r="L25" t="s">
        <v>15</v>
      </c>
      <c r="M25" t="str">
        <f t="shared" si="1"/>
        <v>Man</v>
      </c>
      <c r="N25" t="b">
        <v>1</v>
      </c>
      <c r="O25" t="s">
        <v>16</v>
      </c>
      <c r="P25" t="s">
        <v>22</v>
      </c>
      <c r="Q25" t="str">
        <f t="shared" si="2"/>
        <v>Yes</v>
      </c>
      <c r="R25" t="b">
        <v>1</v>
      </c>
    </row>
    <row r="26" spans="1:18" x14ac:dyDescent="0.3">
      <c r="A26">
        <v>0</v>
      </c>
      <c r="B26" t="s">
        <v>26</v>
      </c>
      <c r="C26">
        <v>3</v>
      </c>
      <c r="D26" t="s">
        <v>32</v>
      </c>
      <c r="E26" t="s">
        <v>18</v>
      </c>
      <c r="F26" t="str">
        <f t="shared" si="0"/>
        <v>Female</v>
      </c>
      <c r="G26">
        <v>8</v>
      </c>
      <c r="H26">
        <v>3</v>
      </c>
      <c r="I26">
        <v>1</v>
      </c>
      <c r="J26">
        <v>21.074999999999999</v>
      </c>
      <c r="K26" t="s">
        <v>14</v>
      </c>
      <c r="L26" t="s">
        <v>24</v>
      </c>
      <c r="M26" t="str">
        <f t="shared" si="1"/>
        <v>Child</v>
      </c>
      <c r="N26" t="b">
        <v>0</v>
      </c>
      <c r="O26" t="s">
        <v>16</v>
      </c>
      <c r="P26" t="s">
        <v>17</v>
      </c>
      <c r="Q26" t="str">
        <f t="shared" si="2"/>
        <v>No</v>
      </c>
      <c r="R26" t="b">
        <v>0</v>
      </c>
    </row>
    <row r="27" spans="1:18" x14ac:dyDescent="0.3">
      <c r="A27">
        <v>1</v>
      </c>
      <c r="B27" t="s">
        <v>27</v>
      </c>
      <c r="C27">
        <v>3</v>
      </c>
      <c r="D27" t="s">
        <v>32</v>
      </c>
      <c r="E27" t="s">
        <v>18</v>
      </c>
      <c r="F27" t="str">
        <f t="shared" si="0"/>
        <v>Female</v>
      </c>
      <c r="G27">
        <v>38</v>
      </c>
      <c r="H27">
        <v>1</v>
      </c>
      <c r="I27">
        <v>5</v>
      </c>
      <c r="J27">
        <v>31.387499999999999</v>
      </c>
      <c r="K27" t="s">
        <v>14</v>
      </c>
      <c r="L27" t="s">
        <v>20</v>
      </c>
      <c r="M27" t="str">
        <f t="shared" si="1"/>
        <v>Woman</v>
      </c>
      <c r="N27" t="b">
        <v>0</v>
      </c>
      <c r="O27" t="s">
        <v>16</v>
      </c>
      <c r="P27" t="s">
        <v>22</v>
      </c>
      <c r="Q27" t="str">
        <f t="shared" si="2"/>
        <v>Yes</v>
      </c>
      <c r="R27" t="b">
        <v>0</v>
      </c>
    </row>
    <row r="28" spans="1:18" x14ac:dyDescent="0.3">
      <c r="A28">
        <v>0</v>
      </c>
      <c r="B28" t="s">
        <v>26</v>
      </c>
      <c r="C28">
        <v>3</v>
      </c>
      <c r="D28" t="s">
        <v>32</v>
      </c>
      <c r="E28" t="s">
        <v>13</v>
      </c>
      <c r="F28" t="str">
        <f t="shared" si="0"/>
        <v>Male</v>
      </c>
      <c r="G28">
        <v>30</v>
      </c>
      <c r="H28">
        <v>0</v>
      </c>
      <c r="I28">
        <v>0</v>
      </c>
      <c r="J28">
        <v>7.2249999999999996</v>
      </c>
      <c r="K28" t="s">
        <v>14</v>
      </c>
      <c r="L28" t="s">
        <v>15</v>
      </c>
      <c r="M28" t="str">
        <f t="shared" si="1"/>
        <v>Man</v>
      </c>
      <c r="N28" t="b">
        <v>1</v>
      </c>
      <c r="O28" t="s">
        <v>21</v>
      </c>
      <c r="P28" t="s">
        <v>17</v>
      </c>
      <c r="Q28" t="str">
        <f t="shared" si="2"/>
        <v>No</v>
      </c>
      <c r="R28" t="b">
        <v>1</v>
      </c>
    </row>
    <row r="29" spans="1:18" x14ac:dyDescent="0.3">
      <c r="A29">
        <v>0</v>
      </c>
      <c r="B29" t="s">
        <v>26</v>
      </c>
      <c r="C29">
        <v>1</v>
      </c>
      <c r="D29" t="s">
        <v>30</v>
      </c>
      <c r="E29" t="s">
        <v>13</v>
      </c>
      <c r="F29" t="str">
        <f t="shared" si="0"/>
        <v>Male</v>
      </c>
      <c r="G29">
        <v>19</v>
      </c>
      <c r="H29">
        <v>3</v>
      </c>
      <c r="I29">
        <v>2</v>
      </c>
      <c r="J29">
        <v>263</v>
      </c>
      <c r="K29" t="s">
        <v>19</v>
      </c>
      <c r="L29" t="s">
        <v>15</v>
      </c>
      <c r="M29" t="str">
        <f t="shared" si="1"/>
        <v>Man</v>
      </c>
      <c r="N29" t="b">
        <v>1</v>
      </c>
      <c r="O29" t="s">
        <v>16</v>
      </c>
      <c r="P29" t="s">
        <v>17</v>
      </c>
      <c r="Q29" t="str">
        <f t="shared" si="2"/>
        <v>No</v>
      </c>
      <c r="R29" t="b">
        <v>0</v>
      </c>
    </row>
    <row r="30" spans="1:18" x14ac:dyDescent="0.3">
      <c r="A30">
        <v>1</v>
      </c>
      <c r="B30" t="s">
        <v>27</v>
      </c>
      <c r="C30">
        <v>3</v>
      </c>
      <c r="D30" t="s">
        <v>32</v>
      </c>
      <c r="E30" t="s">
        <v>18</v>
      </c>
      <c r="F30" t="str">
        <f t="shared" si="0"/>
        <v>Female</v>
      </c>
      <c r="G30">
        <v>30</v>
      </c>
      <c r="H30">
        <v>0</v>
      </c>
      <c r="I30">
        <v>0</v>
      </c>
      <c r="J30">
        <v>7.8792</v>
      </c>
      <c r="K30" t="s">
        <v>14</v>
      </c>
      <c r="L30" t="s">
        <v>20</v>
      </c>
      <c r="M30" t="str">
        <f t="shared" si="1"/>
        <v>Woman</v>
      </c>
      <c r="N30" t="b">
        <v>0</v>
      </c>
      <c r="O30" t="s">
        <v>23</v>
      </c>
      <c r="P30" t="s">
        <v>22</v>
      </c>
      <c r="Q30" t="str">
        <f t="shared" si="2"/>
        <v>Yes</v>
      </c>
      <c r="R30" t="b">
        <v>1</v>
      </c>
    </row>
    <row r="31" spans="1:18" x14ac:dyDescent="0.3">
      <c r="A31">
        <v>0</v>
      </c>
      <c r="B31" t="s">
        <v>26</v>
      </c>
      <c r="C31">
        <v>3</v>
      </c>
      <c r="D31" t="s">
        <v>32</v>
      </c>
      <c r="E31" t="s">
        <v>13</v>
      </c>
      <c r="F31" t="str">
        <f t="shared" si="0"/>
        <v>Male</v>
      </c>
      <c r="G31">
        <v>30</v>
      </c>
      <c r="H31">
        <v>0</v>
      </c>
      <c r="I31">
        <v>0</v>
      </c>
      <c r="J31">
        <v>7.8958000000000004</v>
      </c>
      <c r="K31" t="s">
        <v>14</v>
      </c>
      <c r="L31" t="s">
        <v>15</v>
      </c>
      <c r="M31" t="str">
        <f t="shared" si="1"/>
        <v>Man</v>
      </c>
      <c r="N31" t="b">
        <v>1</v>
      </c>
      <c r="O31" t="s">
        <v>16</v>
      </c>
      <c r="P31" t="s">
        <v>17</v>
      </c>
      <c r="Q31" t="str">
        <f t="shared" si="2"/>
        <v>No</v>
      </c>
      <c r="R31" t="b">
        <v>1</v>
      </c>
    </row>
    <row r="32" spans="1:18" x14ac:dyDescent="0.3">
      <c r="A32">
        <v>0</v>
      </c>
      <c r="B32" t="s">
        <v>26</v>
      </c>
      <c r="C32">
        <v>1</v>
      </c>
      <c r="D32" t="s">
        <v>30</v>
      </c>
      <c r="E32" t="s">
        <v>13</v>
      </c>
      <c r="F32" t="str">
        <f t="shared" si="0"/>
        <v>Male</v>
      </c>
      <c r="G32">
        <v>40</v>
      </c>
      <c r="H32">
        <v>0</v>
      </c>
      <c r="I32">
        <v>0</v>
      </c>
      <c r="J32">
        <v>27.720800000000001</v>
      </c>
      <c r="K32" t="s">
        <v>19</v>
      </c>
      <c r="L32" t="s">
        <v>15</v>
      </c>
      <c r="M32" t="str">
        <f t="shared" si="1"/>
        <v>Man</v>
      </c>
      <c r="N32" t="b">
        <v>1</v>
      </c>
      <c r="O32" t="s">
        <v>21</v>
      </c>
      <c r="P32" t="s">
        <v>17</v>
      </c>
      <c r="Q32" t="str">
        <f t="shared" si="2"/>
        <v>No</v>
      </c>
      <c r="R32" t="b">
        <v>1</v>
      </c>
    </row>
    <row r="33" spans="1:18" x14ac:dyDescent="0.3">
      <c r="A33">
        <v>1</v>
      </c>
      <c r="B33" t="s">
        <v>27</v>
      </c>
      <c r="C33">
        <v>1</v>
      </c>
      <c r="D33" t="s">
        <v>30</v>
      </c>
      <c r="E33" t="s">
        <v>18</v>
      </c>
      <c r="F33" t="str">
        <f t="shared" si="0"/>
        <v>Female</v>
      </c>
      <c r="G33">
        <v>30</v>
      </c>
      <c r="H33">
        <v>1</v>
      </c>
      <c r="I33">
        <v>0</v>
      </c>
      <c r="J33">
        <v>146.52080000000001</v>
      </c>
      <c r="K33" t="s">
        <v>19</v>
      </c>
      <c r="L33" t="s">
        <v>20</v>
      </c>
      <c r="M33" t="str">
        <f t="shared" si="1"/>
        <v>Woman</v>
      </c>
      <c r="N33" t="b">
        <v>0</v>
      </c>
      <c r="O33" t="s">
        <v>21</v>
      </c>
      <c r="P33" t="s">
        <v>22</v>
      </c>
      <c r="Q33" t="str">
        <f t="shared" si="2"/>
        <v>Yes</v>
      </c>
      <c r="R33" t="b">
        <v>0</v>
      </c>
    </row>
    <row r="34" spans="1:18" x14ac:dyDescent="0.3">
      <c r="A34">
        <v>1</v>
      </c>
      <c r="B34" t="s">
        <v>27</v>
      </c>
      <c r="C34">
        <v>3</v>
      </c>
      <c r="D34" t="s">
        <v>32</v>
      </c>
      <c r="E34" t="s">
        <v>18</v>
      </c>
      <c r="F34" t="str">
        <f t="shared" si="0"/>
        <v>Female</v>
      </c>
      <c r="G34">
        <v>30</v>
      </c>
      <c r="H34">
        <v>0</v>
      </c>
      <c r="I34">
        <v>0</v>
      </c>
      <c r="J34">
        <v>7.75</v>
      </c>
      <c r="K34" t="s">
        <v>14</v>
      </c>
      <c r="L34" t="s">
        <v>20</v>
      </c>
      <c r="M34" t="str">
        <f t="shared" si="1"/>
        <v>Woman</v>
      </c>
      <c r="N34" t="b">
        <v>0</v>
      </c>
      <c r="O34" t="s">
        <v>23</v>
      </c>
      <c r="P34" t="s">
        <v>22</v>
      </c>
      <c r="Q34" t="str">
        <f t="shared" si="2"/>
        <v>Yes</v>
      </c>
      <c r="R34" t="b">
        <v>1</v>
      </c>
    </row>
    <row r="35" spans="1:18" x14ac:dyDescent="0.3">
      <c r="A35">
        <v>0</v>
      </c>
      <c r="B35" t="s">
        <v>26</v>
      </c>
      <c r="C35">
        <v>2</v>
      </c>
      <c r="D35" t="s">
        <v>31</v>
      </c>
      <c r="E35" t="s">
        <v>13</v>
      </c>
      <c r="F35" t="str">
        <f t="shared" si="0"/>
        <v>Male</v>
      </c>
      <c r="G35">
        <v>66</v>
      </c>
      <c r="H35">
        <v>0</v>
      </c>
      <c r="I35">
        <v>0</v>
      </c>
      <c r="J35">
        <v>10.5</v>
      </c>
      <c r="K35" t="s">
        <v>25</v>
      </c>
      <c r="L35" t="s">
        <v>15</v>
      </c>
      <c r="M35" t="str">
        <f t="shared" si="1"/>
        <v>Man</v>
      </c>
      <c r="N35" t="b">
        <v>1</v>
      </c>
      <c r="O35" t="s">
        <v>16</v>
      </c>
      <c r="P35" t="s">
        <v>17</v>
      </c>
      <c r="Q35" t="str">
        <f t="shared" si="2"/>
        <v>No</v>
      </c>
      <c r="R35" t="b">
        <v>1</v>
      </c>
    </row>
    <row r="36" spans="1:18" x14ac:dyDescent="0.3">
      <c r="A36">
        <v>0</v>
      </c>
      <c r="B36" t="s">
        <v>26</v>
      </c>
      <c r="C36">
        <v>1</v>
      </c>
      <c r="D36" t="s">
        <v>30</v>
      </c>
      <c r="E36" t="s">
        <v>13</v>
      </c>
      <c r="F36" t="str">
        <f t="shared" si="0"/>
        <v>Male</v>
      </c>
      <c r="G36">
        <v>28</v>
      </c>
      <c r="H36">
        <v>1</v>
      </c>
      <c r="I36">
        <v>0</v>
      </c>
      <c r="J36">
        <v>82.1708</v>
      </c>
      <c r="K36" t="s">
        <v>19</v>
      </c>
      <c r="L36" t="s">
        <v>15</v>
      </c>
      <c r="M36" t="str">
        <f t="shared" si="1"/>
        <v>Man</v>
      </c>
      <c r="N36" t="b">
        <v>1</v>
      </c>
      <c r="O36" t="s">
        <v>21</v>
      </c>
      <c r="P36" t="s">
        <v>17</v>
      </c>
      <c r="Q36" t="str">
        <f t="shared" si="2"/>
        <v>No</v>
      </c>
      <c r="R36" t="b">
        <v>0</v>
      </c>
    </row>
    <row r="37" spans="1:18" x14ac:dyDescent="0.3">
      <c r="A37">
        <v>0</v>
      </c>
      <c r="B37" t="s">
        <v>26</v>
      </c>
      <c r="C37">
        <v>1</v>
      </c>
      <c r="D37" t="s">
        <v>30</v>
      </c>
      <c r="E37" t="s">
        <v>13</v>
      </c>
      <c r="F37" t="str">
        <f t="shared" si="0"/>
        <v>Male</v>
      </c>
      <c r="G37">
        <v>42</v>
      </c>
      <c r="H37">
        <v>1</v>
      </c>
      <c r="I37">
        <v>0</v>
      </c>
      <c r="J37">
        <v>52</v>
      </c>
      <c r="K37" t="s">
        <v>19</v>
      </c>
      <c r="L37" t="s">
        <v>15</v>
      </c>
      <c r="M37" t="str">
        <f t="shared" si="1"/>
        <v>Man</v>
      </c>
      <c r="N37" t="b">
        <v>1</v>
      </c>
      <c r="O37" t="s">
        <v>16</v>
      </c>
      <c r="P37" t="s">
        <v>17</v>
      </c>
      <c r="Q37" t="str">
        <f t="shared" si="2"/>
        <v>No</v>
      </c>
      <c r="R37" t="b">
        <v>0</v>
      </c>
    </row>
    <row r="38" spans="1:18" x14ac:dyDescent="0.3">
      <c r="A38">
        <v>1</v>
      </c>
      <c r="B38" t="s">
        <v>27</v>
      </c>
      <c r="C38">
        <v>3</v>
      </c>
      <c r="D38" t="s">
        <v>32</v>
      </c>
      <c r="E38" t="s">
        <v>13</v>
      </c>
      <c r="F38" t="str">
        <f t="shared" si="0"/>
        <v>Male</v>
      </c>
      <c r="G38">
        <v>30</v>
      </c>
      <c r="H38">
        <v>0</v>
      </c>
      <c r="I38">
        <v>0</v>
      </c>
      <c r="J38">
        <v>7.2291999999999996</v>
      </c>
      <c r="K38" t="s">
        <v>14</v>
      </c>
      <c r="L38" t="s">
        <v>15</v>
      </c>
      <c r="M38" t="str">
        <f t="shared" si="1"/>
        <v>Man</v>
      </c>
      <c r="N38" t="b">
        <v>1</v>
      </c>
      <c r="O38" t="s">
        <v>21</v>
      </c>
      <c r="P38" t="s">
        <v>22</v>
      </c>
      <c r="Q38" t="str">
        <f t="shared" si="2"/>
        <v>Yes</v>
      </c>
      <c r="R38" t="b">
        <v>1</v>
      </c>
    </row>
    <row r="39" spans="1:18" x14ac:dyDescent="0.3">
      <c r="A39">
        <v>0</v>
      </c>
      <c r="B39" t="s">
        <v>26</v>
      </c>
      <c r="C39">
        <v>3</v>
      </c>
      <c r="D39" t="s">
        <v>32</v>
      </c>
      <c r="E39" t="s">
        <v>13</v>
      </c>
      <c r="F39" t="str">
        <f t="shared" si="0"/>
        <v>Male</v>
      </c>
      <c r="G39">
        <v>21</v>
      </c>
      <c r="H39">
        <v>0</v>
      </c>
      <c r="I39">
        <v>0</v>
      </c>
      <c r="J39">
        <v>8.0500000000000007</v>
      </c>
      <c r="K39" t="s">
        <v>14</v>
      </c>
      <c r="L39" t="s">
        <v>15</v>
      </c>
      <c r="M39" t="str">
        <f t="shared" si="1"/>
        <v>Man</v>
      </c>
      <c r="N39" t="b">
        <v>1</v>
      </c>
      <c r="O39" t="s">
        <v>16</v>
      </c>
      <c r="P39" t="s">
        <v>17</v>
      </c>
      <c r="Q39" t="str">
        <f t="shared" si="2"/>
        <v>No</v>
      </c>
      <c r="R39" t="b">
        <v>1</v>
      </c>
    </row>
    <row r="40" spans="1:18" x14ac:dyDescent="0.3">
      <c r="A40">
        <v>0</v>
      </c>
      <c r="B40" t="s">
        <v>26</v>
      </c>
      <c r="C40">
        <v>3</v>
      </c>
      <c r="D40" t="s">
        <v>32</v>
      </c>
      <c r="E40" t="s">
        <v>18</v>
      </c>
      <c r="F40" t="str">
        <f t="shared" si="0"/>
        <v>Female</v>
      </c>
      <c r="G40">
        <v>18</v>
      </c>
      <c r="H40">
        <v>2</v>
      </c>
      <c r="I40">
        <v>0</v>
      </c>
      <c r="J40">
        <v>18</v>
      </c>
      <c r="K40" t="s">
        <v>14</v>
      </c>
      <c r="L40" t="s">
        <v>20</v>
      </c>
      <c r="M40" t="str">
        <f t="shared" si="1"/>
        <v>Woman</v>
      </c>
      <c r="N40" t="b">
        <v>0</v>
      </c>
      <c r="O40" t="s">
        <v>16</v>
      </c>
      <c r="P40" t="s">
        <v>17</v>
      </c>
      <c r="Q40" t="str">
        <f t="shared" si="2"/>
        <v>No</v>
      </c>
      <c r="R40" t="b">
        <v>0</v>
      </c>
    </row>
    <row r="41" spans="1:18" x14ac:dyDescent="0.3">
      <c r="A41">
        <v>1</v>
      </c>
      <c r="B41" t="s">
        <v>27</v>
      </c>
      <c r="C41">
        <v>3</v>
      </c>
      <c r="D41" t="s">
        <v>32</v>
      </c>
      <c r="E41" t="s">
        <v>18</v>
      </c>
      <c r="F41" t="str">
        <f t="shared" si="0"/>
        <v>Female</v>
      </c>
      <c r="G41">
        <v>14</v>
      </c>
      <c r="H41">
        <v>1</v>
      </c>
      <c r="I41">
        <v>0</v>
      </c>
      <c r="J41">
        <v>11.2417</v>
      </c>
      <c r="K41" t="s">
        <v>14</v>
      </c>
      <c r="L41" t="s">
        <v>24</v>
      </c>
      <c r="M41" t="str">
        <f t="shared" si="1"/>
        <v>Child</v>
      </c>
      <c r="N41" t="b">
        <v>0</v>
      </c>
      <c r="O41" t="s">
        <v>21</v>
      </c>
      <c r="P41" t="s">
        <v>22</v>
      </c>
      <c r="Q41" t="str">
        <f t="shared" si="2"/>
        <v>Yes</v>
      </c>
      <c r="R41" t="b">
        <v>0</v>
      </c>
    </row>
    <row r="42" spans="1:18" x14ac:dyDescent="0.3">
      <c r="A42">
        <v>0</v>
      </c>
      <c r="B42" t="s">
        <v>26</v>
      </c>
      <c r="C42">
        <v>3</v>
      </c>
      <c r="D42" t="s">
        <v>32</v>
      </c>
      <c r="E42" t="s">
        <v>18</v>
      </c>
      <c r="F42" t="str">
        <f t="shared" si="0"/>
        <v>Female</v>
      </c>
      <c r="G42">
        <v>40</v>
      </c>
      <c r="H42">
        <v>1</v>
      </c>
      <c r="I42">
        <v>0</v>
      </c>
      <c r="J42">
        <v>9.4749999999999996</v>
      </c>
      <c r="K42" t="s">
        <v>14</v>
      </c>
      <c r="L42" t="s">
        <v>20</v>
      </c>
      <c r="M42" t="str">
        <f t="shared" si="1"/>
        <v>Woman</v>
      </c>
      <c r="N42" t="b">
        <v>0</v>
      </c>
      <c r="O42" t="s">
        <v>16</v>
      </c>
      <c r="P42" t="s">
        <v>17</v>
      </c>
      <c r="Q42" t="str">
        <f t="shared" si="2"/>
        <v>No</v>
      </c>
      <c r="R42" t="b">
        <v>0</v>
      </c>
    </row>
    <row r="43" spans="1:18" x14ac:dyDescent="0.3">
      <c r="A43">
        <v>0</v>
      </c>
      <c r="B43" t="s">
        <v>26</v>
      </c>
      <c r="C43">
        <v>2</v>
      </c>
      <c r="D43" t="s">
        <v>31</v>
      </c>
      <c r="E43" t="s">
        <v>18</v>
      </c>
      <c r="F43" t="str">
        <f t="shared" si="0"/>
        <v>Female</v>
      </c>
      <c r="G43">
        <v>27</v>
      </c>
      <c r="H43">
        <v>1</v>
      </c>
      <c r="I43">
        <v>0</v>
      </c>
      <c r="J43">
        <v>21</v>
      </c>
      <c r="K43" t="s">
        <v>25</v>
      </c>
      <c r="L43" t="s">
        <v>20</v>
      </c>
      <c r="M43" t="str">
        <f t="shared" si="1"/>
        <v>Woman</v>
      </c>
      <c r="N43" t="b">
        <v>0</v>
      </c>
      <c r="O43" t="s">
        <v>16</v>
      </c>
      <c r="P43" t="s">
        <v>17</v>
      </c>
      <c r="Q43" t="str">
        <f t="shared" si="2"/>
        <v>No</v>
      </c>
      <c r="R43" t="b">
        <v>0</v>
      </c>
    </row>
    <row r="44" spans="1:18" x14ac:dyDescent="0.3">
      <c r="A44">
        <v>0</v>
      </c>
      <c r="B44" t="s">
        <v>26</v>
      </c>
      <c r="C44">
        <v>3</v>
      </c>
      <c r="D44" t="s">
        <v>32</v>
      </c>
      <c r="E44" t="s">
        <v>13</v>
      </c>
      <c r="F44" t="str">
        <f t="shared" si="0"/>
        <v>Male</v>
      </c>
      <c r="G44">
        <v>30</v>
      </c>
      <c r="H44">
        <v>0</v>
      </c>
      <c r="I44">
        <v>0</v>
      </c>
      <c r="J44">
        <v>7.8958000000000004</v>
      </c>
      <c r="K44" t="s">
        <v>14</v>
      </c>
      <c r="L44" t="s">
        <v>15</v>
      </c>
      <c r="M44" t="str">
        <f t="shared" si="1"/>
        <v>Man</v>
      </c>
      <c r="N44" t="b">
        <v>1</v>
      </c>
      <c r="O44" t="s">
        <v>21</v>
      </c>
      <c r="P44" t="s">
        <v>17</v>
      </c>
      <c r="Q44" t="str">
        <f t="shared" si="2"/>
        <v>No</v>
      </c>
      <c r="R44" t="b">
        <v>1</v>
      </c>
    </row>
    <row r="45" spans="1:18" x14ac:dyDescent="0.3">
      <c r="A45">
        <v>1</v>
      </c>
      <c r="B45" t="s">
        <v>27</v>
      </c>
      <c r="C45">
        <v>2</v>
      </c>
      <c r="D45" t="s">
        <v>31</v>
      </c>
      <c r="E45" t="s">
        <v>18</v>
      </c>
      <c r="F45" t="str">
        <f t="shared" si="0"/>
        <v>Female</v>
      </c>
      <c r="G45">
        <v>3</v>
      </c>
      <c r="H45">
        <v>1</v>
      </c>
      <c r="I45">
        <v>2</v>
      </c>
      <c r="J45">
        <v>41.5792</v>
      </c>
      <c r="K45" t="s">
        <v>25</v>
      </c>
      <c r="L45" t="s">
        <v>24</v>
      </c>
      <c r="M45" t="str">
        <f t="shared" si="1"/>
        <v>Child</v>
      </c>
      <c r="N45" t="b">
        <v>0</v>
      </c>
      <c r="O45" t="s">
        <v>21</v>
      </c>
      <c r="P45" t="s">
        <v>22</v>
      </c>
      <c r="Q45" t="str">
        <f t="shared" si="2"/>
        <v>Yes</v>
      </c>
      <c r="R45" t="b">
        <v>0</v>
      </c>
    </row>
    <row r="46" spans="1:18" x14ac:dyDescent="0.3">
      <c r="A46">
        <v>1</v>
      </c>
      <c r="B46" t="s">
        <v>27</v>
      </c>
      <c r="C46">
        <v>3</v>
      </c>
      <c r="D46" t="s">
        <v>32</v>
      </c>
      <c r="E46" t="s">
        <v>18</v>
      </c>
      <c r="F46" t="str">
        <f t="shared" si="0"/>
        <v>Female</v>
      </c>
      <c r="G46">
        <v>19</v>
      </c>
      <c r="H46">
        <v>0</v>
      </c>
      <c r="I46">
        <v>0</v>
      </c>
      <c r="J46">
        <v>7.8792</v>
      </c>
      <c r="K46" t="s">
        <v>14</v>
      </c>
      <c r="L46" t="s">
        <v>20</v>
      </c>
      <c r="M46" t="str">
        <f t="shared" si="1"/>
        <v>Woman</v>
      </c>
      <c r="N46" t="b">
        <v>0</v>
      </c>
      <c r="O46" t="s">
        <v>23</v>
      </c>
      <c r="P46" t="s">
        <v>22</v>
      </c>
      <c r="Q46" t="str">
        <f t="shared" si="2"/>
        <v>Yes</v>
      </c>
      <c r="R46" t="b">
        <v>1</v>
      </c>
    </row>
    <row r="47" spans="1:18" x14ac:dyDescent="0.3">
      <c r="A47">
        <v>0</v>
      </c>
      <c r="B47" t="s">
        <v>26</v>
      </c>
      <c r="C47">
        <v>3</v>
      </c>
      <c r="D47" t="s">
        <v>32</v>
      </c>
      <c r="E47" t="s">
        <v>13</v>
      </c>
      <c r="F47" t="str">
        <f t="shared" si="0"/>
        <v>Male</v>
      </c>
      <c r="G47">
        <v>30</v>
      </c>
      <c r="H47">
        <v>0</v>
      </c>
      <c r="I47">
        <v>0</v>
      </c>
      <c r="J47">
        <v>8.0500000000000007</v>
      </c>
      <c r="K47" t="s">
        <v>14</v>
      </c>
      <c r="L47" t="s">
        <v>15</v>
      </c>
      <c r="M47" t="str">
        <f t="shared" si="1"/>
        <v>Man</v>
      </c>
      <c r="N47" t="b">
        <v>1</v>
      </c>
      <c r="O47" t="s">
        <v>16</v>
      </c>
      <c r="P47" t="s">
        <v>17</v>
      </c>
      <c r="Q47" t="str">
        <f t="shared" si="2"/>
        <v>No</v>
      </c>
      <c r="R47" t="b">
        <v>1</v>
      </c>
    </row>
    <row r="48" spans="1:18" x14ac:dyDescent="0.3">
      <c r="A48">
        <v>0</v>
      </c>
      <c r="B48" t="s">
        <v>26</v>
      </c>
      <c r="C48">
        <v>3</v>
      </c>
      <c r="D48" t="s">
        <v>32</v>
      </c>
      <c r="E48" t="s">
        <v>13</v>
      </c>
      <c r="F48" t="str">
        <f t="shared" si="0"/>
        <v>Male</v>
      </c>
      <c r="G48">
        <v>30</v>
      </c>
      <c r="H48">
        <v>1</v>
      </c>
      <c r="I48">
        <v>0</v>
      </c>
      <c r="J48">
        <v>15.5</v>
      </c>
      <c r="K48" t="s">
        <v>14</v>
      </c>
      <c r="L48" t="s">
        <v>15</v>
      </c>
      <c r="M48" t="str">
        <f t="shared" si="1"/>
        <v>Man</v>
      </c>
      <c r="N48" t="b">
        <v>1</v>
      </c>
      <c r="O48" t="s">
        <v>23</v>
      </c>
      <c r="P48" t="s">
        <v>17</v>
      </c>
      <c r="Q48" t="str">
        <f t="shared" si="2"/>
        <v>No</v>
      </c>
      <c r="R48" t="b">
        <v>0</v>
      </c>
    </row>
    <row r="49" spans="1:18" x14ac:dyDescent="0.3">
      <c r="A49">
        <v>1</v>
      </c>
      <c r="B49" t="s">
        <v>27</v>
      </c>
      <c r="C49">
        <v>3</v>
      </c>
      <c r="D49" t="s">
        <v>32</v>
      </c>
      <c r="E49" t="s">
        <v>18</v>
      </c>
      <c r="F49" t="str">
        <f t="shared" si="0"/>
        <v>Female</v>
      </c>
      <c r="G49">
        <v>30</v>
      </c>
      <c r="H49">
        <v>0</v>
      </c>
      <c r="I49">
        <v>0</v>
      </c>
      <c r="J49">
        <v>7.75</v>
      </c>
      <c r="K49" t="s">
        <v>14</v>
      </c>
      <c r="L49" t="s">
        <v>20</v>
      </c>
      <c r="M49" t="str">
        <f t="shared" si="1"/>
        <v>Woman</v>
      </c>
      <c r="N49" t="b">
        <v>0</v>
      </c>
      <c r="O49" t="s">
        <v>23</v>
      </c>
      <c r="P49" t="s">
        <v>22</v>
      </c>
      <c r="Q49" t="str">
        <f t="shared" si="2"/>
        <v>Yes</v>
      </c>
      <c r="R49" t="b">
        <v>1</v>
      </c>
    </row>
    <row r="50" spans="1:18" x14ac:dyDescent="0.3">
      <c r="A50">
        <v>0</v>
      </c>
      <c r="B50" t="s">
        <v>26</v>
      </c>
      <c r="C50">
        <v>3</v>
      </c>
      <c r="D50" t="s">
        <v>32</v>
      </c>
      <c r="E50" t="s">
        <v>13</v>
      </c>
      <c r="F50" t="str">
        <f t="shared" si="0"/>
        <v>Male</v>
      </c>
      <c r="G50">
        <v>30</v>
      </c>
      <c r="H50">
        <v>2</v>
      </c>
      <c r="I50">
        <v>0</v>
      </c>
      <c r="J50">
        <v>21.679200000000002</v>
      </c>
      <c r="K50" t="s">
        <v>14</v>
      </c>
      <c r="L50" t="s">
        <v>15</v>
      </c>
      <c r="M50" t="str">
        <f t="shared" si="1"/>
        <v>Man</v>
      </c>
      <c r="N50" t="b">
        <v>1</v>
      </c>
      <c r="O50" t="s">
        <v>21</v>
      </c>
      <c r="P50" t="s">
        <v>17</v>
      </c>
      <c r="Q50" t="str">
        <f t="shared" si="2"/>
        <v>No</v>
      </c>
      <c r="R50" t="b">
        <v>0</v>
      </c>
    </row>
    <row r="51" spans="1:18" x14ac:dyDescent="0.3">
      <c r="A51">
        <v>0</v>
      </c>
      <c r="B51" t="s">
        <v>26</v>
      </c>
      <c r="C51">
        <v>3</v>
      </c>
      <c r="D51" t="s">
        <v>32</v>
      </c>
      <c r="E51" t="s">
        <v>18</v>
      </c>
      <c r="F51" t="str">
        <f t="shared" si="0"/>
        <v>Female</v>
      </c>
      <c r="G51">
        <v>18</v>
      </c>
      <c r="H51">
        <v>1</v>
      </c>
      <c r="I51">
        <v>0</v>
      </c>
      <c r="J51">
        <v>17.8</v>
      </c>
      <c r="K51" t="s">
        <v>14</v>
      </c>
      <c r="L51" t="s">
        <v>20</v>
      </c>
      <c r="M51" t="str">
        <f t="shared" si="1"/>
        <v>Woman</v>
      </c>
      <c r="N51" t="b">
        <v>0</v>
      </c>
      <c r="O51" t="s">
        <v>16</v>
      </c>
      <c r="P51" t="s">
        <v>17</v>
      </c>
      <c r="Q51" t="str">
        <f t="shared" si="2"/>
        <v>No</v>
      </c>
      <c r="R51" t="b">
        <v>0</v>
      </c>
    </row>
    <row r="52" spans="1:18" x14ac:dyDescent="0.3">
      <c r="A52">
        <v>0</v>
      </c>
      <c r="B52" t="s">
        <v>26</v>
      </c>
      <c r="C52">
        <v>3</v>
      </c>
      <c r="D52" t="s">
        <v>32</v>
      </c>
      <c r="E52" t="s">
        <v>13</v>
      </c>
      <c r="F52" t="str">
        <f t="shared" si="0"/>
        <v>Male</v>
      </c>
      <c r="G52">
        <v>7</v>
      </c>
      <c r="H52">
        <v>4</v>
      </c>
      <c r="I52">
        <v>1</v>
      </c>
      <c r="J52">
        <v>39.6875</v>
      </c>
      <c r="K52" t="s">
        <v>14</v>
      </c>
      <c r="L52" t="s">
        <v>24</v>
      </c>
      <c r="M52" t="str">
        <f t="shared" si="1"/>
        <v>Child</v>
      </c>
      <c r="N52" t="b">
        <v>0</v>
      </c>
      <c r="O52" t="s">
        <v>16</v>
      </c>
      <c r="P52" t="s">
        <v>17</v>
      </c>
      <c r="Q52" t="str">
        <f t="shared" si="2"/>
        <v>No</v>
      </c>
      <c r="R52" t="b">
        <v>0</v>
      </c>
    </row>
    <row r="53" spans="1:18" x14ac:dyDescent="0.3">
      <c r="A53">
        <v>0</v>
      </c>
      <c r="B53" t="s">
        <v>26</v>
      </c>
      <c r="C53">
        <v>3</v>
      </c>
      <c r="D53" t="s">
        <v>32</v>
      </c>
      <c r="E53" t="s">
        <v>13</v>
      </c>
      <c r="F53" t="str">
        <f t="shared" si="0"/>
        <v>Male</v>
      </c>
      <c r="G53">
        <v>21</v>
      </c>
      <c r="H53">
        <v>0</v>
      </c>
      <c r="I53">
        <v>0</v>
      </c>
      <c r="J53">
        <v>7.8</v>
      </c>
      <c r="K53" t="s">
        <v>14</v>
      </c>
      <c r="L53" t="s">
        <v>15</v>
      </c>
      <c r="M53" t="str">
        <f t="shared" si="1"/>
        <v>Man</v>
      </c>
      <c r="N53" t="b">
        <v>1</v>
      </c>
      <c r="O53" t="s">
        <v>16</v>
      </c>
      <c r="P53" t="s">
        <v>17</v>
      </c>
      <c r="Q53" t="str">
        <f t="shared" si="2"/>
        <v>No</v>
      </c>
      <c r="R53" t="b">
        <v>1</v>
      </c>
    </row>
    <row r="54" spans="1:18" x14ac:dyDescent="0.3">
      <c r="A54">
        <v>1</v>
      </c>
      <c r="B54" t="s">
        <v>27</v>
      </c>
      <c r="C54">
        <v>1</v>
      </c>
      <c r="D54" t="s">
        <v>30</v>
      </c>
      <c r="E54" t="s">
        <v>18</v>
      </c>
      <c r="F54" t="str">
        <f t="shared" si="0"/>
        <v>Female</v>
      </c>
      <c r="G54">
        <v>49</v>
      </c>
      <c r="H54">
        <v>1</v>
      </c>
      <c r="I54">
        <v>0</v>
      </c>
      <c r="J54">
        <v>76.729200000000006</v>
      </c>
      <c r="K54" t="s">
        <v>19</v>
      </c>
      <c r="L54" t="s">
        <v>20</v>
      </c>
      <c r="M54" t="str">
        <f t="shared" si="1"/>
        <v>Woman</v>
      </c>
      <c r="N54" t="b">
        <v>0</v>
      </c>
      <c r="O54" t="s">
        <v>21</v>
      </c>
      <c r="P54" t="s">
        <v>22</v>
      </c>
      <c r="Q54" t="str">
        <f t="shared" si="2"/>
        <v>Yes</v>
      </c>
      <c r="R54" t="b">
        <v>0</v>
      </c>
    </row>
    <row r="55" spans="1:18" x14ac:dyDescent="0.3">
      <c r="A55">
        <v>1</v>
      </c>
      <c r="B55" t="s">
        <v>27</v>
      </c>
      <c r="C55">
        <v>2</v>
      </c>
      <c r="D55" t="s">
        <v>31</v>
      </c>
      <c r="E55" t="s">
        <v>18</v>
      </c>
      <c r="F55" t="str">
        <f t="shared" si="0"/>
        <v>Female</v>
      </c>
      <c r="G55">
        <v>29</v>
      </c>
      <c r="H55">
        <v>1</v>
      </c>
      <c r="I55">
        <v>0</v>
      </c>
      <c r="J55">
        <v>26</v>
      </c>
      <c r="K55" t="s">
        <v>25</v>
      </c>
      <c r="L55" t="s">
        <v>20</v>
      </c>
      <c r="M55" t="str">
        <f t="shared" si="1"/>
        <v>Woman</v>
      </c>
      <c r="N55" t="b">
        <v>0</v>
      </c>
      <c r="O55" t="s">
        <v>16</v>
      </c>
      <c r="P55" t="s">
        <v>22</v>
      </c>
      <c r="Q55" t="str">
        <f t="shared" si="2"/>
        <v>Yes</v>
      </c>
      <c r="R55" t="b">
        <v>0</v>
      </c>
    </row>
    <row r="56" spans="1:18" x14ac:dyDescent="0.3">
      <c r="A56">
        <v>0</v>
      </c>
      <c r="B56" t="s">
        <v>26</v>
      </c>
      <c r="C56">
        <v>1</v>
      </c>
      <c r="D56" t="s">
        <v>30</v>
      </c>
      <c r="E56" t="s">
        <v>13</v>
      </c>
      <c r="F56" t="str">
        <f t="shared" si="0"/>
        <v>Male</v>
      </c>
      <c r="G56">
        <v>65</v>
      </c>
      <c r="H56">
        <v>0</v>
      </c>
      <c r="I56">
        <v>1</v>
      </c>
      <c r="J56">
        <v>61.979199999999999</v>
      </c>
      <c r="K56" t="s">
        <v>19</v>
      </c>
      <c r="L56" t="s">
        <v>15</v>
      </c>
      <c r="M56" t="str">
        <f t="shared" si="1"/>
        <v>Man</v>
      </c>
      <c r="N56" t="b">
        <v>1</v>
      </c>
      <c r="O56" t="s">
        <v>21</v>
      </c>
      <c r="P56" t="s">
        <v>17</v>
      </c>
      <c r="Q56" t="str">
        <f t="shared" si="2"/>
        <v>No</v>
      </c>
      <c r="R56" t="b">
        <v>0</v>
      </c>
    </row>
    <row r="57" spans="1:18" x14ac:dyDescent="0.3">
      <c r="A57">
        <v>1</v>
      </c>
      <c r="B57" t="s">
        <v>27</v>
      </c>
      <c r="C57">
        <v>1</v>
      </c>
      <c r="D57" t="s">
        <v>30</v>
      </c>
      <c r="E57" t="s">
        <v>13</v>
      </c>
      <c r="F57" t="str">
        <f t="shared" si="0"/>
        <v>Male</v>
      </c>
      <c r="G57">
        <v>30</v>
      </c>
      <c r="H57">
        <v>0</v>
      </c>
      <c r="I57">
        <v>0</v>
      </c>
      <c r="J57">
        <v>35.5</v>
      </c>
      <c r="K57" t="s">
        <v>19</v>
      </c>
      <c r="L57" t="s">
        <v>15</v>
      </c>
      <c r="M57" t="str">
        <f t="shared" si="1"/>
        <v>Man</v>
      </c>
      <c r="N57" t="b">
        <v>1</v>
      </c>
      <c r="O57" t="s">
        <v>16</v>
      </c>
      <c r="P57" t="s">
        <v>22</v>
      </c>
      <c r="Q57" t="str">
        <f t="shared" si="2"/>
        <v>Yes</v>
      </c>
      <c r="R57" t="b">
        <v>1</v>
      </c>
    </row>
    <row r="58" spans="1:18" x14ac:dyDescent="0.3">
      <c r="A58">
        <v>1</v>
      </c>
      <c r="B58" t="s">
        <v>27</v>
      </c>
      <c r="C58">
        <v>2</v>
      </c>
      <c r="D58" t="s">
        <v>31</v>
      </c>
      <c r="E58" t="s">
        <v>18</v>
      </c>
      <c r="F58" t="str">
        <f t="shared" si="0"/>
        <v>Female</v>
      </c>
      <c r="G58">
        <v>21</v>
      </c>
      <c r="H58">
        <v>0</v>
      </c>
      <c r="I58">
        <v>0</v>
      </c>
      <c r="J58">
        <v>10.5</v>
      </c>
      <c r="K58" t="s">
        <v>25</v>
      </c>
      <c r="L58" t="s">
        <v>20</v>
      </c>
      <c r="M58" t="str">
        <f t="shared" si="1"/>
        <v>Woman</v>
      </c>
      <c r="N58" t="b">
        <v>0</v>
      </c>
      <c r="O58" t="s">
        <v>16</v>
      </c>
      <c r="P58" t="s">
        <v>22</v>
      </c>
      <c r="Q58" t="str">
        <f t="shared" si="2"/>
        <v>Yes</v>
      </c>
      <c r="R58" t="b">
        <v>1</v>
      </c>
    </row>
    <row r="59" spans="1:18" x14ac:dyDescent="0.3">
      <c r="A59">
        <v>0</v>
      </c>
      <c r="B59" t="s">
        <v>26</v>
      </c>
      <c r="C59">
        <v>3</v>
      </c>
      <c r="D59" t="s">
        <v>32</v>
      </c>
      <c r="E59" t="s">
        <v>13</v>
      </c>
      <c r="F59" t="str">
        <f t="shared" si="0"/>
        <v>Male</v>
      </c>
      <c r="G59">
        <v>28.5</v>
      </c>
      <c r="H59">
        <v>0</v>
      </c>
      <c r="I59">
        <v>0</v>
      </c>
      <c r="J59">
        <v>7.2291999999999996</v>
      </c>
      <c r="K59" t="s">
        <v>14</v>
      </c>
      <c r="L59" t="s">
        <v>15</v>
      </c>
      <c r="M59" t="str">
        <f t="shared" si="1"/>
        <v>Man</v>
      </c>
      <c r="N59" t="b">
        <v>1</v>
      </c>
      <c r="O59" t="s">
        <v>21</v>
      </c>
      <c r="P59" t="s">
        <v>17</v>
      </c>
      <c r="Q59" t="str">
        <f t="shared" si="2"/>
        <v>No</v>
      </c>
      <c r="R59" t="b">
        <v>1</v>
      </c>
    </row>
    <row r="60" spans="1:18" x14ac:dyDescent="0.3">
      <c r="A60">
        <v>1</v>
      </c>
      <c r="B60" t="s">
        <v>27</v>
      </c>
      <c r="C60">
        <v>2</v>
      </c>
      <c r="D60" t="s">
        <v>31</v>
      </c>
      <c r="E60" t="s">
        <v>18</v>
      </c>
      <c r="F60" t="str">
        <f t="shared" si="0"/>
        <v>Female</v>
      </c>
      <c r="G60">
        <v>5</v>
      </c>
      <c r="H60">
        <v>1</v>
      </c>
      <c r="I60">
        <v>2</v>
      </c>
      <c r="J60">
        <v>27.75</v>
      </c>
      <c r="K60" t="s">
        <v>25</v>
      </c>
      <c r="L60" t="s">
        <v>24</v>
      </c>
      <c r="M60" t="str">
        <f t="shared" si="1"/>
        <v>Child</v>
      </c>
      <c r="N60" t="b">
        <v>0</v>
      </c>
      <c r="O60" t="s">
        <v>16</v>
      </c>
      <c r="P60" t="s">
        <v>22</v>
      </c>
      <c r="Q60" t="str">
        <f t="shared" si="2"/>
        <v>Yes</v>
      </c>
      <c r="R60" t="b">
        <v>0</v>
      </c>
    </row>
    <row r="61" spans="1:18" x14ac:dyDescent="0.3">
      <c r="A61">
        <v>0</v>
      </c>
      <c r="B61" t="s">
        <v>26</v>
      </c>
      <c r="C61">
        <v>3</v>
      </c>
      <c r="D61" t="s">
        <v>32</v>
      </c>
      <c r="E61" t="s">
        <v>13</v>
      </c>
      <c r="F61" t="str">
        <f t="shared" si="0"/>
        <v>Male</v>
      </c>
      <c r="G61">
        <v>11</v>
      </c>
      <c r="H61">
        <v>5</v>
      </c>
      <c r="I61">
        <v>2</v>
      </c>
      <c r="J61">
        <v>46.9</v>
      </c>
      <c r="K61" t="s">
        <v>14</v>
      </c>
      <c r="L61" t="s">
        <v>24</v>
      </c>
      <c r="M61" t="str">
        <f t="shared" si="1"/>
        <v>Child</v>
      </c>
      <c r="N61" t="b">
        <v>0</v>
      </c>
      <c r="O61" t="s">
        <v>16</v>
      </c>
      <c r="P61" t="s">
        <v>17</v>
      </c>
      <c r="Q61" t="str">
        <f t="shared" si="2"/>
        <v>No</v>
      </c>
      <c r="R61" t="b">
        <v>0</v>
      </c>
    </row>
    <row r="62" spans="1:18" x14ac:dyDescent="0.3">
      <c r="A62">
        <v>0</v>
      </c>
      <c r="B62" t="s">
        <v>26</v>
      </c>
      <c r="C62">
        <v>3</v>
      </c>
      <c r="D62" t="s">
        <v>32</v>
      </c>
      <c r="E62" t="s">
        <v>13</v>
      </c>
      <c r="F62" t="str">
        <f t="shared" si="0"/>
        <v>Male</v>
      </c>
      <c r="G62">
        <v>22</v>
      </c>
      <c r="H62">
        <v>0</v>
      </c>
      <c r="I62">
        <v>0</v>
      </c>
      <c r="J62">
        <v>7.2291999999999996</v>
      </c>
      <c r="K62" t="s">
        <v>14</v>
      </c>
      <c r="L62" t="s">
        <v>15</v>
      </c>
      <c r="M62" t="str">
        <f t="shared" si="1"/>
        <v>Man</v>
      </c>
      <c r="N62" t="b">
        <v>1</v>
      </c>
      <c r="O62" t="s">
        <v>21</v>
      </c>
      <c r="P62" t="s">
        <v>17</v>
      </c>
      <c r="Q62" t="str">
        <f t="shared" si="2"/>
        <v>No</v>
      </c>
      <c r="R62" t="b">
        <v>1</v>
      </c>
    </row>
    <row r="63" spans="1:18" x14ac:dyDescent="0.3">
      <c r="A63">
        <v>1</v>
      </c>
      <c r="B63" t="s">
        <v>27</v>
      </c>
      <c r="C63">
        <v>1</v>
      </c>
      <c r="D63" t="s">
        <v>30</v>
      </c>
      <c r="E63" t="s">
        <v>18</v>
      </c>
      <c r="F63" t="str">
        <f t="shared" si="0"/>
        <v>Female</v>
      </c>
      <c r="G63">
        <v>38</v>
      </c>
      <c r="H63">
        <v>0</v>
      </c>
      <c r="I63">
        <v>0</v>
      </c>
      <c r="J63">
        <v>80</v>
      </c>
      <c r="K63" t="s">
        <v>19</v>
      </c>
      <c r="L63" t="s">
        <v>20</v>
      </c>
      <c r="M63" t="str">
        <f t="shared" si="1"/>
        <v>Woman</v>
      </c>
      <c r="N63" t="b">
        <v>0</v>
      </c>
      <c r="O63" t="s">
        <v>16</v>
      </c>
      <c r="P63" t="s">
        <v>22</v>
      </c>
      <c r="Q63" t="str">
        <f t="shared" si="2"/>
        <v>Yes</v>
      </c>
      <c r="R63" t="b">
        <v>1</v>
      </c>
    </row>
    <row r="64" spans="1:18" x14ac:dyDescent="0.3">
      <c r="A64">
        <v>0</v>
      </c>
      <c r="B64" t="s">
        <v>26</v>
      </c>
      <c r="C64">
        <v>1</v>
      </c>
      <c r="D64" t="s">
        <v>30</v>
      </c>
      <c r="E64" t="s">
        <v>13</v>
      </c>
      <c r="F64" t="str">
        <f t="shared" si="0"/>
        <v>Male</v>
      </c>
      <c r="G64">
        <v>45</v>
      </c>
      <c r="H64">
        <v>1</v>
      </c>
      <c r="I64">
        <v>0</v>
      </c>
      <c r="J64">
        <v>83.474999999999994</v>
      </c>
      <c r="K64" t="s">
        <v>19</v>
      </c>
      <c r="L64" t="s">
        <v>15</v>
      </c>
      <c r="M64" t="str">
        <f t="shared" si="1"/>
        <v>Man</v>
      </c>
      <c r="N64" t="b">
        <v>1</v>
      </c>
      <c r="O64" t="s">
        <v>16</v>
      </c>
      <c r="P64" t="s">
        <v>17</v>
      </c>
      <c r="Q64" t="str">
        <f t="shared" si="2"/>
        <v>No</v>
      </c>
      <c r="R64" t="b">
        <v>0</v>
      </c>
    </row>
    <row r="65" spans="1:18" x14ac:dyDescent="0.3">
      <c r="A65">
        <v>0</v>
      </c>
      <c r="B65" t="s">
        <v>26</v>
      </c>
      <c r="C65">
        <v>3</v>
      </c>
      <c r="D65" t="s">
        <v>32</v>
      </c>
      <c r="E65" t="s">
        <v>13</v>
      </c>
      <c r="F65" t="str">
        <f t="shared" si="0"/>
        <v>Male</v>
      </c>
      <c r="G65">
        <v>4</v>
      </c>
      <c r="H65">
        <v>3</v>
      </c>
      <c r="I65">
        <v>2</v>
      </c>
      <c r="J65">
        <v>27.9</v>
      </c>
      <c r="K65" t="s">
        <v>14</v>
      </c>
      <c r="L65" t="s">
        <v>24</v>
      </c>
      <c r="M65" t="str">
        <f t="shared" si="1"/>
        <v>Child</v>
      </c>
      <c r="N65" t="b">
        <v>0</v>
      </c>
      <c r="O65" t="s">
        <v>16</v>
      </c>
      <c r="P65" t="s">
        <v>17</v>
      </c>
      <c r="Q65" t="str">
        <f t="shared" si="2"/>
        <v>No</v>
      </c>
      <c r="R65" t="b">
        <v>0</v>
      </c>
    </row>
    <row r="66" spans="1:18" x14ac:dyDescent="0.3">
      <c r="A66">
        <v>0</v>
      </c>
      <c r="B66" t="s">
        <v>26</v>
      </c>
      <c r="C66">
        <v>1</v>
      </c>
      <c r="D66" t="s">
        <v>30</v>
      </c>
      <c r="E66" t="s">
        <v>13</v>
      </c>
      <c r="F66" t="str">
        <f t="shared" si="0"/>
        <v>Male</v>
      </c>
      <c r="G66">
        <v>30</v>
      </c>
      <c r="H66">
        <v>0</v>
      </c>
      <c r="I66">
        <v>0</v>
      </c>
      <c r="J66">
        <v>27.720800000000001</v>
      </c>
      <c r="K66" t="s">
        <v>19</v>
      </c>
      <c r="L66" t="s">
        <v>15</v>
      </c>
      <c r="M66" t="str">
        <f t="shared" si="1"/>
        <v>Man</v>
      </c>
      <c r="N66" t="b">
        <v>1</v>
      </c>
      <c r="O66" t="s">
        <v>21</v>
      </c>
      <c r="P66" t="s">
        <v>17</v>
      </c>
      <c r="Q66" t="str">
        <f t="shared" si="2"/>
        <v>No</v>
      </c>
      <c r="R66" t="b">
        <v>1</v>
      </c>
    </row>
    <row r="67" spans="1:18" x14ac:dyDescent="0.3">
      <c r="A67">
        <v>1</v>
      </c>
      <c r="B67" t="s">
        <v>27</v>
      </c>
      <c r="C67">
        <v>3</v>
      </c>
      <c r="D67" t="s">
        <v>32</v>
      </c>
      <c r="E67" t="s">
        <v>13</v>
      </c>
      <c r="F67" t="str">
        <f t="shared" ref="F67:F130" si="3">PROPER(E67)</f>
        <v>Male</v>
      </c>
      <c r="G67">
        <v>30</v>
      </c>
      <c r="H67">
        <v>1</v>
      </c>
      <c r="I67">
        <v>1</v>
      </c>
      <c r="J67">
        <v>15.245799999999999</v>
      </c>
      <c r="K67" t="s">
        <v>14</v>
      </c>
      <c r="L67" t="s">
        <v>15</v>
      </c>
      <c r="M67" t="str">
        <f t="shared" ref="M67:M130" si="4">PROPER(L67)</f>
        <v>Man</v>
      </c>
      <c r="N67" t="b">
        <v>1</v>
      </c>
      <c r="O67" t="s">
        <v>21</v>
      </c>
      <c r="P67" t="s">
        <v>22</v>
      </c>
      <c r="Q67" t="str">
        <f t="shared" ref="Q67:Q130" si="5">PROPER(P67)</f>
        <v>Yes</v>
      </c>
      <c r="R67" t="b">
        <v>0</v>
      </c>
    </row>
    <row r="68" spans="1:18" x14ac:dyDescent="0.3">
      <c r="A68">
        <v>1</v>
      </c>
      <c r="B68" t="s">
        <v>27</v>
      </c>
      <c r="C68">
        <v>2</v>
      </c>
      <c r="D68" t="s">
        <v>31</v>
      </c>
      <c r="E68" t="s">
        <v>18</v>
      </c>
      <c r="F68" t="str">
        <f t="shared" si="3"/>
        <v>Female</v>
      </c>
      <c r="G68">
        <v>29</v>
      </c>
      <c r="H68">
        <v>0</v>
      </c>
      <c r="I68">
        <v>0</v>
      </c>
      <c r="J68">
        <v>10.5</v>
      </c>
      <c r="K68" t="s">
        <v>25</v>
      </c>
      <c r="L68" t="s">
        <v>20</v>
      </c>
      <c r="M68" t="str">
        <f t="shared" si="4"/>
        <v>Woman</v>
      </c>
      <c r="N68" t="b">
        <v>0</v>
      </c>
      <c r="O68" t="s">
        <v>16</v>
      </c>
      <c r="P68" t="s">
        <v>22</v>
      </c>
      <c r="Q68" t="str">
        <f t="shared" si="5"/>
        <v>Yes</v>
      </c>
      <c r="R68" t="b">
        <v>1</v>
      </c>
    </row>
    <row r="69" spans="1:18" x14ac:dyDescent="0.3">
      <c r="A69">
        <v>0</v>
      </c>
      <c r="B69" t="s">
        <v>26</v>
      </c>
      <c r="C69">
        <v>3</v>
      </c>
      <c r="D69" t="s">
        <v>32</v>
      </c>
      <c r="E69" t="s">
        <v>13</v>
      </c>
      <c r="F69" t="str">
        <f t="shared" si="3"/>
        <v>Male</v>
      </c>
      <c r="G69">
        <v>19</v>
      </c>
      <c r="H69">
        <v>0</v>
      </c>
      <c r="I69">
        <v>0</v>
      </c>
      <c r="J69">
        <v>8.1583000000000006</v>
      </c>
      <c r="K69" t="s">
        <v>14</v>
      </c>
      <c r="L69" t="s">
        <v>15</v>
      </c>
      <c r="M69" t="str">
        <f t="shared" si="4"/>
        <v>Man</v>
      </c>
      <c r="N69" t="b">
        <v>1</v>
      </c>
      <c r="O69" t="s">
        <v>16</v>
      </c>
      <c r="P69" t="s">
        <v>17</v>
      </c>
      <c r="Q69" t="str">
        <f t="shared" si="5"/>
        <v>No</v>
      </c>
      <c r="R69" t="b">
        <v>1</v>
      </c>
    </row>
    <row r="70" spans="1:18" x14ac:dyDescent="0.3">
      <c r="A70">
        <v>1</v>
      </c>
      <c r="B70" t="s">
        <v>27</v>
      </c>
      <c r="C70">
        <v>3</v>
      </c>
      <c r="D70" t="s">
        <v>32</v>
      </c>
      <c r="E70" t="s">
        <v>18</v>
      </c>
      <c r="F70" t="str">
        <f t="shared" si="3"/>
        <v>Female</v>
      </c>
      <c r="G70">
        <v>17</v>
      </c>
      <c r="H70">
        <v>4</v>
      </c>
      <c r="I70">
        <v>2</v>
      </c>
      <c r="J70">
        <v>7.9249999999999998</v>
      </c>
      <c r="K70" t="s">
        <v>14</v>
      </c>
      <c r="L70" t="s">
        <v>20</v>
      </c>
      <c r="M70" t="str">
        <f t="shared" si="4"/>
        <v>Woman</v>
      </c>
      <c r="N70" t="b">
        <v>0</v>
      </c>
      <c r="O70" t="s">
        <v>16</v>
      </c>
      <c r="P70" t="s">
        <v>22</v>
      </c>
      <c r="Q70" t="str">
        <f t="shared" si="5"/>
        <v>Yes</v>
      </c>
      <c r="R70" t="b">
        <v>0</v>
      </c>
    </row>
    <row r="71" spans="1:18" x14ac:dyDescent="0.3">
      <c r="A71">
        <v>0</v>
      </c>
      <c r="B71" t="s">
        <v>26</v>
      </c>
      <c r="C71">
        <v>3</v>
      </c>
      <c r="D71" t="s">
        <v>32</v>
      </c>
      <c r="E71" t="s">
        <v>13</v>
      </c>
      <c r="F71" t="str">
        <f t="shared" si="3"/>
        <v>Male</v>
      </c>
      <c r="G71">
        <v>26</v>
      </c>
      <c r="H71">
        <v>2</v>
      </c>
      <c r="I71">
        <v>0</v>
      </c>
      <c r="J71">
        <v>8.6624999999999996</v>
      </c>
      <c r="K71" t="s">
        <v>14</v>
      </c>
      <c r="L71" t="s">
        <v>15</v>
      </c>
      <c r="M71" t="str">
        <f t="shared" si="4"/>
        <v>Man</v>
      </c>
      <c r="N71" t="b">
        <v>1</v>
      </c>
      <c r="O71" t="s">
        <v>16</v>
      </c>
      <c r="P71" t="s">
        <v>17</v>
      </c>
      <c r="Q71" t="str">
        <f t="shared" si="5"/>
        <v>No</v>
      </c>
      <c r="R71" t="b">
        <v>0</v>
      </c>
    </row>
    <row r="72" spans="1:18" x14ac:dyDescent="0.3">
      <c r="A72">
        <v>0</v>
      </c>
      <c r="B72" t="s">
        <v>26</v>
      </c>
      <c r="C72">
        <v>2</v>
      </c>
      <c r="D72" t="s">
        <v>31</v>
      </c>
      <c r="E72" t="s">
        <v>13</v>
      </c>
      <c r="F72" t="str">
        <f t="shared" si="3"/>
        <v>Male</v>
      </c>
      <c r="G72">
        <v>32</v>
      </c>
      <c r="H72">
        <v>0</v>
      </c>
      <c r="I72">
        <v>0</v>
      </c>
      <c r="J72">
        <v>10.5</v>
      </c>
      <c r="K72" t="s">
        <v>25</v>
      </c>
      <c r="L72" t="s">
        <v>15</v>
      </c>
      <c r="M72" t="str">
        <f t="shared" si="4"/>
        <v>Man</v>
      </c>
      <c r="N72" t="b">
        <v>1</v>
      </c>
      <c r="O72" t="s">
        <v>16</v>
      </c>
      <c r="P72" t="s">
        <v>17</v>
      </c>
      <c r="Q72" t="str">
        <f t="shared" si="5"/>
        <v>No</v>
      </c>
      <c r="R72" t="b">
        <v>1</v>
      </c>
    </row>
    <row r="73" spans="1:18" x14ac:dyDescent="0.3">
      <c r="A73">
        <v>0</v>
      </c>
      <c r="B73" t="s">
        <v>26</v>
      </c>
      <c r="C73">
        <v>3</v>
      </c>
      <c r="D73" t="s">
        <v>32</v>
      </c>
      <c r="E73" t="s">
        <v>18</v>
      </c>
      <c r="F73" t="str">
        <f t="shared" si="3"/>
        <v>Female</v>
      </c>
      <c r="G73">
        <v>16</v>
      </c>
      <c r="H73">
        <v>5</v>
      </c>
      <c r="I73">
        <v>2</v>
      </c>
      <c r="J73">
        <v>46.9</v>
      </c>
      <c r="K73" t="s">
        <v>14</v>
      </c>
      <c r="L73" t="s">
        <v>20</v>
      </c>
      <c r="M73" t="str">
        <f t="shared" si="4"/>
        <v>Woman</v>
      </c>
      <c r="N73" t="b">
        <v>0</v>
      </c>
      <c r="O73" t="s">
        <v>16</v>
      </c>
      <c r="P73" t="s">
        <v>17</v>
      </c>
      <c r="Q73" t="str">
        <f t="shared" si="5"/>
        <v>No</v>
      </c>
      <c r="R73" t="b">
        <v>0</v>
      </c>
    </row>
    <row r="74" spans="1:18" x14ac:dyDescent="0.3">
      <c r="A74">
        <v>0</v>
      </c>
      <c r="B74" t="s">
        <v>26</v>
      </c>
      <c r="C74">
        <v>2</v>
      </c>
      <c r="D74" t="s">
        <v>31</v>
      </c>
      <c r="E74" t="s">
        <v>13</v>
      </c>
      <c r="F74" t="str">
        <f t="shared" si="3"/>
        <v>Male</v>
      </c>
      <c r="G74">
        <v>21</v>
      </c>
      <c r="H74">
        <v>0</v>
      </c>
      <c r="I74">
        <v>0</v>
      </c>
      <c r="J74">
        <v>73.5</v>
      </c>
      <c r="K74" t="s">
        <v>25</v>
      </c>
      <c r="L74" t="s">
        <v>15</v>
      </c>
      <c r="M74" t="str">
        <f t="shared" si="4"/>
        <v>Man</v>
      </c>
      <c r="N74" t="b">
        <v>1</v>
      </c>
      <c r="O74" t="s">
        <v>16</v>
      </c>
      <c r="P74" t="s">
        <v>17</v>
      </c>
      <c r="Q74" t="str">
        <f t="shared" si="5"/>
        <v>No</v>
      </c>
      <c r="R74" t="b">
        <v>1</v>
      </c>
    </row>
    <row r="75" spans="1:18" x14ac:dyDescent="0.3">
      <c r="A75">
        <v>0</v>
      </c>
      <c r="B75" t="s">
        <v>26</v>
      </c>
      <c r="C75">
        <v>3</v>
      </c>
      <c r="D75" t="s">
        <v>32</v>
      </c>
      <c r="E75" t="s">
        <v>13</v>
      </c>
      <c r="F75" t="str">
        <f t="shared" si="3"/>
        <v>Male</v>
      </c>
      <c r="G75">
        <v>26</v>
      </c>
      <c r="H75">
        <v>1</v>
      </c>
      <c r="I75">
        <v>0</v>
      </c>
      <c r="J75">
        <v>14.4542</v>
      </c>
      <c r="K75" t="s">
        <v>14</v>
      </c>
      <c r="L75" t="s">
        <v>15</v>
      </c>
      <c r="M75" t="str">
        <f t="shared" si="4"/>
        <v>Man</v>
      </c>
      <c r="N75" t="b">
        <v>1</v>
      </c>
      <c r="O75" t="s">
        <v>21</v>
      </c>
      <c r="P75" t="s">
        <v>17</v>
      </c>
      <c r="Q75" t="str">
        <f t="shared" si="5"/>
        <v>No</v>
      </c>
      <c r="R75" t="b">
        <v>0</v>
      </c>
    </row>
    <row r="76" spans="1:18" x14ac:dyDescent="0.3">
      <c r="A76">
        <v>1</v>
      </c>
      <c r="B76" t="s">
        <v>27</v>
      </c>
      <c r="C76">
        <v>3</v>
      </c>
      <c r="D76" t="s">
        <v>32</v>
      </c>
      <c r="E76" t="s">
        <v>13</v>
      </c>
      <c r="F76" t="str">
        <f t="shared" si="3"/>
        <v>Male</v>
      </c>
      <c r="G76">
        <v>32</v>
      </c>
      <c r="H76">
        <v>0</v>
      </c>
      <c r="I76">
        <v>0</v>
      </c>
      <c r="J76">
        <v>56.495800000000003</v>
      </c>
      <c r="K76" t="s">
        <v>14</v>
      </c>
      <c r="L76" t="s">
        <v>15</v>
      </c>
      <c r="M76" t="str">
        <f t="shared" si="4"/>
        <v>Man</v>
      </c>
      <c r="N76" t="b">
        <v>1</v>
      </c>
      <c r="O76" t="s">
        <v>16</v>
      </c>
      <c r="P76" t="s">
        <v>22</v>
      </c>
      <c r="Q76" t="str">
        <f t="shared" si="5"/>
        <v>Yes</v>
      </c>
      <c r="R76" t="b">
        <v>1</v>
      </c>
    </row>
    <row r="77" spans="1:18" x14ac:dyDescent="0.3">
      <c r="A77">
        <v>0</v>
      </c>
      <c r="B77" t="s">
        <v>26</v>
      </c>
      <c r="C77">
        <v>3</v>
      </c>
      <c r="D77" t="s">
        <v>32</v>
      </c>
      <c r="E77" t="s">
        <v>13</v>
      </c>
      <c r="F77" t="str">
        <f t="shared" si="3"/>
        <v>Male</v>
      </c>
      <c r="G77">
        <v>25</v>
      </c>
      <c r="H77">
        <v>0</v>
      </c>
      <c r="I77">
        <v>0</v>
      </c>
      <c r="J77">
        <v>7.65</v>
      </c>
      <c r="K77" t="s">
        <v>14</v>
      </c>
      <c r="L77" t="s">
        <v>15</v>
      </c>
      <c r="M77" t="str">
        <f t="shared" si="4"/>
        <v>Man</v>
      </c>
      <c r="N77" t="b">
        <v>1</v>
      </c>
      <c r="O77" t="s">
        <v>16</v>
      </c>
      <c r="P77" t="s">
        <v>17</v>
      </c>
      <c r="Q77" t="str">
        <f t="shared" si="5"/>
        <v>No</v>
      </c>
      <c r="R77" t="b">
        <v>1</v>
      </c>
    </row>
    <row r="78" spans="1:18" x14ac:dyDescent="0.3">
      <c r="A78">
        <v>0</v>
      </c>
      <c r="B78" t="s">
        <v>26</v>
      </c>
      <c r="C78">
        <v>3</v>
      </c>
      <c r="D78" t="s">
        <v>32</v>
      </c>
      <c r="E78" t="s">
        <v>13</v>
      </c>
      <c r="F78" t="str">
        <f t="shared" si="3"/>
        <v>Male</v>
      </c>
      <c r="G78">
        <v>30</v>
      </c>
      <c r="H78">
        <v>0</v>
      </c>
      <c r="I78">
        <v>0</v>
      </c>
      <c r="J78">
        <v>7.8958000000000004</v>
      </c>
      <c r="K78" t="s">
        <v>14</v>
      </c>
      <c r="L78" t="s">
        <v>15</v>
      </c>
      <c r="M78" t="str">
        <f t="shared" si="4"/>
        <v>Man</v>
      </c>
      <c r="N78" t="b">
        <v>1</v>
      </c>
      <c r="O78" t="s">
        <v>16</v>
      </c>
      <c r="P78" t="s">
        <v>17</v>
      </c>
      <c r="Q78" t="str">
        <f t="shared" si="5"/>
        <v>No</v>
      </c>
      <c r="R78" t="b">
        <v>1</v>
      </c>
    </row>
    <row r="79" spans="1:18" x14ac:dyDescent="0.3">
      <c r="A79">
        <v>0</v>
      </c>
      <c r="B79" t="s">
        <v>26</v>
      </c>
      <c r="C79">
        <v>3</v>
      </c>
      <c r="D79" t="s">
        <v>32</v>
      </c>
      <c r="E79" t="s">
        <v>13</v>
      </c>
      <c r="F79" t="str">
        <f t="shared" si="3"/>
        <v>Male</v>
      </c>
      <c r="G79">
        <v>30</v>
      </c>
      <c r="H79">
        <v>0</v>
      </c>
      <c r="I79">
        <v>0</v>
      </c>
      <c r="J79">
        <v>8.0500000000000007</v>
      </c>
      <c r="K79" t="s">
        <v>14</v>
      </c>
      <c r="L79" t="s">
        <v>15</v>
      </c>
      <c r="M79" t="str">
        <f t="shared" si="4"/>
        <v>Man</v>
      </c>
      <c r="N79" t="b">
        <v>1</v>
      </c>
      <c r="O79" t="s">
        <v>16</v>
      </c>
      <c r="P79" t="s">
        <v>17</v>
      </c>
      <c r="Q79" t="str">
        <f t="shared" si="5"/>
        <v>No</v>
      </c>
      <c r="R79" t="b">
        <v>1</v>
      </c>
    </row>
    <row r="80" spans="1:18" x14ac:dyDescent="0.3">
      <c r="A80">
        <v>1</v>
      </c>
      <c r="B80" t="s">
        <v>27</v>
      </c>
      <c r="C80">
        <v>2</v>
      </c>
      <c r="D80" t="s">
        <v>31</v>
      </c>
      <c r="E80" t="s">
        <v>13</v>
      </c>
      <c r="F80" t="str">
        <f t="shared" si="3"/>
        <v>Male</v>
      </c>
      <c r="G80">
        <v>0.83</v>
      </c>
      <c r="H80">
        <v>0</v>
      </c>
      <c r="I80">
        <v>2</v>
      </c>
      <c r="J80">
        <v>29</v>
      </c>
      <c r="K80" t="s">
        <v>25</v>
      </c>
      <c r="L80" t="s">
        <v>24</v>
      </c>
      <c r="M80" t="str">
        <f t="shared" si="4"/>
        <v>Child</v>
      </c>
      <c r="N80" t="b">
        <v>0</v>
      </c>
      <c r="O80" t="s">
        <v>16</v>
      </c>
      <c r="P80" t="s">
        <v>22</v>
      </c>
      <c r="Q80" t="str">
        <f t="shared" si="5"/>
        <v>Yes</v>
      </c>
      <c r="R80" t="b">
        <v>0</v>
      </c>
    </row>
    <row r="81" spans="1:18" x14ac:dyDescent="0.3">
      <c r="A81">
        <v>1</v>
      </c>
      <c r="B81" t="s">
        <v>27</v>
      </c>
      <c r="C81">
        <v>3</v>
      </c>
      <c r="D81" t="s">
        <v>32</v>
      </c>
      <c r="E81" t="s">
        <v>18</v>
      </c>
      <c r="F81" t="str">
        <f t="shared" si="3"/>
        <v>Female</v>
      </c>
      <c r="G81">
        <v>30</v>
      </c>
      <c r="H81">
        <v>0</v>
      </c>
      <c r="I81">
        <v>0</v>
      </c>
      <c r="J81">
        <v>12.475</v>
      </c>
      <c r="K81" t="s">
        <v>14</v>
      </c>
      <c r="L81" t="s">
        <v>20</v>
      </c>
      <c r="M81" t="str">
        <f t="shared" si="4"/>
        <v>Woman</v>
      </c>
      <c r="N81" t="b">
        <v>0</v>
      </c>
      <c r="O81" t="s">
        <v>16</v>
      </c>
      <c r="P81" t="s">
        <v>22</v>
      </c>
      <c r="Q81" t="str">
        <f t="shared" si="5"/>
        <v>Yes</v>
      </c>
      <c r="R81" t="b">
        <v>1</v>
      </c>
    </row>
    <row r="82" spans="1:18" x14ac:dyDescent="0.3">
      <c r="A82">
        <v>0</v>
      </c>
      <c r="B82" t="s">
        <v>26</v>
      </c>
      <c r="C82">
        <v>3</v>
      </c>
      <c r="D82" t="s">
        <v>32</v>
      </c>
      <c r="E82" t="s">
        <v>13</v>
      </c>
      <c r="F82" t="str">
        <f t="shared" si="3"/>
        <v>Male</v>
      </c>
      <c r="G82">
        <v>22</v>
      </c>
      <c r="H82">
        <v>0</v>
      </c>
      <c r="I82">
        <v>0</v>
      </c>
      <c r="J82">
        <v>9</v>
      </c>
      <c r="K82" t="s">
        <v>14</v>
      </c>
      <c r="L82" t="s">
        <v>15</v>
      </c>
      <c r="M82" t="str">
        <f t="shared" si="4"/>
        <v>Man</v>
      </c>
      <c r="N82" t="b">
        <v>1</v>
      </c>
      <c r="O82" t="s">
        <v>16</v>
      </c>
      <c r="P82" t="s">
        <v>17</v>
      </c>
      <c r="Q82" t="str">
        <f t="shared" si="5"/>
        <v>No</v>
      </c>
      <c r="R82" t="b">
        <v>1</v>
      </c>
    </row>
    <row r="83" spans="1:18" x14ac:dyDescent="0.3">
      <c r="A83">
        <v>1</v>
      </c>
      <c r="B83" t="s">
        <v>27</v>
      </c>
      <c r="C83">
        <v>3</v>
      </c>
      <c r="D83" t="s">
        <v>32</v>
      </c>
      <c r="E83" t="s">
        <v>13</v>
      </c>
      <c r="F83" t="str">
        <f t="shared" si="3"/>
        <v>Male</v>
      </c>
      <c r="G83">
        <v>29</v>
      </c>
      <c r="H83">
        <v>0</v>
      </c>
      <c r="I83">
        <v>0</v>
      </c>
      <c r="J83">
        <v>9.5</v>
      </c>
      <c r="K83" t="s">
        <v>14</v>
      </c>
      <c r="L83" t="s">
        <v>15</v>
      </c>
      <c r="M83" t="str">
        <f t="shared" si="4"/>
        <v>Man</v>
      </c>
      <c r="N83" t="b">
        <v>1</v>
      </c>
      <c r="O83" t="s">
        <v>16</v>
      </c>
      <c r="P83" t="s">
        <v>22</v>
      </c>
      <c r="Q83" t="str">
        <f t="shared" si="5"/>
        <v>Yes</v>
      </c>
      <c r="R83" t="b">
        <v>1</v>
      </c>
    </row>
    <row r="84" spans="1:18" x14ac:dyDescent="0.3">
      <c r="A84">
        <v>1</v>
      </c>
      <c r="B84" t="s">
        <v>27</v>
      </c>
      <c r="C84">
        <v>3</v>
      </c>
      <c r="D84" t="s">
        <v>32</v>
      </c>
      <c r="E84" t="s">
        <v>18</v>
      </c>
      <c r="F84" t="str">
        <f t="shared" si="3"/>
        <v>Female</v>
      </c>
      <c r="G84">
        <v>30</v>
      </c>
      <c r="H84">
        <v>0</v>
      </c>
      <c r="I84">
        <v>0</v>
      </c>
      <c r="J84">
        <v>7.7874999999999996</v>
      </c>
      <c r="K84" t="s">
        <v>14</v>
      </c>
      <c r="L84" t="s">
        <v>20</v>
      </c>
      <c r="M84" t="str">
        <f t="shared" si="4"/>
        <v>Woman</v>
      </c>
      <c r="N84" t="b">
        <v>0</v>
      </c>
      <c r="O84" t="s">
        <v>23</v>
      </c>
      <c r="P84" t="s">
        <v>22</v>
      </c>
      <c r="Q84" t="str">
        <f t="shared" si="5"/>
        <v>Yes</v>
      </c>
      <c r="R84" t="b">
        <v>1</v>
      </c>
    </row>
    <row r="85" spans="1:18" x14ac:dyDescent="0.3">
      <c r="A85">
        <v>0</v>
      </c>
      <c r="B85" t="s">
        <v>26</v>
      </c>
      <c r="C85">
        <v>1</v>
      </c>
      <c r="D85" t="s">
        <v>30</v>
      </c>
      <c r="E85" t="s">
        <v>13</v>
      </c>
      <c r="F85" t="str">
        <f t="shared" si="3"/>
        <v>Male</v>
      </c>
      <c r="G85">
        <v>28</v>
      </c>
      <c r="H85">
        <v>0</v>
      </c>
      <c r="I85">
        <v>0</v>
      </c>
      <c r="J85">
        <v>47.1</v>
      </c>
      <c r="K85" t="s">
        <v>19</v>
      </c>
      <c r="L85" t="s">
        <v>15</v>
      </c>
      <c r="M85" t="str">
        <f t="shared" si="4"/>
        <v>Man</v>
      </c>
      <c r="N85" t="b">
        <v>1</v>
      </c>
      <c r="O85" t="s">
        <v>16</v>
      </c>
      <c r="P85" t="s">
        <v>17</v>
      </c>
      <c r="Q85" t="str">
        <f t="shared" si="5"/>
        <v>No</v>
      </c>
      <c r="R85" t="b">
        <v>1</v>
      </c>
    </row>
    <row r="86" spans="1:18" x14ac:dyDescent="0.3">
      <c r="A86">
        <v>1</v>
      </c>
      <c r="B86" t="s">
        <v>27</v>
      </c>
      <c r="C86">
        <v>2</v>
      </c>
      <c r="D86" t="s">
        <v>31</v>
      </c>
      <c r="E86" t="s">
        <v>18</v>
      </c>
      <c r="F86" t="str">
        <f t="shared" si="3"/>
        <v>Female</v>
      </c>
      <c r="G86">
        <v>17</v>
      </c>
      <c r="H86">
        <v>0</v>
      </c>
      <c r="I86">
        <v>0</v>
      </c>
      <c r="J86">
        <v>10.5</v>
      </c>
      <c r="K86" t="s">
        <v>25</v>
      </c>
      <c r="L86" t="s">
        <v>20</v>
      </c>
      <c r="M86" t="str">
        <f t="shared" si="4"/>
        <v>Woman</v>
      </c>
      <c r="N86" t="b">
        <v>0</v>
      </c>
      <c r="O86" t="s">
        <v>16</v>
      </c>
      <c r="P86" t="s">
        <v>22</v>
      </c>
      <c r="Q86" t="str">
        <f t="shared" si="5"/>
        <v>Yes</v>
      </c>
      <c r="R86" t="b">
        <v>1</v>
      </c>
    </row>
    <row r="87" spans="1:18" x14ac:dyDescent="0.3">
      <c r="A87">
        <v>1</v>
      </c>
      <c r="B87" t="s">
        <v>27</v>
      </c>
      <c r="C87">
        <v>3</v>
      </c>
      <c r="D87" t="s">
        <v>32</v>
      </c>
      <c r="E87" t="s">
        <v>18</v>
      </c>
      <c r="F87" t="str">
        <f t="shared" si="3"/>
        <v>Female</v>
      </c>
      <c r="G87">
        <v>33</v>
      </c>
      <c r="H87">
        <v>3</v>
      </c>
      <c r="I87">
        <v>0</v>
      </c>
      <c r="J87">
        <v>15.85</v>
      </c>
      <c r="K87" t="s">
        <v>14</v>
      </c>
      <c r="L87" t="s">
        <v>20</v>
      </c>
      <c r="M87" t="str">
        <f t="shared" si="4"/>
        <v>Woman</v>
      </c>
      <c r="N87" t="b">
        <v>0</v>
      </c>
      <c r="O87" t="s">
        <v>16</v>
      </c>
      <c r="P87" t="s">
        <v>22</v>
      </c>
      <c r="Q87" t="str">
        <f t="shared" si="5"/>
        <v>Yes</v>
      </c>
      <c r="R87" t="b">
        <v>0</v>
      </c>
    </row>
    <row r="88" spans="1:18" x14ac:dyDescent="0.3">
      <c r="A88">
        <v>0</v>
      </c>
      <c r="B88" t="s">
        <v>26</v>
      </c>
      <c r="C88">
        <v>3</v>
      </c>
      <c r="D88" t="s">
        <v>32</v>
      </c>
      <c r="E88" t="s">
        <v>13</v>
      </c>
      <c r="F88" t="str">
        <f t="shared" si="3"/>
        <v>Male</v>
      </c>
      <c r="G88">
        <v>16</v>
      </c>
      <c r="H88">
        <v>1</v>
      </c>
      <c r="I88">
        <v>3</v>
      </c>
      <c r="J88">
        <v>34.375</v>
      </c>
      <c r="K88" t="s">
        <v>14</v>
      </c>
      <c r="L88" t="s">
        <v>15</v>
      </c>
      <c r="M88" t="str">
        <f t="shared" si="4"/>
        <v>Man</v>
      </c>
      <c r="N88" t="b">
        <v>1</v>
      </c>
      <c r="O88" t="s">
        <v>16</v>
      </c>
      <c r="P88" t="s">
        <v>17</v>
      </c>
      <c r="Q88" t="str">
        <f t="shared" si="5"/>
        <v>No</v>
      </c>
      <c r="R88" t="b">
        <v>0</v>
      </c>
    </row>
    <row r="89" spans="1:18" x14ac:dyDescent="0.3">
      <c r="A89">
        <v>0</v>
      </c>
      <c r="B89" t="s">
        <v>26</v>
      </c>
      <c r="C89">
        <v>3</v>
      </c>
      <c r="D89" t="s">
        <v>32</v>
      </c>
      <c r="E89" t="s">
        <v>13</v>
      </c>
      <c r="F89" t="str">
        <f t="shared" si="3"/>
        <v>Male</v>
      </c>
      <c r="G89">
        <v>30</v>
      </c>
      <c r="H89">
        <v>0</v>
      </c>
      <c r="I89">
        <v>0</v>
      </c>
      <c r="J89">
        <v>8.0500000000000007</v>
      </c>
      <c r="K89" t="s">
        <v>14</v>
      </c>
      <c r="L89" t="s">
        <v>15</v>
      </c>
      <c r="M89" t="str">
        <f t="shared" si="4"/>
        <v>Man</v>
      </c>
      <c r="N89" t="b">
        <v>1</v>
      </c>
      <c r="O89" t="s">
        <v>16</v>
      </c>
      <c r="P89" t="s">
        <v>17</v>
      </c>
      <c r="Q89" t="str">
        <f t="shared" si="5"/>
        <v>No</v>
      </c>
      <c r="R89" t="b">
        <v>1</v>
      </c>
    </row>
    <row r="90" spans="1:18" x14ac:dyDescent="0.3">
      <c r="A90">
        <v>1</v>
      </c>
      <c r="B90" t="s">
        <v>27</v>
      </c>
      <c r="C90">
        <v>1</v>
      </c>
      <c r="D90" t="s">
        <v>30</v>
      </c>
      <c r="E90" t="s">
        <v>18</v>
      </c>
      <c r="F90" t="str">
        <f t="shared" si="3"/>
        <v>Female</v>
      </c>
      <c r="G90">
        <v>23</v>
      </c>
      <c r="H90">
        <v>3</v>
      </c>
      <c r="I90">
        <v>2</v>
      </c>
      <c r="J90">
        <v>263</v>
      </c>
      <c r="K90" t="s">
        <v>19</v>
      </c>
      <c r="L90" t="s">
        <v>20</v>
      </c>
      <c r="M90" t="str">
        <f t="shared" si="4"/>
        <v>Woman</v>
      </c>
      <c r="N90" t="b">
        <v>0</v>
      </c>
      <c r="O90" t="s">
        <v>16</v>
      </c>
      <c r="P90" t="s">
        <v>22</v>
      </c>
      <c r="Q90" t="str">
        <f t="shared" si="5"/>
        <v>Yes</v>
      </c>
      <c r="R90" t="b">
        <v>0</v>
      </c>
    </row>
    <row r="91" spans="1:18" x14ac:dyDescent="0.3">
      <c r="A91">
        <v>0</v>
      </c>
      <c r="B91" t="s">
        <v>26</v>
      </c>
      <c r="C91">
        <v>3</v>
      </c>
      <c r="D91" t="s">
        <v>32</v>
      </c>
      <c r="E91" t="s">
        <v>13</v>
      </c>
      <c r="F91" t="str">
        <f t="shared" si="3"/>
        <v>Male</v>
      </c>
      <c r="G91">
        <v>24</v>
      </c>
      <c r="H91">
        <v>0</v>
      </c>
      <c r="I91">
        <v>0</v>
      </c>
      <c r="J91">
        <v>8.0500000000000007</v>
      </c>
      <c r="K91" t="s">
        <v>14</v>
      </c>
      <c r="L91" t="s">
        <v>15</v>
      </c>
      <c r="M91" t="str">
        <f t="shared" si="4"/>
        <v>Man</v>
      </c>
      <c r="N91" t="b">
        <v>1</v>
      </c>
      <c r="O91" t="s">
        <v>16</v>
      </c>
      <c r="P91" t="s">
        <v>17</v>
      </c>
      <c r="Q91" t="str">
        <f t="shared" si="5"/>
        <v>No</v>
      </c>
      <c r="R91" t="b">
        <v>1</v>
      </c>
    </row>
    <row r="92" spans="1:18" x14ac:dyDescent="0.3">
      <c r="A92">
        <v>0</v>
      </c>
      <c r="B92" t="s">
        <v>26</v>
      </c>
      <c r="C92">
        <v>3</v>
      </c>
      <c r="D92" t="s">
        <v>32</v>
      </c>
      <c r="E92" t="s">
        <v>13</v>
      </c>
      <c r="F92" t="str">
        <f t="shared" si="3"/>
        <v>Male</v>
      </c>
      <c r="G92">
        <v>29</v>
      </c>
      <c r="H92">
        <v>0</v>
      </c>
      <c r="I92">
        <v>0</v>
      </c>
      <c r="J92">
        <v>8.0500000000000007</v>
      </c>
      <c r="K92" t="s">
        <v>14</v>
      </c>
      <c r="L92" t="s">
        <v>15</v>
      </c>
      <c r="M92" t="str">
        <f t="shared" si="4"/>
        <v>Man</v>
      </c>
      <c r="N92" t="b">
        <v>1</v>
      </c>
      <c r="O92" t="s">
        <v>16</v>
      </c>
      <c r="P92" t="s">
        <v>17</v>
      </c>
      <c r="Q92" t="str">
        <f t="shared" si="5"/>
        <v>No</v>
      </c>
      <c r="R92" t="b">
        <v>1</v>
      </c>
    </row>
    <row r="93" spans="1:18" x14ac:dyDescent="0.3">
      <c r="A93">
        <v>0</v>
      </c>
      <c r="B93" t="s">
        <v>26</v>
      </c>
      <c r="C93">
        <v>3</v>
      </c>
      <c r="D93" t="s">
        <v>32</v>
      </c>
      <c r="E93" t="s">
        <v>13</v>
      </c>
      <c r="F93" t="str">
        <f t="shared" si="3"/>
        <v>Male</v>
      </c>
      <c r="G93">
        <v>20</v>
      </c>
      <c r="H93">
        <v>0</v>
      </c>
      <c r="I93">
        <v>0</v>
      </c>
      <c r="J93">
        <v>7.8541999999999996</v>
      </c>
      <c r="K93" t="s">
        <v>14</v>
      </c>
      <c r="L93" t="s">
        <v>15</v>
      </c>
      <c r="M93" t="str">
        <f t="shared" si="4"/>
        <v>Man</v>
      </c>
      <c r="N93" t="b">
        <v>1</v>
      </c>
      <c r="O93" t="s">
        <v>16</v>
      </c>
      <c r="P93" t="s">
        <v>17</v>
      </c>
      <c r="Q93" t="str">
        <f t="shared" si="5"/>
        <v>No</v>
      </c>
      <c r="R93" t="b">
        <v>1</v>
      </c>
    </row>
    <row r="94" spans="1:18" x14ac:dyDescent="0.3">
      <c r="A94">
        <v>0</v>
      </c>
      <c r="B94" t="s">
        <v>26</v>
      </c>
      <c r="C94">
        <v>1</v>
      </c>
      <c r="D94" t="s">
        <v>30</v>
      </c>
      <c r="E94" t="s">
        <v>13</v>
      </c>
      <c r="F94" t="str">
        <f t="shared" si="3"/>
        <v>Male</v>
      </c>
      <c r="G94">
        <v>46</v>
      </c>
      <c r="H94">
        <v>1</v>
      </c>
      <c r="I94">
        <v>0</v>
      </c>
      <c r="J94">
        <v>61.174999999999997</v>
      </c>
      <c r="K94" t="s">
        <v>19</v>
      </c>
      <c r="L94" t="s">
        <v>15</v>
      </c>
      <c r="M94" t="str">
        <f t="shared" si="4"/>
        <v>Man</v>
      </c>
      <c r="N94" t="b">
        <v>1</v>
      </c>
      <c r="O94" t="s">
        <v>16</v>
      </c>
      <c r="P94" t="s">
        <v>17</v>
      </c>
      <c r="Q94" t="str">
        <f t="shared" si="5"/>
        <v>No</v>
      </c>
      <c r="R94" t="b">
        <v>0</v>
      </c>
    </row>
    <row r="95" spans="1:18" x14ac:dyDescent="0.3">
      <c r="A95">
        <v>0</v>
      </c>
      <c r="B95" t="s">
        <v>26</v>
      </c>
      <c r="C95">
        <v>3</v>
      </c>
      <c r="D95" t="s">
        <v>32</v>
      </c>
      <c r="E95" t="s">
        <v>13</v>
      </c>
      <c r="F95" t="str">
        <f t="shared" si="3"/>
        <v>Male</v>
      </c>
      <c r="G95">
        <v>26</v>
      </c>
      <c r="H95">
        <v>1</v>
      </c>
      <c r="I95">
        <v>2</v>
      </c>
      <c r="J95">
        <v>20.574999999999999</v>
      </c>
      <c r="K95" t="s">
        <v>14</v>
      </c>
      <c r="L95" t="s">
        <v>15</v>
      </c>
      <c r="M95" t="str">
        <f t="shared" si="4"/>
        <v>Man</v>
      </c>
      <c r="N95" t="b">
        <v>1</v>
      </c>
      <c r="O95" t="s">
        <v>16</v>
      </c>
      <c r="P95" t="s">
        <v>17</v>
      </c>
      <c r="Q95" t="str">
        <f t="shared" si="5"/>
        <v>No</v>
      </c>
      <c r="R95" t="b">
        <v>0</v>
      </c>
    </row>
    <row r="96" spans="1:18" x14ac:dyDescent="0.3">
      <c r="A96">
        <v>0</v>
      </c>
      <c r="B96" t="s">
        <v>26</v>
      </c>
      <c r="C96">
        <v>3</v>
      </c>
      <c r="D96" t="s">
        <v>32</v>
      </c>
      <c r="E96" t="s">
        <v>13</v>
      </c>
      <c r="F96" t="str">
        <f t="shared" si="3"/>
        <v>Male</v>
      </c>
      <c r="G96">
        <v>59</v>
      </c>
      <c r="H96">
        <v>0</v>
      </c>
      <c r="I96">
        <v>0</v>
      </c>
      <c r="J96">
        <v>7.25</v>
      </c>
      <c r="K96" t="s">
        <v>14</v>
      </c>
      <c r="L96" t="s">
        <v>15</v>
      </c>
      <c r="M96" t="str">
        <f t="shared" si="4"/>
        <v>Man</v>
      </c>
      <c r="N96" t="b">
        <v>1</v>
      </c>
      <c r="O96" t="s">
        <v>16</v>
      </c>
      <c r="P96" t="s">
        <v>17</v>
      </c>
      <c r="Q96" t="str">
        <f t="shared" si="5"/>
        <v>No</v>
      </c>
      <c r="R96" t="b">
        <v>1</v>
      </c>
    </row>
    <row r="97" spans="1:18" x14ac:dyDescent="0.3">
      <c r="A97">
        <v>0</v>
      </c>
      <c r="B97" t="s">
        <v>26</v>
      </c>
      <c r="C97">
        <v>3</v>
      </c>
      <c r="D97" t="s">
        <v>32</v>
      </c>
      <c r="E97" t="s">
        <v>13</v>
      </c>
      <c r="F97" t="str">
        <f t="shared" si="3"/>
        <v>Male</v>
      </c>
      <c r="G97">
        <v>30</v>
      </c>
      <c r="H97">
        <v>0</v>
      </c>
      <c r="I97">
        <v>0</v>
      </c>
      <c r="J97">
        <v>8.0500000000000007</v>
      </c>
      <c r="K97" t="s">
        <v>14</v>
      </c>
      <c r="L97" t="s">
        <v>15</v>
      </c>
      <c r="M97" t="str">
        <f t="shared" si="4"/>
        <v>Man</v>
      </c>
      <c r="N97" t="b">
        <v>1</v>
      </c>
      <c r="O97" t="s">
        <v>16</v>
      </c>
      <c r="P97" t="s">
        <v>17</v>
      </c>
      <c r="Q97" t="str">
        <f t="shared" si="5"/>
        <v>No</v>
      </c>
      <c r="R97" t="b">
        <v>1</v>
      </c>
    </row>
    <row r="98" spans="1:18" x14ac:dyDescent="0.3">
      <c r="A98">
        <v>0</v>
      </c>
      <c r="B98" t="s">
        <v>26</v>
      </c>
      <c r="C98">
        <v>1</v>
      </c>
      <c r="D98" t="s">
        <v>30</v>
      </c>
      <c r="E98" t="s">
        <v>13</v>
      </c>
      <c r="F98" t="str">
        <f t="shared" si="3"/>
        <v>Male</v>
      </c>
      <c r="G98">
        <v>71</v>
      </c>
      <c r="H98">
        <v>0</v>
      </c>
      <c r="I98">
        <v>0</v>
      </c>
      <c r="J98">
        <v>34.654200000000003</v>
      </c>
      <c r="K98" t="s">
        <v>19</v>
      </c>
      <c r="L98" t="s">
        <v>15</v>
      </c>
      <c r="M98" t="str">
        <f t="shared" si="4"/>
        <v>Man</v>
      </c>
      <c r="N98" t="b">
        <v>1</v>
      </c>
      <c r="O98" t="s">
        <v>21</v>
      </c>
      <c r="P98" t="s">
        <v>17</v>
      </c>
      <c r="Q98" t="str">
        <f t="shared" si="5"/>
        <v>No</v>
      </c>
      <c r="R98" t="b">
        <v>1</v>
      </c>
    </row>
    <row r="99" spans="1:18" x14ac:dyDescent="0.3">
      <c r="A99">
        <v>1</v>
      </c>
      <c r="B99" t="s">
        <v>27</v>
      </c>
      <c r="C99">
        <v>1</v>
      </c>
      <c r="D99" t="s">
        <v>30</v>
      </c>
      <c r="E99" t="s">
        <v>13</v>
      </c>
      <c r="F99" t="str">
        <f t="shared" si="3"/>
        <v>Male</v>
      </c>
      <c r="G99">
        <v>23</v>
      </c>
      <c r="H99">
        <v>0</v>
      </c>
      <c r="I99">
        <v>1</v>
      </c>
      <c r="J99">
        <v>63.3583</v>
      </c>
      <c r="K99" t="s">
        <v>19</v>
      </c>
      <c r="L99" t="s">
        <v>15</v>
      </c>
      <c r="M99" t="str">
        <f t="shared" si="4"/>
        <v>Man</v>
      </c>
      <c r="N99" t="b">
        <v>1</v>
      </c>
      <c r="O99" t="s">
        <v>21</v>
      </c>
      <c r="P99" t="s">
        <v>22</v>
      </c>
      <c r="Q99" t="str">
        <f t="shared" si="5"/>
        <v>Yes</v>
      </c>
      <c r="R99" t="b">
        <v>0</v>
      </c>
    </row>
    <row r="100" spans="1:18" x14ac:dyDescent="0.3">
      <c r="A100">
        <v>1</v>
      </c>
      <c r="B100" t="s">
        <v>27</v>
      </c>
      <c r="C100">
        <v>2</v>
      </c>
      <c r="D100" t="s">
        <v>31</v>
      </c>
      <c r="E100" t="s">
        <v>18</v>
      </c>
      <c r="F100" t="str">
        <f t="shared" si="3"/>
        <v>Female</v>
      </c>
      <c r="G100">
        <v>34</v>
      </c>
      <c r="H100">
        <v>0</v>
      </c>
      <c r="I100">
        <v>1</v>
      </c>
      <c r="J100">
        <v>23</v>
      </c>
      <c r="K100" t="s">
        <v>25</v>
      </c>
      <c r="L100" t="s">
        <v>20</v>
      </c>
      <c r="M100" t="str">
        <f t="shared" si="4"/>
        <v>Woman</v>
      </c>
      <c r="N100" t="b">
        <v>0</v>
      </c>
      <c r="O100" t="s">
        <v>16</v>
      </c>
      <c r="P100" t="s">
        <v>22</v>
      </c>
      <c r="Q100" t="str">
        <f t="shared" si="5"/>
        <v>Yes</v>
      </c>
      <c r="R100" t="b">
        <v>0</v>
      </c>
    </row>
    <row r="101" spans="1:18" x14ac:dyDescent="0.3">
      <c r="A101">
        <v>0</v>
      </c>
      <c r="B101" t="s">
        <v>26</v>
      </c>
      <c r="C101">
        <v>2</v>
      </c>
      <c r="D101" t="s">
        <v>31</v>
      </c>
      <c r="E101" t="s">
        <v>13</v>
      </c>
      <c r="F101" t="str">
        <f t="shared" si="3"/>
        <v>Male</v>
      </c>
      <c r="G101">
        <v>34</v>
      </c>
      <c r="H101">
        <v>1</v>
      </c>
      <c r="I101">
        <v>0</v>
      </c>
      <c r="J101">
        <v>26</v>
      </c>
      <c r="K101" t="s">
        <v>25</v>
      </c>
      <c r="L101" t="s">
        <v>15</v>
      </c>
      <c r="M101" t="str">
        <f t="shared" si="4"/>
        <v>Man</v>
      </c>
      <c r="N101" t="b">
        <v>1</v>
      </c>
      <c r="O101" t="s">
        <v>16</v>
      </c>
      <c r="P101" t="s">
        <v>17</v>
      </c>
      <c r="Q101" t="str">
        <f t="shared" si="5"/>
        <v>No</v>
      </c>
      <c r="R101" t="b">
        <v>0</v>
      </c>
    </row>
    <row r="102" spans="1:18" x14ac:dyDescent="0.3">
      <c r="A102">
        <v>0</v>
      </c>
      <c r="B102" t="s">
        <v>26</v>
      </c>
      <c r="C102">
        <v>3</v>
      </c>
      <c r="D102" t="s">
        <v>32</v>
      </c>
      <c r="E102" t="s">
        <v>18</v>
      </c>
      <c r="F102" t="str">
        <f t="shared" si="3"/>
        <v>Female</v>
      </c>
      <c r="G102">
        <v>28</v>
      </c>
      <c r="H102">
        <v>0</v>
      </c>
      <c r="I102">
        <v>0</v>
      </c>
      <c r="J102">
        <v>7.8958000000000004</v>
      </c>
      <c r="K102" t="s">
        <v>14</v>
      </c>
      <c r="L102" t="s">
        <v>20</v>
      </c>
      <c r="M102" t="str">
        <f t="shared" si="4"/>
        <v>Woman</v>
      </c>
      <c r="N102" t="b">
        <v>0</v>
      </c>
      <c r="O102" t="s">
        <v>16</v>
      </c>
      <c r="P102" t="s">
        <v>17</v>
      </c>
      <c r="Q102" t="str">
        <f t="shared" si="5"/>
        <v>No</v>
      </c>
      <c r="R102" t="b">
        <v>1</v>
      </c>
    </row>
    <row r="103" spans="1:18" x14ac:dyDescent="0.3">
      <c r="A103">
        <v>0</v>
      </c>
      <c r="B103" t="s">
        <v>26</v>
      </c>
      <c r="C103">
        <v>3</v>
      </c>
      <c r="D103" t="s">
        <v>32</v>
      </c>
      <c r="E103" t="s">
        <v>13</v>
      </c>
      <c r="F103" t="str">
        <f t="shared" si="3"/>
        <v>Male</v>
      </c>
      <c r="G103">
        <v>30</v>
      </c>
      <c r="H103">
        <v>0</v>
      </c>
      <c r="I103">
        <v>0</v>
      </c>
      <c r="J103">
        <v>7.8958000000000004</v>
      </c>
      <c r="K103" t="s">
        <v>14</v>
      </c>
      <c r="L103" t="s">
        <v>15</v>
      </c>
      <c r="M103" t="str">
        <f t="shared" si="4"/>
        <v>Man</v>
      </c>
      <c r="N103" t="b">
        <v>1</v>
      </c>
      <c r="O103" t="s">
        <v>16</v>
      </c>
      <c r="P103" t="s">
        <v>17</v>
      </c>
      <c r="Q103" t="str">
        <f t="shared" si="5"/>
        <v>No</v>
      </c>
      <c r="R103" t="b">
        <v>1</v>
      </c>
    </row>
    <row r="104" spans="1:18" x14ac:dyDescent="0.3">
      <c r="A104">
        <v>0</v>
      </c>
      <c r="B104" t="s">
        <v>26</v>
      </c>
      <c r="C104">
        <v>1</v>
      </c>
      <c r="D104" t="s">
        <v>30</v>
      </c>
      <c r="E104" t="s">
        <v>13</v>
      </c>
      <c r="F104" t="str">
        <f t="shared" si="3"/>
        <v>Male</v>
      </c>
      <c r="G104">
        <v>21</v>
      </c>
      <c r="H104">
        <v>0</v>
      </c>
      <c r="I104">
        <v>1</v>
      </c>
      <c r="J104">
        <v>77.287499999999994</v>
      </c>
      <c r="K104" t="s">
        <v>19</v>
      </c>
      <c r="L104" t="s">
        <v>15</v>
      </c>
      <c r="M104" t="str">
        <f t="shared" si="4"/>
        <v>Man</v>
      </c>
      <c r="N104" t="b">
        <v>1</v>
      </c>
      <c r="O104" t="s">
        <v>16</v>
      </c>
      <c r="P104" t="s">
        <v>17</v>
      </c>
      <c r="Q104" t="str">
        <f t="shared" si="5"/>
        <v>No</v>
      </c>
      <c r="R104" t="b">
        <v>0</v>
      </c>
    </row>
    <row r="105" spans="1:18" x14ac:dyDescent="0.3">
      <c r="A105">
        <v>0</v>
      </c>
      <c r="B105" t="s">
        <v>26</v>
      </c>
      <c r="C105">
        <v>3</v>
      </c>
      <c r="D105" t="s">
        <v>32</v>
      </c>
      <c r="E105" t="s">
        <v>13</v>
      </c>
      <c r="F105" t="str">
        <f t="shared" si="3"/>
        <v>Male</v>
      </c>
      <c r="G105">
        <v>33</v>
      </c>
      <c r="H105">
        <v>0</v>
      </c>
      <c r="I105">
        <v>0</v>
      </c>
      <c r="J105">
        <v>8.6541999999999994</v>
      </c>
      <c r="K105" t="s">
        <v>14</v>
      </c>
      <c r="L105" t="s">
        <v>15</v>
      </c>
      <c r="M105" t="str">
        <f t="shared" si="4"/>
        <v>Man</v>
      </c>
      <c r="N105" t="b">
        <v>1</v>
      </c>
      <c r="O105" t="s">
        <v>16</v>
      </c>
      <c r="P105" t="s">
        <v>17</v>
      </c>
      <c r="Q105" t="str">
        <f t="shared" si="5"/>
        <v>No</v>
      </c>
      <c r="R105" t="b">
        <v>1</v>
      </c>
    </row>
    <row r="106" spans="1:18" x14ac:dyDescent="0.3">
      <c r="A106">
        <v>0</v>
      </c>
      <c r="B106" t="s">
        <v>26</v>
      </c>
      <c r="C106">
        <v>3</v>
      </c>
      <c r="D106" t="s">
        <v>32</v>
      </c>
      <c r="E106" t="s">
        <v>13</v>
      </c>
      <c r="F106" t="str">
        <f t="shared" si="3"/>
        <v>Male</v>
      </c>
      <c r="G106">
        <v>37</v>
      </c>
      <c r="H106">
        <v>2</v>
      </c>
      <c r="I106">
        <v>0</v>
      </c>
      <c r="J106">
        <v>7.9249999999999998</v>
      </c>
      <c r="K106" t="s">
        <v>14</v>
      </c>
      <c r="L106" t="s">
        <v>15</v>
      </c>
      <c r="M106" t="str">
        <f t="shared" si="4"/>
        <v>Man</v>
      </c>
      <c r="N106" t="b">
        <v>1</v>
      </c>
      <c r="O106" t="s">
        <v>16</v>
      </c>
      <c r="P106" t="s">
        <v>17</v>
      </c>
      <c r="Q106" t="str">
        <f t="shared" si="5"/>
        <v>No</v>
      </c>
      <c r="R106" t="b">
        <v>0</v>
      </c>
    </row>
    <row r="107" spans="1:18" x14ac:dyDescent="0.3">
      <c r="A107">
        <v>0</v>
      </c>
      <c r="B107" t="s">
        <v>26</v>
      </c>
      <c r="C107">
        <v>3</v>
      </c>
      <c r="D107" t="s">
        <v>32</v>
      </c>
      <c r="E107" t="s">
        <v>13</v>
      </c>
      <c r="F107" t="str">
        <f t="shared" si="3"/>
        <v>Male</v>
      </c>
      <c r="G107">
        <v>28</v>
      </c>
      <c r="H107">
        <v>0</v>
      </c>
      <c r="I107">
        <v>0</v>
      </c>
      <c r="J107">
        <v>7.8958000000000004</v>
      </c>
      <c r="K107" t="s">
        <v>14</v>
      </c>
      <c r="L107" t="s">
        <v>15</v>
      </c>
      <c r="M107" t="str">
        <f t="shared" si="4"/>
        <v>Man</v>
      </c>
      <c r="N107" t="b">
        <v>1</v>
      </c>
      <c r="O107" t="s">
        <v>16</v>
      </c>
      <c r="P107" t="s">
        <v>17</v>
      </c>
      <c r="Q107" t="str">
        <f t="shared" si="5"/>
        <v>No</v>
      </c>
      <c r="R107" t="b">
        <v>1</v>
      </c>
    </row>
    <row r="108" spans="1:18" x14ac:dyDescent="0.3">
      <c r="A108">
        <v>1</v>
      </c>
      <c r="B108" t="s">
        <v>27</v>
      </c>
      <c r="C108">
        <v>3</v>
      </c>
      <c r="D108" t="s">
        <v>32</v>
      </c>
      <c r="E108" t="s">
        <v>18</v>
      </c>
      <c r="F108" t="str">
        <f t="shared" si="3"/>
        <v>Female</v>
      </c>
      <c r="G108">
        <v>21</v>
      </c>
      <c r="H108">
        <v>0</v>
      </c>
      <c r="I108">
        <v>0</v>
      </c>
      <c r="J108">
        <v>7.65</v>
      </c>
      <c r="K108" t="s">
        <v>14</v>
      </c>
      <c r="L108" t="s">
        <v>20</v>
      </c>
      <c r="M108" t="str">
        <f t="shared" si="4"/>
        <v>Woman</v>
      </c>
      <c r="N108" t="b">
        <v>0</v>
      </c>
      <c r="O108" t="s">
        <v>16</v>
      </c>
      <c r="P108" t="s">
        <v>22</v>
      </c>
      <c r="Q108" t="str">
        <f t="shared" si="5"/>
        <v>Yes</v>
      </c>
      <c r="R108" t="b">
        <v>1</v>
      </c>
    </row>
    <row r="109" spans="1:18" x14ac:dyDescent="0.3">
      <c r="A109">
        <v>1</v>
      </c>
      <c r="B109" t="s">
        <v>27</v>
      </c>
      <c r="C109">
        <v>3</v>
      </c>
      <c r="D109" t="s">
        <v>32</v>
      </c>
      <c r="E109" t="s">
        <v>13</v>
      </c>
      <c r="F109" t="str">
        <f t="shared" si="3"/>
        <v>Male</v>
      </c>
      <c r="G109">
        <v>30</v>
      </c>
      <c r="H109">
        <v>0</v>
      </c>
      <c r="I109">
        <v>0</v>
      </c>
      <c r="J109">
        <v>7.7750000000000004</v>
      </c>
      <c r="K109" t="s">
        <v>14</v>
      </c>
      <c r="L109" t="s">
        <v>15</v>
      </c>
      <c r="M109" t="str">
        <f t="shared" si="4"/>
        <v>Man</v>
      </c>
      <c r="N109" t="b">
        <v>1</v>
      </c>
      <c r="O109" t="s">
        <v>16</v>
      </c>
      <c r="P109" t="s">
        <v>22</v>
      </c>
      <c r="Q109" t="str">
        <f t="shared" si="5"/>
        <v>Yes</v>
      </c>
      <c r="R109" t="b">
        <v>1</v>
      </c>
    </row>
    <row r="110" spans="1:18" x14ac:dyDescent="0.3">
      <c r="A110">
        <v>0</v>
      </c>
      <c r="B110" t="s">
        <v>26</v>
      </c>
      <c r="C110">
        <v>3</v>
      </c>
      <c r="D110" t="s">
        <v>32</v>
      </c>
      <c r="E110" t="s">
        <v>13</v>
      </c>
      <c r="F110" t="str">
        <f t="shared" si="3"/>
        <v>Male</v>
      </c>
      <c r="G110">
        <v>38</v>
      </c>
      <c r="H110">
        <v>0</v>
      </c>
      <c r="I110">
        <v>0</v>
      </c>
      <c r="J110">
        <v>7.8958000000000004</v>
      </c>
      <c r="K110" t="s">
        <v>14</v>
      </c>
      <c r="L110" t="s">
        <v>15</v>
      </c>
      <c r="M110" t="str">
        <f t="shared" si="4"/>
        <v>Man</v>
      </c>
      <c r="N110" t="b">
        <v>1</v>
      </c>
      <c r="O110" t="s">
        <v>16</v>
      </c>
      <c r="P110" t="s">
        <v>17</v>
      </c>
      <c r="Q110" t="str">
        <f t="shared" si="5"/>
        <v>No</v>
      </c>
      <c r="R110" t="b">
        <v>1</v>
      </c>
    </row>
    <row r="111" spans="1:18" x14ac:dyDescent="0.3">
      <c r="A111">
        <v>1</v>
      </c>
      <c r="B111" t="s">
        <v>27</v>
      </c>
      <c r="C111">
        <v>3</v>
      </c>
      <c r="D111" t="s">
        <v>32</v>
      </c>
      <c r="E111" t="s">
        <v>18</v>
      </c>
      <c r="F111" t="str">
        <f t="shared" si="3"/>
        <v>Female</v>
      </c>
      <c r="G111">
        <v>30</v>
      </c>
      <c r="H111">
        <v>1</v>
      </c>
      <c r="I111">
        <v>0</v>
      </c>
      <c r="J111">
        <v>24.15</v>
      </c>
      <c r="K111" t="s">
        <v>14</v>
      </c>
      <c r="L111" t="s">
        <v>20</v>
      </c>
      <c r="M111" t="str">
        <f t="shared" si="4"/>
        <v>Woman</v>
      </c>
      <c r="N111" t="b">
        <v>0</v>
      </c>
      <c r="O111" t="s">
        <v>23</v>
      </c>
      <c r="P111" t="s">
        <v>22</v>
      </c>
      <c r="Q111" t="str">
        <f t="shared" si="5"/>
        <v>Yes</v>
      </c>
      <c r="R111" t="b">
        <v>0</v>
      </c>
    </row>
    <row r="112" spans="1:18" x14ac:dyDescent="0.3">
      <c r="A112">
        <v>0</v>
      </c>
      <c r="B112" t="s">
        <v>26</v>
      </c>
      <c r="C112">
        <v>1</v>
      </c>
      <c r="D112" t="s">
        <v>30</v>
      </c>
      <c r="E112" t="s">
        <v>13</v>
      </c>
      <c r="F112" t="str">
        <f t="shared" si="3"/>
        <v>Male</v>
      </c>
      <c r="G112">
        <v>47</v>
      </c>
      <c r="H112">
        <v>0</v>
      </c>
      <c r="I112">
        <v>0</v>
      </c>
      <c r="J112">
        <v>52</v>
      </c>
      <c r="K112" t="s">
        <v>19</v>
      </c>
      <c r="L112" t="s">
        <v>15</v>
      </c>
      <c r="M112" t="str">
        <f t="shared" si="4"/>
        <v>Man</v>
      </c>
      <c r="N112" t="b">
        <v>1</v>
      </c>
      <c r="O112" t="s">
        <v>16</v>
      </c>
      <c r="P112" t="s">
        <v>17</v>
      </c>
      <c r="Q112" t="str">
        <f t="shared" si="5"/>
        <v>No</v>
      </c>
      <c r="R112" t="b">
        <v>1</v>
      </c>
    </row>
    <row r="113" spans="1:18" x14ac:dyDescent="0.3">
      <c r="A113">
        <v>0</v>
      </c>
      <c r="B113" t="s">
        <v>26</v>
      </c>
      <c r="C113">
        <v>3</v>
      </c>
      <c r="D113" t="s">
        <v>32</v>
      </c>
      <c r="E113" t="s">
        <v>18</v>
      </c>
      <c r="F113" t="str">
        <f t="shared" si="3"/>
        <v>Female</v>
      </c>
      <c r="G113">
        <v>14.5</v>
      </c>
      <c r="H113">
        <v>1</v>
      </c>
      <c r="I113">
        <v>0</v>
      </c>
      <c r="J113">
        <v>14.4542</v>
      </c>
      <c r="K113" t="s">
        <v>14</v>
      </c>
      <c r="L113" t="s">
        <v>24</v>
      </c>
      <c r="M113" t="str">
        <f t="shared" si="4"/>
        <v>Child</v>
      </c>
      <c r="N113" t="b">
        <v>0</v>
      </c>
      <c r="O113" t="s">
        <v>21</v>
      </c>
      <c r="P113" t="s">
        <v>17</v>
      </c>
      <c r="Q113" t="str">
        <f t="shared" si="5"/>
        <v>No</v>
      </c>
      <c r="R113" t="b">
        <v>0</v>
      </c>
    </row>
    <row r="114" spans="1:18" x14ac:dyDescent="0.3">
      <c r="A114">
        <v>0</v>
      </c>
      <c r="B114" t="s">
        <v>26</v>
      </c>
      <c r="C114">
        <v>3</v>
      </c>
      <c r="D114" t="s">
        <v>32</v>
      </c>
      <c r="E114" t="s">
        <v>13</v>
      </c>
      <c r="F114" t="str">
        <f t="shared" si="3"/>
        <v>Male</v>
      </c>
      <c r="G114">
        <v>22</v>
      </c>
      <c r="H114">
        <v>0</v>
      </c>
      <c r="I114">
        <v>0</v>
      </c>
      <c r="J114">
        <v>8.0500000000000007</v>
      </c>
      <c r="K114" t="s">
        <v>14</v>
      </c>
      <c r="L114" t="s">
        <v>15</v>
      </c>
      <c r="M114" t="str">
        <f t="shared" si="4"/>
        <v>Man</v>
      </c>
      <c r="N114" t="b">
        <v>1</v>
      </c>
      <c r="O114" t="s">
        <v>16</v>
      </c>
      <c r="P114" t="s">
        <v>17</v>
      </c>
      <c r="Q114" t="str">
        <f t="shared" si="5"/>
        <v>No</v>
      </c>
      <c r="R114" t="b">
        <v>1</v>
      </c>
    </row>
    <row r="115" spans="1:18" x14ac:dyDescent="0.3">
      <c r="A115">
        <v>0</v>
      </c>
      <c r="B115" t="s">
        <v>26</v>
      </c>
      <c r="C115">
        <v>3</v>
      </c>
      <c r="D115" t="s">
        <v>32</v>
      </c>
      <c r="E115" t="s">
        <v>18</v>
      </c>
      <c r="F115" t="str">
        <f t="shared" si="3"/>
        <v>Female</v>
      </c>
      <c r="G115">
        <v>20</v>
      </c>
      <c r="H115">
        <v>1</v>
      </c>
      <c r="I115">
        <v>0</v>
      </c>
      <c r="J115">
        <v>9.8249999999999993</v>
      </c>
      <c r="K115" t="s">
        <v>14</v>
      </c>
      <c r="L115" t="s">
        <v>20</v>
      </c>
      <c r="M115" t="str">
        <f t="shared" si="4"/>
        <v>Woman</v>
      </c>
      <c r="N115" t="b">
        <v>0</v>
      </c>
      <c r="O115" t="s">
        <v>16</v>
      </c>
      <c r="P115" t="s">
        <v>17</v>
      </c>
      <c r="Q115" t="str">
        <f t="shared" si="5"/>
        <v>No</v>
      </c>
      <c r="R115" t="b">
        <v>0</v>
      </c>
    </row>
    <row r="116" spans="1:18" x14ac:dyDescent="0.3">
      <c r="A116">
        <v>0</v>
      </c>
      <c r="B116" t="s">
        <v>26</v>
      </c>
      <c r="C116">
        <v>3</v>
      </c>
      <c r="D116" t="s">
        <v>32</v>
      </c>
      <c r="E116" t="s">
        <v>18</v>
      </c>
      <c r="F116" t="str">
        <f t="shared" si="3"/>
        <v>Female</v>
      </c>
      <c r="G116">
        <v>17</v>
      </c>
      <c r="H116">
        <v>0</v>
      </c>
      <c r="I116">
        <v>0</v>
      </c>
      <c r="J116">
        <v>14.458299999999999</v>
      </c>
      <c r="K116" t="s">
        <v>14</v>
      </c>
      <c r="L116" t="s">
        <v>20</v>
      </c>
      <c r="M116" t="str">
        <f t="shared" si="4"/>
        <v>Woman</v>
      </c>
      <c r="N116" t="b">
        <v>0</v>
      </c>
      <c r="O116" t="s">
        <v>21</v>
      </c>
      <c r="P116" t="s">
        <v>17</v>
      </c>
      <c r="Q116" t="str">
        <f t="shared" si="5"/>
        <v>No</v>
      </c>
      <c r="R116" t="b">
        <v>1</v>
      </c>
    </row>
    <row r="117" spans="1:18" x14ac:dyDescent="0.3">
      <c r="A117">
        <v>0</v>
      </c>
      <c r="B117" t="s">
        <v>26</v>
      </c>
      <c r="C117">
        <v>3</v>
      </c>
      <c r="D117" t="s">
        <v>32</v>
      </c>
      <c r="E117" t="s">
        <v>13</v>
      </c>
      <c r="F117" t="str">
        <f t="shared" si="3"/>
        <v>Male</v>
      </c>
      <c r="G117">
        <v>21</v>
      </c>
      <c r="H117">
        <v>0</v>
      </c>
      <c r="I117">
        <v>0</v>
      </c>
      <c r="J117">
        <v>7.9249999999999998</v>
      </c>
      <c r="K117" t="s">
        <v>14</v>
      </c>
      <c r="L117" t="s">
        <v>15</v>
      </c>
      <c r="M117" t="str">
        <f t="shared" si="4"/>
        <v>Man</v>
      </c>
      <c r="N117" t="b">
        <v>1</v>
      </c>
      <c r="O117" t="s">
        <v>16</v>
      </c>
      <c r="P117" t="s">
        <v>17</v>
      </c>
      <c r="Q117" t="str">
        <f t="shared" si="5"/>
        <v>No</v>
      </c>
      <c r="R117" t="b">
        <v>1</v>
      </c>
    </row>
    <row r="118" spans="1:18" x14ac:dyDescent="0.3">
      <c r="A118">
        <v>0</v>
      </c>
      <c r="B118" t="s">
        <v>26</v>
      </c>
      <c r="C118">
        <v>3</v>
      </c>
      <c r="D118" t="s">
        <v>32</v>
      </c>
      <c r="E118" t="s">
        <v>13</v>
      </c>
      <c r="F118" t="str">
        <f t="shared" si="3"/>
        <v>Male</v>
      </c>
      <c r="G118">
        <v>70.5</v>
      </c>
      <c r="H118">
        <v>0</v>
      </c>
      <c r="I118">
        <v>0</v>
      </c>
      <c r="J118">
        <v>7.75</v>
      </c>
      <c r="K118" t="s">
        <v>14</v>
      </c>
      <c r="L118" t="s">
        <v>15</v>
      </c>
      <c r="M118" t="str">
        <f t="shared" si="4"/>
        <v>Man</v>
      </c>
      <c r="N118" t="b">
        <v>1</v>
      </c>
      <c r="O118" t="s">
        <v>23</v>
      </c>
      <c r="P118" t="s">
        <v>17</v>
      </c>
      <c r="Q118" t="str">
        <f t="shared" si="5"/>
        <v>No</v>
      </c>
      <c r="R118" t="b">
        <v>1</v>
      </c>
    </row>
    <row r="119" spans="1:18" x14ac:dyDescent="0.3">
      <c r="A119">
        <v>0</v>
      </c>
      <c r="B119" t="s">
        <v>26</v>
      </c>
      <c r="C119">
        <v>2</v>
      </c>
      <c r="D119" t="s">
        <v>31</v>
      </c>
      <c r="E119" t="s">
        <v>13</v>
      </c>
      <c r="F119" t="str">
        <f t="shared" si="3"/>
        <v>Male</v>
      </c>
      <c r="G119">
        <v>29</v>
      </c>
      <c r="H119">
        <v>1</v>
      </c>
      <c r="I119">
        <v>0</v>
      </c>
      <c r="J119">
        <v>21</v>
      </c>
      <c r="K119" t="s">
        <v>25</v>
      </c>
      <c r="L119" t="s">
        <v>15</v>
      </c>
      <c r="M119" t="str">
        <f t="shared" si="4"/>
        <v>Man</v>
      </c>
      <c r="N119" t="b">
        <v>1</v>
      </c>
      <c r="O119" t="s">
        <v>16</v>
      </c>
      <c r="P119" t="s">
        <v>17</v>
      </c>
      <c r="Q119" t="str">
        <f t="shared" si="5"/>
        <v>No</v>
      </c>
      <c r="R119" t="b">
        <v>0</v>
      </c>
    </row>
    <row r="120" spans="1:18" x14ac:dyDescent="0.3">
      <c r="A120">
        <v>0</v>
      </c>
      <c r="B120" t="s">
        <v>26</v>
      </c>
      <c r="C120">
        <v>1</v>
      </c>
      <c r="D120" t="s">
        <v>30</v>
      </c>
      <c r="E120" t="s">
        <v>13</v>
      </c>
      <c r="F120" t="str">
        <f t="shared" si="3"/>
        <v>Male</v>
      </c>
      <c r="G120">
        <v>24</v>
      </c>
      <c r="H120">
        <v>0</v>
      </c>
      <c r="I120">
        <v>1</v>
      </c>
      <c r="J120">
        <v>247.52080000000001</v>
      </c>
      <c r="K120" t="s">
        <v>19</v>
      </c>
      <c r="L120" t="s">
        <v>15</v>
      </c>
      <c r="M120" t="str">
        <f t="shared" si="4"/>
        <v>Man</v>
      </c>
      <c r="N120" t="b">
        <v>1</v>
      </c>
      <c r="O120" t="s">
        <v>21</v>
      </c>
      <c r="P120" t="s">
        <v>17</v>
      </c>
      <c r="Q120" t="str">
        <f t="shared" si="5"/>
        <v>No</v>
      </c>
      <c r="R120" t="b">
        <v>0</v>
      </c>
    </row>
    <row r="121" spans="1:18" x14ac:dyDescent="0.3">
      <c r="A121">
        <v>0</v>
      </c>
      <c r="B121" t="s">
        <v>26</v>
      </c>
      <c r="C121">
        <v>3</v>
      </c>
      <c r="D121" t="s">
        <v>32</v>
      </c>
      <c r="E121" t="s">
        <v>18</v>
      </c>
      <c r="F121" t="str">
        <f t="shared" si="3"/>
        <v>Female</v>
      </c>
      <c r="G121">
        <v>2</v>
      </c>
      <c r="H121">
        <v>4</v>
      </c>
      <c r="I121">
        <v>2</v>
      </c>
      <c r="J121">
        <v>31.274999999999999</v>
      </c>
      <c r="K121" t="s">
        <v>14</v>
      </c>
      <c r="L121" t="s">
        <v>24</v>
      </c>
      <c r="M121" t="str">
        <f t="shared" si="4"/>
        <v>Child</v>
      </c>
      <c r="N121" t="b">
        <v>0</v>
      </c>
      <c r="O121" t="s">
        <v>16</v>
      </c>
      <c r="P121" t="s">
        <v>17</v>
      </c>
      <c r="Q121" t="str">
        <f t="shared" si="5"/>
        <v>No</v>
      </c>
      <c r="R121" t="b">
        <v>0</v>
      </c>
    </row>
    <row r="122" spans="1:18" x14ac:dyDescent="0.3">
      <c r="A122">
        <v>0</v>
      </c>
      <c r="B122" t="s">
        <v>26</v>
      </c>
      <c r="C122">
        <v>2</v>
      </c>
      <c r="D122" t="s">
        <v>31</v>
      </c>
      <c r="E122" t="s">
        <v>13</v>
      </c>
      <c r="F122" t="str">
        <f t="shared" si="3"/>
        <v>Male</v>
      </c>
      <c r="G122">
        <v>21</v>
      </c>
      <c r="H122">
        <v>2</v>
      </c>
      <c r="I122">
        <v>0</v>
      </c>
      <c r="J122">
        <v>73.5</v>
      </c>
      <c r="K122" t="s">
        <v>25</v>
      </c>
      <c r="L122" t="s">
        <v>15</v>
      </c>
      <c r="M122" t="str">
        <f t="shared" si="4"/>
        <v>Man</v>
      </c>
      <c r="N122" t="b">
        <v>1</v>
      </c>
      <c r="O122" t="s">
        <v>16</v>
      </c>
      <c r="P122" t="s">
        <v>17</v>
      </c>
      <c r="Q122" t="str">
        <f t="shared" si="5"/>
        <v>No</v>
      </c>
      <c r="R122" t="b">
        <v>0</v>
      </c>
    </row>
    <row r="123" spans="1:18" x14ac:dyDescent="0.3">
      <c r="A123">
        <v>0</v>
      </c>
      <c r="B123" t="s">
        <v>26</v>
      </c>
      <c r="C123">
        <v>3</v>
      </c>
      <c r="D123" t="s">
        <v>32</v>
      </c>
      <c r="E123" t="s">
        <v>13</v>
      </c>
      <c r="F123" t="str">
        <f t="shared" si="3"/>
        <v>Male</v>
      </c>
      <c r="G123">
        <v>30</v>
      </c>
      <c r="H123">
        <v>0</v>
      </c>
      <c r="I123">
        <v>0</v>
      </c>
      <c r="J123">
        <v>8.0500000000000007</v>
      </c>
      <c r="K123" t="s">
        <v>14</v>
      </c>
      <c r="L123" t="s">
        <v>15</v>
      </c>
      <c r="M123" t="str">
        <f t="shared" si="4"/>
        <v>Man</v>
      </c>
      <c r="N123" t="b">
        <v>1</v>
      </c>
      <c r="O123" t="s">
        <v>16</v>
      </c>
      <c r="P123" t="s">
        <v>17</v>
      </c>
      <c r="Q123" t="str">
        <f t="shared" si="5"/>
        <v>No</v>
      </c>
      <c r="R123" t="b">
        <v>1</v>
      </c>
    </row>
    <row r="124" spans="1:18" x14ac:dyDescent="0.3">
      <c r="A124">
        <v>0</v>
      </c>
      <c r="B124" t="s">
        <v>26</v>
      </c>
      <c r="C124">
        <v>2</v>
      </c>
      <c r="D124" t="s">
        <v>31</v>
      </c>
      <c r="E124" t="s">
        <v>13</v>
      </c>
      <c r="F124" t="str">
        <f t="shared" si="3"/>
        <v>Male</v>
      </c>
      <c r="G124">
        <v>32.5</v>
      </c>
      <c r="H124">
        <v>1</v>
      </c>
      <c r="I124">
        <v>0</v>
      </c>
      <c r="J124">
        <v>30.070799999999998</v>
      </c>
      <c r="K124" t="s">
        <v>25</v>
      </c>
      <c r="L124" t="s">
        <v>15</v>
      </c>
      <c r="M124" t="str">
        <f t="shared" si="4"/>
        <v>Man</v>
      </c>
      <c r="N124" t="b">
        <v>1</v>
      </c>
      <c r="O124" t="s">
        <v>21</v>
      </c>
      <c r="P124" t="s">
        <v>17</v>
      </c>
      <c r="Q124" t="str">
        <f t="shared" si="5"/>
        <v>No</v>
      </c>
      <c r="R124" t="b">
        <v>0</v>
      </c>
    </row>
    <row r="125" spans="1:18" x14ac:dyDescent="0.3">
      <c r="A125">
        <v>1</v>
      </c>
      <c r="B125" t="s">
        <v>27</v>
      </c>
      <c r="C125">
        <v>2</v>
      </c>
      <c r="D125" t="s">
        <v>31</v>
      </c>
      <c r="E125" t="s">
        <v>18</v>
      </c>
      <c r="F125" t="str">
        <f t="shared" si="3"/>
        <v>Female</v>
      </c>
      <c r="G125">
        <v>32.5</v>
      </c>
      <c r="H125">
        <v>0</v>
      </c>
      <c r="I125">
        <v>0</v>
      </c>
      <c r="J125">
        <v>13</v>
      </c>
      <c r="K125" t="s">
        <v>25</v>
      </c>
      <c r="L125" t="s">
        <v>20</v>
      </c>
      <c r="M125" t="str">
        <f t="shared" si="4"/>
        <v>Woman</v>
      </c>
      <c r="N125" t="b">
        <v>0</v>
      </c>
      <c r="O125" t="s">
        <v>16</v>
      </c>
      <c r="P125" t="s">
        <v>22</v>
      </c>
      <c r="Q125" t="str">
        <f t="shared" si="5"/>
        <v>Yes</v>
      </c>
      <c r="R125" t="b">
        <v>1</v>
      </c>
    </row>
    <row r="126" spans="1:18" x14ac:dyDescent="0.3">
      <c r="A126">
        <v>0</v>
      </c>
      <c r="B126" t="s">
        <v>26</v>
      </c>
      <c r="C126">
        <v>1</v>
      </c>
      <c r="D126" t="s">
        <v>30</v>
      </c>
      <c r="E126" t="s">
        <v>13</v>
      </c>
      <c r="F126" t="str">
        <f t="shared" si="3"/>
        <v>Male</v>
      </c>
      <c r="G126">
        <v>54</v>
      </c>
      <c r="H126">
        <v>0</v>
      </c>
      <c r="I126">
        <v>1</v>
      </c>
      <c r="J126">
        <v>77.287499999999994</v>
      </c>
      <c r="K126" t="s">
        <v>19</v>
      </c>
      <c r="L126" t="s">
        <v>15</v>
      </c>
      <c r="M126" t="str">
        <f t="shared" si="4"/>
        <v>Man</v>
      </c>
      <c r="N126" t="b">
        <v>1</v>
      </c>
      <c r="O126" t="s">
        <v>16</v>
      </c>
      <c r="P126" t="s">
        <v>17</v>
      </c>
      <c r="Q126" t="str">
        <f t="shared" si="5"/>
        <v>No</v>
      </c>
      <c r="R126" t="b">
        <v>0</v>
      </c>
    </row>
    <row r="127" spans="1:18" x14ac:dyDescent="0.3">
      <c r="A127">
        <v>1</v>
      </c>
      <c r="B127" t="s">
        <v>27</v>
      </c>
      <c r="C127">
        <v>3</v>
      </c>
      <c r="D127" t="s">
        <v>32</v>
      </c>
      <c r="E127" t="s">
        <v>13</v>
      </c>
      <c r="F127" t="str">
        <f t="shared" si="3"/>
        <v>Male</v>
      </c>
      <c r="G127">
        <v>12</v>
      </c>
      <c r="H127">
        <v>1</v>
      </c>
      <c r="I127">
        <v>0</v>
      </c>
      <c r="J127">
        <v>11.2417</v>
      </c>
      <c r="K127" t="s">
        <v>14</v>
      </c>
      <c r="L127" t="s">
        <v>24</v>
      </c>
      <c r="M127" t="str">
        <f t="shared" si="4"/>
        <v>Child</v>
      </c>
      <c r="N127" t="b">
        <v>0</v>
      </c>
      <c r="O127" t="s">
        <v>21</v>
      </c>
      <c r="P127" t="s">
        <v>22</v>
      </c>
      <c r="Q127" t="str">
        <f t="shared" si="5"/>
        <v>Yes</v>
      </c>
      <c r="R127" t="b">
        <v>0</v>
      </c>
    </row>
    <row r="128" spans="1:18" x14ac:dyDescent="0.3">
      <c r="A128">
        <v>0</v>
      </c>
      <c r="B128" t="s">
        <v>26</v>
      </c>
      <c r="C128">
        <v>3</v>
      </c>
      <c r="D128" t="s">
        <v>32</v>
      </c>
      <c r="E128" t="s">
        <v>13</v>
      </c>
      <c r="F128" t="str">
        <f t="shared" si="3"/>
        <v>Male</v>
      </c>
      <c r="G128">
        <v>30</v>
      </c>
      <c r="H128">
        <v>0</v>
      </c>
      <c r="I128">
        <v>0</v>
      </c>
      <c r="J128">
        <v>7.75</v>
      </c>
      <c r="K128" t="s">
        <v>14</v>
      </c>
      <c r="L128" t="s">
        <v>15</v>
      </c>
      <c r="M128" t="str">
        <f t="shared" si="4"/>
        <v>Man</v>
      </c>
      <c r="N128" t="b">
        <v>1</v>
      </c>
      <c r="O128" t="s">
        <v>23</v>
      </c>
      <c r="P128" t="s">
        <v>17</v>
      </c>
      <c r="Q128" t="str">
        <f t="shared" si="5"/>
        <v>No</v>
      </c>
      <c r="R128" t="b">
        <v>1</v>
      </c>
    </row>
    <row r="129" spans="1:18" x14ac:dyDescent="0.3">
      <c r="A129">
        <v>1</v>
      </c>
      <c r="B129" t="s">
        <v>27</v>
      </c>
      <c r="C129">
        <v>3</v>
      </c>
      <c r="D129" t="s">
        <v>32</v>
      </c>
      <c r="E129" t="s">
        <v>13</v>
      </c>
      <c r="F129" t="str">
        <f t="shared" si="3"/>
        <v>Male</v>
      </c>
      <c r="G129">
        <v>24</v>
      </c>
      <c r="H129">
        <v>0</v>
      </c>
      <c r="I129">
        <v>0</v>
      </c>
      <c r="J129">
        <v>7.1417000000000002</v>
      </c>
      <c r="K129" t="s">
        <v>14</v>
      </c>
      <c r="L129" t="s">
        <v>15</v>
      </c>
      <c r="M129" t="str">
        <f t="shared" si="4"/>
        <v>Man</v>
      </c>
      <c r="N129" t="b">
        <v>1</v>
      </c>
      <c r="O129" t="s">
        <v>16</v>
      </c>
      <c r="P129" t="s">
        <v>22</v>
      </c>
      <c r="Q129" t="str">
        <f t="shared" si="5"/>
        <v>Yes</v>
      </c>
      <c r="R129" t="b">
        <v>1</v>
      </c>
    </row>
    <row r="130" spans="1:18" x14ac:dyDescent="0.3">
      <c r="A130">
        <v>1</v>
      </c>
      <c r="B130" t="s">
        <v>27</v>
      </c>
      <c r="C130">
        <v>3</v>
      </c>
      <c r="D130" t="s">
        <v>32</v>
      </c>
      <c r="E130" t="s">
        <v>18</v>
      </c>
      <c r="F130" t="str">
        <f t="shared" si="3"/>
        <v>Female</v>
      </c>
      <c r="G130">
        <v>30</v>
      </c>
      <c r="H130">
        <v>1</v>
      </c>
      <c r="I130">
        <v>1</v>
      </c>
      <c r="J130">
        <v>22.3583</v>
      </c>
      <c r="K130" t="s">
        <v>14</v>
      </c>
      <c r="L130" t="s">
        <v>20</v>
      </c>
      <c r="M130" t="str">
        <f t="shared" si="4"/>
        <v>Woman</v>
      </c>
      <c r="N130" t="b">
        <v>0</v>
      </c>
      <c r="O130" t="s">
        <v>21</v>
      </c>
      <c r="P130" t="s">
        <v>22</v>
      </c>
      <c r="Q130" t="str">
        <f t="shared" si="5"/>
        <v>Yes</v>
      </c>
      <c r="R130" t="b">
        <v>0</v>
      </c>
    </row>
    <row r="131" spans="1:18" x14ac:dyDescent="0.3">
      <c r="A131">
        <v>0</v>
      </c>
      <c r="B131" t="s">
        <v>26</v>
      </c>
      <c r="C131">
        <v>3</v>
      </c>
      <c r="D131" t="s">
        <v>32</v>
      </c>
      <c r="E131" t="s">
        <v>13</v>
      </c>
      <c r="F131" t="str">
        <f t="shared" ref="F131:F194" si="6">PROPER(E131)</f>
        <v>Male</v>
      </c>
      <c r="G131">
        <v>45</v>
      </c>
      <c r="H131">
        <v>0</v>
      </c>
      <c r="I131">
        <v>0</v>
      </c>
      <c r="J131">
        <v>6.9749999999999996</v>
      </c>
      <c r="K131" t="s">
        <v>14</v>
      </c>
      <c r="L131" t="s">
        <v>15</v>
      </c>
      <c r="M131" t="str">
        <f t="shared" ref="M131:M194" si="7">PROPER(L131)</f>
        <v>Man</v>
      </c>
      <c r="N131" t="b">
        <v>1</v>
      </c>
      <c r="O131" t="s">
        <v>16</v>
      </c>
      <c r="P131" t="s">
        <v>17</v>
      </c>
      <c r="Q131" t="str">
        <f t="shared" ref="Q131:Q194" si="8">PROPER(P131)</f>
        <v>No</v>
      </c>
      <c r="R131" t="b">
        <v>1</v>
      </c>
    </row>
    <row r="132" spans="1:18" x14ac:dyDescent="0.3">
      <c r="A132">
        <v>0</v>
      </c>
      <c r="B132" t="s">
        <v>26</v>
      </c>
      <c r="C132">
        <v>3</v>
      </c>
      <c r="D132" t="s">
        <v>32</v>
      </c>
      <c r="E132" t="s">
        <v>13</v>
      </c>
      <c r="F132" t="str">
        <f t="shared" si="6"/>
        <v>Male</v>
      </c>
      <c r="G132">
        <v>33</v>
      </c>
      <c r="H132">
        <v>0</v>
      </c>
      <c r="I132">
        <v>0</v>
      </c>
      <c r="J132">
        <v>7.8958000000000004</v>
      </c>
      <c r="K132" t="s">
        <v>14</v>
      </c>
      <c r="L132" t="s">
        <v>15</v>
      </c>
      <c r="M132" t="str">
        <f t="shared" si="7"/>
        <v>Man</v>
      </c>
      <c r="N132" t="b">
        <v>1</v>
      </c>
      <c r="O132" t="s">
        <v>21</v>
      </c>
      <c r="P132" t="s">
        <v>17</v>
      </c>
      <c r="Q132" t="str">
        <f t="shared" si="8"/>
        <v>No</v>
      </c>
      <c r="R132" t="b">
        <v>1</v>
      </c>
    </row>
    <row r="133" spans="1:18" x14ac:dyDescent="0.3">
      <c r="A133">
        <v>0</v>
      </c>
      <c r="B133" t="s">
        <v>26</v>
      </c>
      <c r="C133">
        <v>3</v>
      </c>
      <c r="D133" t="s">
        <v>32</v>
      </c>
      <c r="E133" t="s">
        <v>13</v>
      </c>
      <c r="F133" t="str">
        <f t="shared" si="6"/>
        <v>Male</v>
      </c>
      <c r="G133">
        <v>20</v>
      </c>
      <c r="H133">
        <v>0</v>
      </c>
      <c r="I133">
        <v>0</v>
      </c>
      <c r="J133">
        <v>7.05</v>
      </c>
      <c r="K133" t="s">
        <v>14</v>
      </c>
      <c r="L133" t="s">
        <v>15</v>
      </c>
      <c r="M133" t="str">
        <f t="shared" si="7"/>
        <v>Man</v>
      </c>
      <c r="N133" t="b">
        <v>1</v>
      </c>
      <c r="O133" t="s">
        <v>16</v>
      </c>
      <c r="P133" t="s">
        <v>17</v>
      </c>
      <c r="Q133" t="str">
        <f t="shared" si="8"/>
        <v>No</v>
      </c>
      <c r="R133" t="b">
        <v>1</v>
      </c>
    </row>
    <row r="134" spans="1:18" x14ac:dyDescent="0.3">
      <c r="A134">
        <v>0</v>
      </c>
      <c r="B134" t="s">
        <v>26</v>
      </c>
      <c r="C134">
        <v>3</v>
      </c>
      <c r="D134" t="s">
        <v>32</v>
      </c>
      <c r="E134" t="s">
        <v>18</v>
      </c>
      <c r="F134" t="str">
        <f t="shared" si="6"/>
        <v>Female</v>
      </c>
      <c r="G134">
        <v>47</v>
      </c>
      <c r="H134">
        <v>1</v>
      </c>
      <c r="I134">
        <v>0</v>
      </c>
      <c r="J134">
        <v>14.5</v>
      </c>
      <c r="K134" t="s">
        <v>14</v>
      </c>
      <c r="L134" t="s">
        <v>20</v>
      </c>
      <c r="M134" t="str">
        <f t="shared" si="7"/>
        <v>Woman</v>
      </c>
      <c r="N134" t="b">
        <v>0</v>
      </c>
      <c r="O134" t="s">
        <v>16</v>
      </c>
      <c r="P134" t="s">
        <v>17</v>
      </c>
      <c r="Q134" t="str">
        <f t="shared" si="8"/>
        <v>No</v>
      </c>
      <c r="R134" t="b">
        <v>0</v>
      </c>
    </row>
    <row r="135" spans="1:18" x14ac:dyDescent="0.3">
      <c r="A135">
        <v>1</v>
      </c>
      <c r="B135" t="s">
        <v>27</v>
      </c>
      <c r="C135">
        <v>2</v>
      </c>
      <c r="D135" t="s">
        <v>31</v>
      </c>
      <c r="E135" t="s">
        <v>18</v>
      </c>
      <c r="F135" t="str">
        <f t="shared" si="6"/>
        <v>Female</v>
      </c>
      <c r="G135">
        <v>29</v>
      </c>
      <c r="H135">
        <v>1</v>
      </c>
      <c r="I135">
        <v>0</v>
      </c>
      <c r="J135">
        <v>26</v>
      </c>
      <c r="K135" t="s">
        <v>25</v>
      </c>
      <c r="L135" t="s">
        <v>20</v>
      </c>
      <c r="M135" t="str">
        <f t="shared" si="7"/>
        <v>Woman</v>
      </c>
      <c r="N135" t="b">
        <v>0</v>
      </c>
      <c r="O135" t="s">
        <v>16</v>
      </c>
      <c r="P135" t="s">
        <v>22</v>
      </c>
      <c r="Q135" t="str">
        <f t="shared" si="8"/>
        <v>Yes</v>
      </c>
      <c r="R135" t="b">
        <v>0</v>
      </c>
    </row>
    <row r="136" spans="1:18" x14ac:dyDescent="0.3">
      <c r="A136">
        <v>0</v>
      </c>
      <c r="B136" t="s">
        <v>26</v>
      </c>
      <c r="C136">
        <v>2</v>
      </c>
      <c r="D136" t="s">
        <v>31</v>
      </c>
      <c r="E136" t="s">
        <v>13</v>
      </c>
      <c r="F136" t="str">
        <f t="shared" si="6"/>
        <v>Male</v>
      </c>
      <c r="G136">
        <v>25</v>
      </c>
      <c r="H136">
        <v>0</v>
      </c>
      <c r="I136">
        <v>0</v>
      </c>
      <c r="J136">
        <v>13</v>
      </c>
      <c r="K136" t="s">
        <v>25</v>
      </c>
      <c r="L136" t="s">
        <v>15</v>
      </c>
      <c r="M136" t="str">
        <f t="shared" si="7"/>
        <v>Man</v>
      </c>
      <c r="N136" t="b">
        <v>1</v>
      </c>
      <c r="O136" t="s">
        <v>16</v>
      </c>
      <c r="P136" t="s">
        <v>17</v>
      </c>
      <c r="Q136" t="str">
        <f t="shared" si="8"/>
        <v>No</v>
      </c>
      <c r="R136" t="b">
        <v>1</v>
      </c>
    </row>
    <row r="137" spans="1:18" x14ac:dyDescent="0.3">
      <c r="A137">
        <v>0</v>
      </c>
      <c r="B137" t="s">
        <v>26</v>
      </c>
      <c r="C137">
        <v>2</v>
      </c>
      <c r="D137" t="s">
        <v>31</v>
      </c>
      <c r="E137" t="s">
        <v>13</v>
      </c>
      <c r="F137" t="str">
        <f t="shared" si="6"/>
        <v>Male</v>
      </c>
      <c r="G137">
        <v>23</v>
      </c>
      <c r="H137">
        <v>0</v>
      </c>
      <c r="I137">
        <v>0</v>
      </c>
      <c r="J137">
        <v>15.0458</v>
      </c>
      <c r="K137" t="s">
        <v>25</v>
      </c>
      <c r="L137" t="s">
        <v>15</v>
      </c>
      <c r="M137" t="str">
        <f t="shared" si="7"/>
        <v>Man</v>
      </c>
      <c r="N137" t="b">
        <v>1</v>
      </c>
      <c r="O137" t="s">
        <v>21</v>
      </c>
      <c r="P137" t="s">
        <v>17</v>
      </c>
      <c r="Q137" t="str">
        <f t="shared" si="8"/>
        <v>No</v>
      </c>
      <c r="R137" t="b">
        <v>1</v>
      </c>
    </row>
    <row r="138" spans="1:18" x14ac:dyDescent="0.3">
      <c r="A138">
        <v>1</v>
      </c>
      <c r="B138" t="s">
        <v>27</v>
      </c>
      <c r="C138">
        <v>1</v>
      </c>
      <c r="D138" t="s">
        <v>30</v>
      </c>
      <c r="E138" t="s">
        <v>18</v>
      </c>
      <c r="F138" t="str">
        <f t="shared" si="6"/>
        <v>Female</v>
      </c>
      <c r="G138">
        <v>19</v>
      </c>
      <c r="H138">
        <v>0</v>
      </c>
      <c r="I138">
        <v>2</v>
      </c>
      <c r="J138">
        <v>26.283300000000001</v>
      </c>
      <c r="K138" t="s">
        <v>19</v>
      </c>
      <c r="L138" t="s">
        <v>20</v>
      </c>
      <c r="M138" t="str">
        <f t="shared" si="7"/>
        <v>Woman</v>
      </c>
      <c r="N138" t="b">
        <v>0</v>
      </c>
      <c r="O138" t="s">
        <v>16</v>
      </c>
      <c r="P138" t="s">
        <v>22</v>
      </c>
      <c r="Q138" t="str">
        <f t="shared" si="8"/>
        <v>Yes</v>
      </c>
      <c r="R138" t="b">
        <v>0</v>
      </c>
    </row>
    <row r="139" spans="1:18" x14ac:dyDescent="0.3">
      <c r="A139">
        <v>0</v>
      </c>
      <c r="B139" t="s">
        <v>26</v>
      </c>
      <c r="C139">
        <v>1</v>
      </c>
      <c r="D139" t="s">
        <v>30</v>
      </c>
      <c r="E139" t="s">
        <v>13</v>
      </c>
      <c r="F139" t="str">
        <f t="shared" si="6"/>
        <v>Male</v>
      </c>
      <c r="G139">
        <v>37</v>
      </c>
      <c r="H139">
        <v>1</v>
      </c>
      <c r="I139">
        <v>0</v>
      </c>
      <c r="J139">
        <v>53.1</v>
      </c>
      <c r="K139" t="s">
        <v>19</v>
      </c>
      <c r="L139" t="s">
        <v>15</v>
      </c>
      <c r="M139" t="str">
        <f t="shared" si="7"/>
        <v>Man</v>
      </c>
      <c r="N139" t="b">
        <v>1</v>
      </c>
      <c r="O139" t="s">
        <v>16</v>
      </c>
      <c r="P139" t="s">
        <v>17</v>
      </c>
      <c r="Q139" t="str">
        <f t="shared" si="8"/>
        <v>No</v>
      </c>
      <c r="R139" t="b">
        <v>0</v>
      </c>
    </row>
    <row r="140" spans="1:18" x14ac:dyDescent="0.3">
      <c r="A140">
        <v>0</v>
      </c>
      <c r="B140" t="s">
        <v>26</v>
      </c>
      <c r="C140">
        <v>3</v>
      </c>
      <c r="D140" t="s">
        <v>32</v>
      </c>
      <c r="E140" t="s">
        <v>13</v>
      </c>
      <c r="F140" t="str">
        <f t="shared" si="6"/>
        <v>Male</v>
      </c>
      <c r="G140">
        <v>16</v>
      </c>
      <c r="H140">
        <v>0</v>
      </c>
      <c r="I140">
        <v>0</v>
      </c>
      <c r="J140">
        <v>9.2166999999999994</v>
      </c>
      <c r="K140" t="s">
        <v>14</v>
      </c>
      <c r="L140" t="s">
        <v>15</v>
      </c>
      <c r="M140" t="str">
        <f t="shared" si="7"/>
        <v>Man</v>
      </c>
      <c r="N140" t="b">
        <v>1</v>
      </c>
      <c r="O140" t="s">
        <v>16</v>
      </c>
      <c r="P140" t="s">
        <v>17</v>
      </c>
      <c r="Q140" t="str">
        <f t="shared" si="8"/>
        <v>No</v>
      </c>
      <c r="R140" t="b">
        <v>1</v>
      </c>
    </row>
    <row r="141" spans="1:18" x14ac:dyDescent="0.3">
      <c r="A141">
        <v>0</v>
      </c>
      <c r="B141" t="s">
        <v>26</v>
      </c>
      <c r="C141">
        <v>1</v>
      </c>
      <c r="D141" t="s">
        <v>30</v>
      </c>
      <c r="E141" t="s">
        <v>13</v>
      </c>
      <c r="F141" t="str">
        <f t="shared" si="6"/>
        <v>Male</v>
      </c>
      <c r="G141">
        <v>24</v>
      </c>
      <c r="H141">
        <v>0</v>
      </c>
      <c r="I141">
        <v>0</v>
      </c>
      <c r="J141">
        <v>79.2</v>
      </c>
      <c r="K141" t="s">
        <v>19</v>
      </c>
      <c r="L141" t="s">
        <v>15</v>
      </c>
      <c r="M141" t="str">
        <f t="shared" si="7"/>
        <v>Man</v>
      </c>
      <c r="N141" t="b">
        <v>1</v>
      </c>
      <c r="O141" t="s">
        <v>21</v>
      </c>
      <c r="P141" t="s">
        <v>17</v>
      </c>
      <c r="Q141" t="str">
        <f t="shared" si="8"/>
        <v>No</v>
      </c>
      <c r="R141" t="b">
        <v>1</v>
      </c>
    </row>
    <row r="142" spans="1:18" x14ac:dyDescent="0.3">
      <c r="A142">
        <v>0</v>
      </c>
      <c r="B142" t="s">
        <v>26</v>
      </c>
      <c r="C142">
        <v>3</v>
      </c>
      <c r="D142" t="s">
        <v>32</v>
      </c>
      <c r="E142" t="s">
        <v>18</v>
      </c>
      <c r="F142" t="str">
        <f t="shared" si="6"/>
        <v>Female</v>
      </c>
      <c r="G142">
        <v>30</v>
      </c>
      <c r="H142">
        <v>0</v>
      </c>
      <c r="I142">
        <v>2</v>
      </c>
      <c r="J142">
        <v>15.245799999999999</v>
      </c>
      <c r="K142" t="s">
        <v>14</v>
      </c>
      <c r="L142" t="s">
        <v>20</v>
      </c>
      <c r="M142" t="str">
        <f t="shared" si="7"/>
        <v>Woman</v>
      </c>
      <c r="N142" t="b">
        <v>0</v>
      </c>
      <c r="O142" t="s">
        <v>21</v>
      </c>
      <c r="P142" t="s">
        <v>17</v>
      </c>
      <c r="Q142" t="str">
        <f t="shared" si="8"/>
        <v>No</v>
      </c>
      <c r="R142" t="b">
        <v>0</v>
      </c>
    </row>
    <row r="143" spans="1:18" x14ac:dyDescent="0.3">
      <c r="A143">
        <v>1</v>
      </c>
      <c r="B143" t="s">
        <v>27</v>
      </c>
      <c r="C143">
        <v>3</v>
      </c>
      <c r="D143" t="s">
        <v>32</v>
      </c>
      <c r="E143" t="s">
        <v>18</v>
      </c>
      <c r="F143" t="str">
        <f t="shared" si="6"/>
        <v>Female</v>
      </c>
      <c r="G143">
        <v>22</v>
      </c>
      <c r="H143">
        <v>0</v>
      </c>
      <c r="I143">
        <v>0</v>
      </c>
      <c r="J143">
        <v>7.75</v>
      </c>
      <c r="K143" t="s">
        <v>14</v>
      </c>
      <c r="L143" t="s">
        <v>20</v>
      </c>
      <c r="M143" t="str">
        <f t="shared" si="7"/>
        <v>Woman</v>
      </c>
      <c r="N143" t="b">
        <v>0</v>
      </c>
      <c r="O143" t="s">
        <v>16</v>
      </c>
      <c r="P143" t="s">
        <v>22</v>
      </c>
      <c r="Q143" t="str">
        <f t="shared" si="8"/>
        <v>Yes</v>
      </c>
      <c r="R143" t="b">
        <v>1</v>
      </c>
    </row>
    <row r="144" spans="1:18" x14ac:dyDescent="0.3">
      <c r="A144">
        <v>1</v>
      </c>
      <c r="B144" t="s">
        <v>27</v>
      </c>
      <c r="C144">
        <v>3</v>
      </c>
      <c r="D144" t="s">
        <v>32</v>
      </c>
      <c r="E144" t="s">
        <v>18</v>
      </c>
      <c r="F144" t="str">
        <f t="shared" si="6"/>
        <v>Female</v>
      </c>
      <c r="G144">
        <v>24</v>
      </c>
      <c r="H144">
        <v>1</v>
      </c>
      <c r="I144">
        <v>0</v>
      </c>
      <c r="J144">
        <v>15.85</v>
      </c>
      <c r="K144" t="s">
        <v>14</v>
      </c>
      <c r="L144" t="s">
        <v>20</v>
      </c>
      <c r="M144" t="str">
        <f t="shared" si="7"/>
        <v>Woman</v>
      </c>
      <c r="N144" t="b">
        <v>0</v>
      </c>
      <c r="O144" t="s">
        <v>16</v>
      </c>
      <c r="P144" t="s">
        <v>22</v>
      </c>
      <c r="Q144" t="str">
        <f t="shared" si="8"/>
        <v>Yes</v>
      </c>
      <c r="R144" t="b">
        <v>0</v>
      </c>
    </row>
    <row r="145" spans="1:18" x14ac:dyDescent="0.3">
      <c r="A145">
        <v>0</v>
      </c>
      <c r="B145" t="s">
        <v>26</v>
      </c>
      <c r="C145">
        <v>3</v>
      </c>
      <c r="D145" t="s">
        <v>32</v>
      </c>
      <c r="E145" t="s">
        <v>13</v>
      </c>
      <c r="F145" t="str">
        <f t="shared" si="6"/>
        <v>Male</v>
      </c>
      <c r="G145">
        <v>19</v>
      </c>
      <c r="H145">
        <v>0</v>
      </c>
      <c r="I145">
        <v>0</v>
      </c>
      <c r="J145">
        <v>6.75</v>
      </c>
      <c r="K145" t="s">
        <v>14</v>
      </c>
      <c r="L145" t="s">
        <v>15</v>
      </c>
      <c r="M145" t="str">
        <f t="shared" si="7"/>
        <v>Man</v>
      </c>
      <c r="N145" t="b">
        <v>1</v>
      </c>
      <c r="O145" t="s">
        <v>23</v>
      </c>
      <c r="P145" t="s">
        <v>17</v>
      </c>
      <c r="Q145" t="str">
        <f t="shared" si="8"/>
        <v>No</v>
      </c>
      <c r="R145" t="b">
        <v>1</v>
      </c>
    </row>
    <row r="146" spans="1:18" x14ac:dyDescent="0.3">
      <c r="A146">
        <v>0</v>
      </c>
      <c r="B146" t="s">
        <v>26</v>
      </c>
      <c r="C146">
        <v>2</v>
      </c>
      <c r="D146" t="s">
        <v>31</v>
      </c>
      <c r="E146" t="s">
        <v>13</v>
      </c>
      <c r="F146" t="str">
        <f t="shared" si="6"/>
        <v>Male</v>
      </c>
      <c r="G146">
        <v>18</v>
      </c>
      <c r="H146">
        <v>0</v>
      </c>
      <c r="I146">
        <v>0</v>
      </c>
      <c r="J146">
        <v>11.5</v>
      </c>
      <c r="K146" t="s">
        <v>25</v>
      </c>
      <c r="L146" t="s">
        <v>15</v>
      </c>
      <c r="M146" t="str">
        <f t="shared" si="7"/>
        <v>Man</v>
      </c>
      <c r="N146" t="b">
        <v>1</v>
      </c>
      <c r="O146" t="s">
        <v>16</v>
      </c>
      <c r="P146" t="s">
        <v>17</v>
      </c>
      <c r="Q146" t="str">
        <f t="shared" si="8"/>
        <v>No</v>
      </c>
      <c r="R146" t="b">
        <v>1</v>
      </c>
    </row>
    <row r="147" spans="1:18" x14ac:dyDescent="0.3">
      <c r="A147">
        <v>0</v>
      </c>
      <c r="B147" t="s">
        <v>26</v>
      </c>
      <c r="C147">
        <v>2</v>
      </c>
      <c r="D147" t="s">
        <v>31</v>
      </c>
      <c r="E147" t="s">
        <v>13</v>
      </c>
      <c r="F147" t="str">
        <f t="shared" si="6"/>
        <v>Male</v>
      </c>
      <c r="G147">
        <v>19</v>
      </c>
      <c r="H147">
        <v>1</v>
      </c>
      <c r="I147">
        <v>1</v>
      </c>
      <c r="J147">
        <v>36.75</v>
      </c>
      <c r="K147" t="s">
        <v>25</v>
      </c>
      <c r="L147" t="s">
        <v>15</v>
      </c>
      <c r="M147" t="str">
        <f t="shared" si="7"/>
        <v>Man</v>
      </c>
      <c r="N147" t="b">
        <v>1</v>
      </c>
      <c r="O147" t="s">
        <v>16</v>
      </c>
      <c r="P147" t="s">
        <v>17</v>
      </c>
      <c r="Q147" t="str">
        <f t="shared" si="8"/>
        <v>No</v>
      </c>
      <c r="R147" t="b">
        <v>0</v>
      </c>
    </row>
    <row r="148" spans="1:18" x14ac:dyDescent="0.3">
      <c r="A148">
        <v>1</v>
      </c>
      <c r="B148" t="s">
        <v>27</v>
      </c>
      <c r="C148">
        <v>3</v>
      </c>
      <c r="D148" t="s">
        <v>32</v>
      </c>
      <c r="E148" t="s">
        <v>13</v>
      </c>
      <c r="F148" t="str">
        <f t="shared" si="6"/>
        <v>Male</v>
      </c>
      <c r="G148">
        <v>27</v>
      </c>
      <c r="H148">
        <v>0</v>
      </c>
      <c r="I148">
        <v>0</v>
      </c>
      <c r="J148">
        <v>7.7957999999999998</v>
      </c>
      <c r="K148" t="s">
        <v>14</v>
      </c>
      <c r="L148" t="s">
        <v>15</v>
      </c>
      <c r="M148" t="str">
        <f t="shared" si="7"/>
        <v>Man</v>
      </c>
      <c r="N148" t="b">
        <v>1</v>
      </c>
      <c r="O148" t="s">
        <v>16</v>
      </c>
      <c r="P148" t="s">
        <v>22</v>
      </c>
      <c r="Q148" t="str">
        <f t="shared" si="8"/>
        <v>Yes</v>
      </c>
      <c r="R148" t="b">
        <v>1</v>
      </c>
    </row>
    <row r="149" spans="1:18" x14ac:dyDescent="0.3">
      <c r="A149">
        <v>0</v>
      </c>
      <c r="B149" t="s">
        <v>26</v>
      </c>
      <c r="C149">
        <v>3</v>
      </c>
      <c r="D149" t="s">
        <v>32</v>
      </c>
      <c r="E149" t="s">
        <v>18</v>
      </c>
      <c r="F149" t="str">
        <f t="shared" si="6"/>
        <v>Female</v>
      </c>
      <c r="G149">
        <v>9</v>
      </c>
      <c r="H149">
        <v>2</v>
      </c>
      <c r="I149">
        <v>2</v>
      </c>
      <c r="J149">
        <v>34.375</v>
      </c>
      <c r="K149" t="s">
        <v>14</v>
      </c>
      <c r="L149" t="s">
        <v>24</v>
      </c>
      <c r="M149" t="str">
        <f t="shared" si="7"/>
        <v>Child</v>
      </c>
      <c r="N149" t="b">
        <v>0</v>
      </c>
      <c r="O149" t="s">
        <v>16</v>
      </c>
      <c r="P149" t="s">
        <v>17</v>
      </c>
      <c r="Q149" t="str">
        <f t="shared" si="8"/>
        <v>No</v>
      </c>
      <c r="R149" t="b">
        <v>0</v>
      </c>
    </row>
    <row r="150" spans="1:18" x14ac:dyDescent="0.3">
      <c r="A150">
        <v>0</v>
      </c>
      <c r="B150" t="s">
        <v>26</v>
      </c>
      <c r="C150">
        <v>2</v>
      </c>
      <c r="D150" t="s">
        <v>31</v>
      </c>
      <c r="E150" t="s">
        <v>13</v>
      </c>
      <c r="F150" t="str">
        <f t="shared" si="6"/>
        <v>Male</v>
      </c>
      <c r="G150">
        <v>36.5</v>
      </c>
      <c r="H150">
        <v>0</v>
      </c>
      <c r="I150">
        <v>2</v>
      </c>
      <c r="J150">
        <v>26</v>
      </c>
      <c r="K150" t="s">
        <v>25</v>
      </c>
      <c r="L150" t="s">
        <v>15</v>
      </c>
      <c r="M150" t="str">
        <f t="shared" si="7"/>
        <v>Man</v>
      </c>
      <c r="N150" t="b">
        <v>1</v>
      </c>
      <c r="O150" t="s">
        <v>16</v>
      </c>
      <c r="P150" t="s">
        <v>17</v>
      </c>
      <c r="Q150" t="str">
        <f t="shared" si="8"/>
        <v>No</v>
      </c>
      <c r="R150" t="b">
        <v>0</v>
      </c>
    </row>
    <row r="151" spans="1:18" x14ac:dyDescent="0.3">
      <c r="A151">
        <v>0</v>
      </c>
      <c r="B151" t="s">
        <v>26</v>
      </c>
      <c r="C151">
        <v>2</v>
      </c>
      <c r="D151" t="s">
        <v>31</v>
      </c>
      <c r="E151" t="s">
        <v>13</v>
      </c>
      <c r="F151" t="str">
        <f t="shared" si="6"/>
        <v>Male</v>
      </c>
      <c r="G151">
        <v>42</v>
      </c>
      <c r="H151">
        <v>0</v>
      </c>
      <c r="I151">
        <v>0</v>
      </c>
      <c r="J151">
        <v>13</v>
      </c>
      <c r="K151" t="s">
        <v>25</v>
      </c>
      <c r="L151" t="s">
        <v>15</v>
      </c>
      <c r="M151" t="str">
        <f t="shared" si="7"/>
        <v>Man</v>
      </c>
      <c r="N151" t="b">
        <v>1</v>
      </c>
      <c r="O151" t="s">
        <v>16</v>
      </c>
      <c r="P151" t="s">
        <v>17</v>
      </c>
      <c r="Q151" t="str">
        <f t="shared" si="8"/>
        <v>No</v>
      </c>
      <c r="R151" t="b">
        <v>1</v>
      </c>
    </row>
    <row r="152" spans="1:18" x14ac:dyDescent="0.3">
      <c r="A152">
        <v>0</v>
      </c>
      <c r="B152" t="s">
        <v>26</v>
      </c>
      <c r="C152">
        <v>2</v>
      </c>
      <c r="D152" t="s">
        <v>31</v>
      </c>
      <c r="E152" t="s">
        <v>13</v>
      </c>
      <c r="F152" t="str">
        <f t="shared" si="6"/>
        <v>Male</v>
      </c>
      <c r="G152">
        <v>51</v>
      </c>
      <c r="H152">
        <v>0</v>
      </c>
      <c r="I152">
        <v>0</v>
      </c>
      <c r="J152">
        <v>12.525</v>
      </c>
      <c r="K152" t="s">
        <v>25</v>
      </c>
      <c r="L152" t="s">
        <v>15</v>
      </c>
      <c r="M152" t="str">
        <f t="shared" si="7"/>
        <v>Man</v>
      </c>
      <c r="N152" t="b">
        <v>1</v>
      </c>
      <c r="O152" t="s">
        <v>16</v>
      </c>
      <c r="P152" t="s">
        <v>17</v>
      </c>
      <c r="Q152" t="str">
        <f t="shared" si="8"/>
        <v>No</v>
      </c>
      <c r="R152" t="b">
        <v>1</v>
      </c>
    </row>
    <row r="153" spans="1:18" x14ac:dyDescent="0.3">
      <c r="A153">
        <v>1</v>
      </c>
      <c r="B153" t="s">
        <v>27</v>
      </c>
      <c r="C153">
        <v>1</v>
      </c>
      <c r="D153" t="s">
        <v>30</v>
      </c>
      <c r="E153" t="s">
        <v>18</v>
      </c>
      <c r="F153" t="str">
        <f t="shared" si="6"/>
        <v>Female</v>
      </c>
      <c r="G153">
        <v>22</v>
      </c>
      <c r="H153">
        <v>1</v>
      </c>
      <c r="I153">
        <v>0</v>
      </c>
      <c r="J153">
        <v>66.599999999999994</v>
      </c>
      <c r="K153" t="s">
        <v>19</v>
      </c>
      <c r="L153" t="s">
        <v>20</v>
      </c>
      <c r="M153" t="str">
        <f t="shared" si="7"/>
        <v>Woman</v>
      </c>
      <c r="N153" t="b">
        <v>0</v>
      </c>
      <c r="O153" t="s">
        <v>16</v>
      </c>
      <c r="P153" t="s">
        <v>22</v>
      </c>
      <c r="Q153" t="str">
        <f t="shared" si="8"/>
        <v>Yes</v>
      </c>
      <c r="R153" t="b">
        <v>0</v>
      </c>
    </row>
    <row r="154" spans="1:18" x14ac:dyDescent="0.3">
      <c r="A154">
        <v>0</v>
      </c>
      <c r="B154" t="s">
        <v>26</v>
      </c>
      <c r="C154">
        <v>3</v>
      </c>
      <c r="D154" t="s">
        <v>32</v>
      </c>
      <c r="E154" t="s">
        <v>13</v>
      </c>
      <c r="F154" t="str">
        <f t="shared" si="6"/>
        <v>Male</v>
      </c>
      <c r="G154">
        <v>55.5</v>
      </c>
      <c r="H154">
        <v>0</v>
      </c>
      <c r="I154">
        <v>0</v>
      </c>
      <c r="J154">
        <v>8.0500000000000007</v>
      </c>
      <c r="K154" t="s">
        <v>14</v>
      </c>
      <c r="L154" t="s">
        <v>15</v>
      </c>
      <c r="M154" t="str">
        <f t="shared" si="7"/>
        <v>Man</v>
      </c>
      <c r="N154" t="b">
        <v>1</v>
      </c>
      <c r="O154" t="s">
        <v>16</v>
      </c>
      <c r="P154" t="s">
        <v>17</v>
      </c>
      <c r="Q154" t="str">
        <f t="shared" si="8"/>
        <v>No</v>
      </c>
      <c r="R154" t="b">
        <v>1</v>
      </c>
    </row>
    <row r="155" spans="1:18" x14ac:dyDescent="0.3">
      <c r="A155">
        <v>0</v>
      </c>
      <c r="B155" t="s">
        <v>26</v>
      </c>
      <c r="C155">
        <v>3</v>
      </c>
      <c r="D155" t="s">
        <v>32</v>
      </c>
      <c r="E155" t="s">
        <v>13</v>
      </c>
      <c r="F155" t="str">
        <f t="shared" si="6"/>
        <v>Male</v>
      </c>
      <c r="G155">
        <v>40.5</v>
      </c>
      <c r="H155">
        <v>0</v>
      </c>
      <c r="I155">
        <v>2</v>
      </c>
      <c r="J155">
        <v>14.5</v>
      </c>
      <c r="K155" t="s">
        <v>14</v>
      </c>
      <c r="L155" t="s">
        <v>15</v>
      </c>
      <c r="M155" t="str">
        <f t="shared" si="7"/>
        <v>Man</v>
      </c>
      <c r="N155" t="b">
        <v>1</v>
      </c>
      <c r="O155" t="s">
        <v>16</v>
      </c>
      <c r="P155" t="s">
        <v>17</v>
      </c>
      <c r="Q155" t="str">
        <f t="shared" si="8"/>
        <v>No</v>
      </c>
      <c r="R155" t="b">
        <v>0</v>
      </c>
    </row>
    <row r="156" spans="1:18" x14ac:dyDescent="0.3">
      <c r="A156">
        <v>0</v>
      </c>
      <c r="B156" t="s">
        <v>26</v>
      </c>
      <c r="C156">
        <v>3</v>
      </c>
      <c r="D156" t="s">
        <v>32</v>
      </c>
      <c r="E156" t="s">
        <v>13</v>
      </c>
      <c r="F156" t="str">
        <f t="shared" si="6"/>
        <v>Male</v>
      </c>
      <c r="G156">
        <v>30</v>
      </c>
      <c r="H156">
        <v>0</v>
      </c>
      <c r="I156">
        <v>0</v>
      </c>
      <c r="J156">
        <v>7.3125</v>
      </c>
      <c r="K156" t="s">
        <v>14</v>
      </c>
      <c r="L156" t="s">
        <v>15</v>
      </c>
      <c r="M156" t="str">
        <f t="shared" si="7"/>
        <v>Man</v>
      </c>
      <c r="N156" t="b">
        <v>1</v>
      </c>
      <c r="O156" t="s">
        <v>16</v>
      </c>
      <c r="P156" t="s">
        <v>17</v>
      </c>
      <c r="Q156" t="str">
        <f t="shared" si="8"/>
        <v>No</v>
      </c>
      <c r="R156" t="b">
        <v>1</v>
      </c>
    </row>
    <row r="157" spans="1:18" x14ac:dyDescent="0.3">
      <c r="A157">
        <v>0</v>
      </c>
      <c r="B157" t="s">
        <v>26</v>
      </c>
      <c r="C157">
        <v>1</v>
      </c>
      <c r="D157" t="s">
        <v>30</v>
      </c>
      <c r="E157" t="s">
        <v>13</v>
      </c>
      <c r="F157" t="str">
        <f t="shared" si="6"/>
        <v>Male</v>
      </c>
      <c r="G157">
        <v>51</v>
      </c>
      <c r="H157">
        <v>0</v>
      </c>
      <c r="I157">
        <v>1</v>
      </c>
      <c r="J157">
        <v>61.379199999999997</v>
      </c>
      <c r="K157" t="s">
        <v>19</v>
      </c>
      <c r="L157" t="s">
        <v>15</v>
      </c>
      <c r="M157" t="str">
        <f t="shared" si="7"/>
        <v>Man</v>
      </c>
      <c r="N157" t="b">
        <v>1</v>
      </c>
      <c r="O157" t="s">
        <v>21</v>
      </c>
      <c r="P157" t="s">
        <v>17</v>
      </c>
      <c r="Q157" t="str">
        <f t="shared" si="8"/>
        <v>No</v>
      </c>
      <c r="R157" t="b">
        <v>0</v>
      </c>
    </row>
    <row r="158" spans="1:18" x14ac:dyDescent="0.3">
      <c r="A158">
        <v>1</v>
      </c>
      <c r="B158" t="s">
        <v>27</v>
      </c>
      <c r="C158">
        <v>3</v>
      </c>
      <c r="D158" t="s">
        <v>32</v>
      </c>
      <c r="E158" t="s">
        <v>18</v>
      </c>
      <c r="F158" t="str">
        <f t="shared" si="6"/>
        <v>Female</v>
      </c>
      <c r="G158">
        <v>16</v>
      </c>
      <c r="H158">
        <v>0</v>
      </c>
      <c r="I158">
        <v>0</v>
      </c>
      <c r="J158">
        <v>7.7332999999999998</v>
      </c>
      <c r="K158" t="s">
        <v>14</v>
      </c>
      <c r="L158" t="s">
        <v>20</v>
      </c>
      <c r="M158" t="str">
        <f t="shared" si="7"/>
        <v>Woman</v>
      </c>
      <c r="N158" t="b">
        <v>0</v>
      </c>
      <c r="O158" t="s">
        <v>23</v>
      </c>
      <c r="P158" t="s">
        <v>22</v>
      </c>
      <c r="Q158" t="str">
        <f t="shared" si="8"/>
        <v>Yes</v>
      </c>
      <c r="R158" t="b">
        <v>1</v>
      </c>
    </row>
    <row r="159" spans="1:18" x14ac:dyDescent="0.3">
      <c r="A159">
        <v>0</v>
      </c>
      <c r="B159" t="s">
        <v>26</v>
      </c>
      <c r="C159">
        <v>3</v>
      </c>
      <c r="D159" t="s">
        <v>32</v>
      </c>
      <c r="E159" t="s">
        <v>13</v>
      </c>
      <c r="F159" t="str">
        <f t="shared" si="6"/>
        <v>Male</v>
      </c>
      <c r="G159">
        <v>30</v>
      </c>
      <c r="H159">
        <v>0</v>
      </c>
      <c r="I159">
        <v>0</v>
      </c>
      <c r="J159">
        <v>8.0500000000000007</v>
      </c>
      <c r="K159" t="s">
        <v>14</v>
      </c>
      <c r="L159" t="s">
        <v>15</v>
      </c>
      <c r="M159" t="str">
        <f t="shared" si="7"/>
        <v>Man</v>
      </c>
      <c r="N159" t="b">
        <v>1</v>
      </c>
      <c r="O159" t="s">
        <v>16</v>
      </c>
      <c r="P159" t="s">
        <v>17</v>
      </c>
      <c r="Q159" t="str">
        <f t="shared" si="8"/>
        <v>No</v>
      </c>
      <c r="R159" t="b">
        <v>1</v>
      </c>
    </row>
    <row r="160" spans="1:18" x14ac:dyDescent="0.3">
      <c r="A160">
        <v>0</v>
      </c>
      <c r="B160" t="s">
        <v>26</v>
      </c>
      <c r="C160">
        <v>3</v>
      </c>
      <c r="D160" t="s">
        <v>32</v>
      </c>
      <c r="E160" t="s">
        <v>13</v>
      </c>
      <c r="F160" t="str">
        <f t="shared" si="6"/>
        <v>Male</v>
      </c>
      <c r="G160">
        <v>30</v>
      </c>
      <c r="H160">
        <v>0</v>
      </c>
      <c r="I160">
        <v>0</v>
      </c>
      <c r="J160">
        <v>8.6624999999999996</v>
      </c>
      <c r="K160" t="s">
        <v>14</v>
      </c>
      <c r="L160" t="s">
        <v>15</v>
      </c>
      <c r="M160" t="str">
        <f t="shared" si="7"/>
        <v>Man</v>
      </c>
      <c r="N160" t="b">
        <v>1</v>
      </c>
      <c r="O160" t="s">
        <v>16</v>
      </c>
      <c r="P160" t="s">
        <v>17</v>
      </c>
      <c r="Q160" t="str">
        <f t="shared" si="8"/>
        <v>No</v>
      </c>
      <c r="R160" t="b">
        <v>1</v>
      </c>
    </row>
    <row r="161" spans="1:18" x14ac:dyDescent="0.3">
      <c r="A161">
        <v>0</v>
      </c>
      <c r="B161" t="s">
        <v>26</v>
      </c>
      <c r="C161">
        <v>3</v>
      </c>
      <c r="D161" t="s">
        <v>32</v>
      </c>
      <c r="E161" t="s">
        <v>13</v>
      </c>
      <c r="F161" t="str">
        <f t="shared" si="6"/>
        <v>Male</v>
      </c>
      <c r="G161">
        <v>30</v>
      </c>
      <c r="H161">
        <v>8</v>
      </c>
      <c r="I161">
        <v>2</v>
      </c>
      <c r="J161">
        <v>69.55</v>
      </c>
      <c r="K161" t="s">
        <v>14</v>
      </c>
      <c r="L161" t="s">
        <v>15</v>
      </c>
      <c r="M161" t="str">
        <f t="shared" si="7"/>
        <v>Man</v>
      </c>
      <c r="N161" t="b">
        <v>1</v>
      </c>
      <c r="O161" t="s">
        <v>16</v>
      </c>
      <c r="P161" t="s">
        <v>17</v>
      </c>
      <c r="Q161" t="str">
        <f t="shared" si="8"/>
        <v>No</v>
      </c>
      <c r="R161" t="b">
        <v>0</v>
      </c>
    </row>
    <row r="162" spans="1:18" x14ac:dyDescent="0.3">
      <c r="A162">
        <v>0</v>
      </c>
      <c r="B162" t="s">
        <v>26</v>
      </c>
      <c r="C162">
        <v>3</v>
      </c>
      <c r="D162" t="s">
        <v>32</v>
      </c>
      <c r="E162" t="s">
        <v>13</v>
      </c>
      <c r="F162" t="str">
        <f t="shared" si="6"/>
        <v>Male</v>
      </c>
      <c r="G162">
        <v>44</v>
      </c>
      <c r="H162">
        <v>0</v>
      </c>
      <c r="I162">
        <v>1</v>
      </c>
      <c r="J162">
        <v>16.100000000000001</v>
      </c>
      <c r="K162" t="s">
        <v>14</v>
      </c>
      <c r="L162" t="s">
        <v>15</v>
      </c>
      <c r="M162" t="str">
        <f t="shared" si="7"/>
        <v>Man</v>
      </c>
      <c r="N162" t="b">
        <v>1</v>
      </c>
      <c r="O162" t="s">
        <v>16</v>
      </c>
      <c r="P162" t="s">
        <v>17</v>
      </c>
      <c r="Q162" t="str">
        <f t="shared" si="8"/>
        <v>No</v>
      </c>
      <c r="R162" t="b">
        <v>0</v>
      </c>
    </row>
    <row r="163" spans="1:18" x14ac:dyDescent="0.3">
      <c r="A163">
        <v>1</v>
      </c>
      <c r="B163" t="s">
        <v>27</v>
      </c>
      <c r="C163">
        <v>2</v>
      </c>
      <c r="D163" t="s">
        <v>31</v>
      </c>
      <c r="E163" t="s">
        <v>18</v>
      </c>
      <c r="F163" t="str">
        <f t="shared" si="6"/>
        <v>Female</v>
      </c>
      <c r="G163">
        <v>40</v>
      </c>
      <c r="H163">
        <v>0</v>
      </c>
      <c r="I163">
        <v>0</v>
      </c>
      <c r="J163">
        <v>15.75</v>
      </c>
      <c r="K163" t="s">
        <v>25</v>
      </c>
      <c r="L163" t="s">
        <v>20</v>
      </c>
      <c r="M163" t="str">
        <f t="shared" si="7"/>
        <v>Woman</v>
      </c>
      <c r="N163" t="b">
        <v>0</v>
      </c>
      <c r="O163" t="s">
        <v>16</v>
      </c>
      <c r="P163" t="s">
        <v>22</v>
      </c>
      <c r="Q163" t="str">
        <f t="shared" si="8"/>
        <v>Yes</v>
      </c>
      <c r="R163" t="b">
        <v>1</v>
      </c>
    </row>
    <row r="164" spans="1:18" x14ac:dyDescent="0.3">
      <c r="A164">
        <v>0</v>
      </c>
      <c r="B164" t="s">
        <v>26</v>
      </c>
      <c r="C164">
        <v>3</v>
      </c>
      <c r="D164" t="s">
        <v>32</v>
      </c>
      <c r="E164" t="s">
        <v>13</v>
      </c>
      <c r="F164" t="str">
        <f t="shared" si="6"/>
        <v>Male</v>
      </c>
      <c r="G164">
        <v>26</v>
      </c>
      <c r="H164">
        <v>0</v>
      </c>
      <c r="I164">
        <v>0</v>
      </c>
      <c r="J164">
        <v>7.7750000000000004</v>
      </c>
      <c r="K164" t="s">
        <v>14</v>
      </c>
      <c r="L164" t="s">
        <v>15</v>
      </c>
      <c r="M164" t="str">
        <f t="shared" si="7"/>
        <v>Man</v>
      </c>
      <c r="N164" t="b">
        <v>1</v>
      </c>
      <c r="O164" t="s">
        <v>16</v>
      </c>
      <c r="P164" t="s">
        <v>17</v>
      </c>
      <c r="Q164" t="str">
        <f t="shared" si="8"/>
        <v>No</v>
      </c>
      <c r="R164" t="b">
        <v>1</v>
      </c>
    </row>
    <row r="165" spans="1:18" x14ac:dyDescent="0.3">
      <c r="A165">
        <v>0</v>
      </c>
      <c r="B165" t="s">
        <v>26</v>
      </c>
      <c r="C165">
        <v>3</v>
      </c>
      <c r="D165" t="s">
        <v>32</v>
      </c>
      <c r="E165" t="s">
        <v>13</v>
      </c>
      <c r="F165" t="str">
        <f t="shared" si="6"/>
        <v>Male</v>
      </c>
      <c r="G165">
        <v>17</v>
      </c>
      <c r="H165">
        <v>0</v>
      </c>
      <c r="I165">
        <v>0</v>
      </c>
      <c r="J165">
        <v>8.6624999999999996</v>
      </c>
      <c r="K165" t="s">
        <v>14</v>
      </c>
      <c r="L165" t="s">
        <v>15</v>
      </c>
      <c r="M165" t="str">
        <f t="shared" si="7"/>
        <v>Man</v>
      </c>
      <c r="N165" t="b">
        <v>1</v>
      </c>
      <c r="O165" t="s">
        <v>16</v>
      </c>
      <c r="P165" t="s">
        <v>17</v>
      </c>
      <c r="Q165" t="str">
        <f t="shared" si="8"/>
        <v>No</v>
      </c>
      <c r="R165" t="b">
        <v>1</v>
      </c>
    </row>
    <row r="166" spans="1:18" x14ac:dyDescent="0.3">
      <c r="A166">
        <v>0</v>
      </c>
      <c r="B166" t="s">
        <v>26</v>
      </c>
      <c r="C166">
        <v>3</v>
      </c>
      <c r="D166" t="s">
        <v>32</v>
      </c>
      <c r="E166" t="s">
        <v>13</v>
      </c>
      <c r="F166" t="str">
        <f t="shared" si="6"/>
        <v>Male</v>
      </c>
      <c r="G166">
        <v>1</v>
      </c>
      <c r="H166">
        <v>4</v>
      </c>
      <c r="I166">
        <v>1</v>
      </c>
      <c r="J166">
        <v>39.6875</v>
      </c>
      <c r="K166" t="s">
        <v>14</v>
      </c>
      <c r="L166" t="s">
        <v>24</v>
      </c>
      <c r="M166" t="str">
        <f t="shared" si="7"/>
        <v>Child</v>
      </c>
      <c r="N166" t="b">
        <v>0</v>
      </c>
      <c r="O166" t="s">
        <v>16</v>
      </c>
      <c r="P166" t="s">
        <v>17</v>
      </c>
      <c r="Q166" t="str">
        <f t="shared" si="8"/>
        <v>No</v>
      </c>
      <c r="R166" t="b">
        <v>0</v>
      </c>
    </row>
    <row r="167" spans="1:18" x14ac:dyDescent="0.3">
      <c r="A167">
        <v>1</v>
      </c>
      <c r="B167" t="s">
        <v>27</v>
      </c>
      <c r="C167">
        <v>3</v>
      </c>
      <c r="D167" t="s">
        <v>32</v>
      </c>
      <c r="E167" t="s">
        <v>13</v>
      </c>
      <c r="F167" t="str">
        <f t="shared" si="6"/>
        <v>Male</v>
      </c>
      <c r="G167">
        <v>9</v>
      </c>
      <c r="H167">
        <v>0</v>
      </c>
      <c r="I167">
        <v>2</v>
      </c>
      <c r="J167">
        <v>20.524999999999999</v>
      </c>
      <c r="K167" t="s">
        <v>14</v>
      </c>
      <c r="L167" t="s">
        <v>24</v>
      </c>
      <c r="M167" t="str">
        <f t="shared" si="7"/>
        <v>Child</v>
      </c>
      <c r="N167" t="b">
        <v>0</v>
      </c>
      <c r="O167" t="s">
        <v>16</v>
      </c>
      <c r="P167" t="s">
        <v>22</v>
      </c>
      <c r="Q167" t="str">
        <f t="shared" si="8"/>
        <v>Yes</v>
      </c>
      <c r="R167" t="b">
        <v>0</v>
      </c>
    </row>
    <row r="168" spans="1:18" x14ac:dyDescent="0.3">
      <c r="A168">
        <v>1</v>
      </c>
      <c r="B168" t="s">
        <v>27</v>
      </c>
      <c r="C168">
        <v>1</v>
      </c>
      <c r="D168" t="s">
        <v>30</v>
      </c>
      <c r="E168" t="s">
        <v>18</v>
      </c>
      <c r="F168" t="str">
        <f t="shared" si="6"/>
        <v>Female</v>
      </c>
      <c r="G168">
        <v>30</v>
      </c>
      <c r="H168">
        <v>0</v>
      </c>
      <c r="I168">
        <v>1</v>
      </c>
      <c r="J168">
        <v>55</v>
      </c>
      <c r="K168" t="s">
        <v>19</v>
      </c>
      <c r="L168" t="s">
        <v>20</v>
      </c>
      <c r="M168" t="str">
        <f t="shared" si="7"/>
        <v>Woman</v>
      </c>
      <c r="N168" t="b">
        <v>0</v>
      </c>
      <c r="O168" t="s">
        <v>16</v>
      </c>
      <c r="P168" t="s">
        <v>22</v>
      </c>
      <c r="Q168" t="str">
        <f t="shared" si="8"/>
        <v>Yes</v>
      </c>
      <c r="R168" t="b">
        <v>0</v>
      </c>
    </row>
    <row r="169" spans="1:18" x14ac:dyDescent="0.3">
      <c r="A169">
        <v>0</v>
      </c>
      <c r="B169" t="s">
        <v>26</v>
      </c>
      <c r="C169">
        <v>3</v>
      </c>
      <c r="D169" t="s">
        <v>32</v>
      </c>
      <c r="E169" t="s">
        <v>18</v>
      </c>
      <c r="F169" t="str">
        <f t="shared" si="6"/>
        <v>Female</v>
      </c>
      <c r="G169">
        <v>45</v>
      </c>
      <c r="H169">
        <v>1</v>
      </c>
      <c r="I169">
        <v>4</v>
      </c>
      <c r="J169">
        <v>27.9</v>
      </c>
      <c r="K169" t="s">
        <v>14</v>
      </c>
      <c r="L169" t="s">
        <v>20</v>
      </c>
      <c r="M169" t="str">
        <f t="shared" si="7"/>
        <v>Woman</v>
      </c>
      <c r="N169" t="b">
        <v>0</v>
      </c>
      <c r="O169" t="s">
        <v>16</v>
      </c>
      <c r="P169" t="s">
        <v>17</v>
      </c>
      <c r="Q169" t="str">
        <f t="shared" si="8"/>
        <v>No</v>
      </c>
      <c r="R169" t="b">
        <v>0</v>
      </c>
    </row>
    <row r="170" spans="1:18" x14ac:dyDescent="0.3">
      <c r="A170">
        <v>0</v>
      </c>
      <c r="B170" t="s">
        <v>26</v>
      </c>
      <c r="C170">
        <v>1</v>
      </c>
      <c r="D170" t="s">
        <v>30</v>
      </c>
      <c r="E170" t="s">
        <v>13</v>
      </c>
      <c r="F170" t="str">
        <f t="shared" si="6"/>
        <v>Male</v>
      </c>
      <c r="G170">
        <v>30</v>
      </c>
      <c r="H170">
        <v>0</v>
      </c>
      <c r="I170">
        <v>0</v>
      </c>
      <c r="J170">
        <v>25.925000000000001</v>
      </c>
      <c r="K170" t="s">
        <v>19</v>
      </c>
      <c r="L170" t="s">
        <v>15</v>
      </c>
      <c r="M170" t="str">
        <f t="shared" si="7"/>
        <v>Man</v>
      </c>
      <c r="N170" t="b">
        <v>1</v>
      </c>
      <c r="O170" t="s">
        <v>16</v>
      </c>
      <c r="P170" t="s">
        <v>17</v>
      </c>
      <c r="Q170" t="str">
        <f t="shared" si="8"/>
        <v>No</v>
      </c>
      <c r="R170" t="b">
        <v>1</v>
      </c>
    </row>
    <row r="171" spans="1:18" x14ac:dyDescent="0.3">
      <c r="A171">
        <v>0</v>
      </c>
      <c r="B171" t="s">
        <v>26</v>
      </c>
      <c r="C171">
        <v>3</v>
      </c>
      <c r="D171" t="s">
        <v>32</v>
      </c>
      <c r="E171" t="s">
        <v>13</v>
      </c>
      <c r="F171" t="str">
        <f t="shared" si="6"/>
        <v>Male</v>
      </c>
      <c r="G171">
        <v>28</v>
      </c>
      <c r="H171">
        <v>0</v>
      </c>
      <c r="I171">
        <v>0</v>
      </c>
      <c r="J171">
        <v>56.495800000000003</v>
      </c>
      <c r="K171" t="s">
        <v>14</v>
      </c>
      <c r="L171" t="s">
        <v>15</v>
      </c>
      <c r="M171" t="str">
        <f t="shared" si="7"/>
        <v>Man</v>
      </c>
      <c r="N171" t="b">
        <v>1</v>
      </c>
      <c r="O171" t="s">
        <v>16</v>
      </c>
      <c r="P171" t="s">
        <v>17</v>
      </c>
      <c r="Q171" t="str">
        <f t="shared" si="8"/>
        <v>No</v>
      </c>
      <c r="R171" t="b">
        <v>1</v>
      </c>
    </row>
    <row r="172" spans="1:18" x14ac:dyDescent="0.3">
      <c r="A172">
        <v>0</v>
      </c>
      <c r="B172" t="s">
        <v>26</v>
      </c>
      <c r="C172">
        <v>1</v>
      </c>
      <c r="D172" t="s">
        <v>30</v>
      </c>
      <c r="E172" t="s">
        <v>13</v>
      </c>
      <c r="F172" t="str">
        <f t="shared" si="6"/>
        <v>Male</v>
      </c>
      <c r="G172">
        <v>61</v>
      </c>
      <c r="H172">
        <v>0</v>
      </c>
      <c r="I172">
        <v>0</v>
      </c>
      <c r="J172">
        <v>33.5</v>
      </c>
      <c r="K172" t="s">
        <v>19</v>
      </c>
      <c r="L172" t="s">
        <v>15</v>
      </c>
      <c r="M172" t="str">
        <f t="shared" si="7"/>
        <v>Man</v>
      </c>
      <c r="N172" t="b">
        <v>1</v>
      </c>
      <c r="O172" t="s">
        <v>16</v>
      </c>
      <c r="P172" t="s">
        <v>17</v>
      </c>
      <c r="Q172" t="str">
        <f t="shared" si="8"/>
        <v>No</v>
      </c>
      <c r="R172" t="b">
        <v>1</v>
      </c>
    </row>
    <row r="173" spans="1:18" x14ac:dyDescent="0.3">
      <c r="A173">
        <v>0</v>
      </c>
      <c r="B173" t="s">
        <v>26</v>
      </c>
      <c r="C173">
        <v>3</v>
      </c>
      <c r="D173" t="s">
        <v>32</v>
      </c>
      <c r="E173" t="s">
        <v>13</v>
      </c>
      <c r="F173" t="str">
        <f t="shared" si="6"/>
        <v>Male</v>
      </c>
      <c r="G173">
        <v>4</v>
      </c>
      <c r="H173">
        <v>4</v>
      </c>
      <c r="I173">
        <v>1</v>
      </c>
      <c r="J173">
        <v>29.125</v>
      </c>
      <c r="K173" t="s">
        <v>14</v>
      </c>
      <c r="L173" t="s">
        <v>24</v>
      </c>
      <c r="M173" t="str">
        <f t="shared" si="7"/>
        <v>Child</v>
      </c>
      <c r="N173" t="b">
        <v>0</v>
      </c>
      <c r="O173" t="s">
        <v>23</v>
      </c>
      <c r="P173" t="s">
        <v>17</v>
      </c>
      <c r="Q173" t="str">
        <f t="shared" si="8"/>
        <v>No</v>
      </c>
      <c r="R173" t="b">
        <v>0</v>
      </c>
    </row>
    <row r="174" spans="1:18" x14ac:dyDescent="0.3">
      <c r="A174">
        <v>1</v>
      </c>
      <c r="B174" t="s">
        <v>27</v>
      </c>
      <c r="C174">
        <v>3</v>
      </c>
      <c r="D174" t="s">
        <v>32</v>
      </c>
      <c r="E174" t="s">
        <v>18</v>
      </c>
      <c r="F174" t="str">
        <f t="shared" si="6"/>
        <v>Female</v>
      </c>
      <c r="G174">
        <v>1</v>
      </c>
      <c r="H174">
        <v>1</v>
      </c>
      <c r="I174">
        <v>1</v>
      </c>
      <c r="J174">
        <v>11.1333</v>
      </c>
      <c r="K174" t="s">
        <v>14</v>
      </c>
      <c r="L174" t="s">
        <v>24</v>
      </c>
      <c r="M174" t="str">
        <f t="shared" si="7"/>
        <v>Child</v>
      </c>
      <c r="N174" t="b">
        <v>0</v>
      </c>
      <c r="O174" t="s">
        <v>16</v>
      </c>
      <c r="P174" t="s">
        <v>22</v>
      </c>
      <c r="Q174" t="str">
        <f t="shared" si="8"/>
        <v>Yes</v>
      </c>
      <c r="R174" t="b">
        <v>0</v>
      </c>
    </row>
    <row r="175" spans="1:18" x14ac:dyDescent="0.3">
      <c r="A175">
        <v>0</v>
      </c>
      <c r="B175" t="s">
        <v>26</v>
      </c>
      <c r="C175">
        <v>3</v>
      </c>
      <c r="D175" t="s">
        <v>32</v>
      </c>
      <c r="E175" t="s">
        <v>13</v>
      </c>
      <c r="F175" t="str">
        <f t="shared" si="6"/>
        <v>Male</v>
      </c>
      <c r="G175">
        <v>21</v>
      </c>
      <c r="H175">
        <v>0</v>
      </c>
      <c r="I175">
        <v>0</v>
      </c>
      <c r="J175">
        <v>7.9249999999999998</v>
      </c>
      <c r="K175" t="s">
        <v>14</v>
      </c>
      <c r="L175" t="s">
        <v>15</v>
      </c>
      <c r="M175" t="str">
        <f t="shared" si="7"/>
        <v>Man</v>
      </c>
      <c r="N175" t="b">
        <v>1</v>
      </c>
      <c r="O175" t="s">
        <v>16</v>
      </c>
      <c r="P175" t="s">
        <v>17</v>
      </c>
      <c r="Q175" t="str">
        <f t="shared" si="8"/>
        <v>No</v>
      </c>
      <c r="R175" t="b">
        <v>1</v>
      </c>
    </row>
    <row r="176" spans="1:18" x14ac:dyDescent="0.3">
      <c r="A176">
        <v>0</v>
      </c>
      <c r="B176" t="s">
        <v>26</v>
      </c>
      <c r="C176">
        <v>1</v>
      </c>
      <c r="D176" t="s">
        <v>30</v>
      </c>
      <c r="E176" t="s">
        <v>13</v>
      </c>
      <c r="F176" t="str">
        <f t="shared" si="6"/>
        <v>Male</v>
      </c>
      <c r="G176">
        <v>56</v>
      </c>
      <c r="H176">
        <v>0</v>
      </c>
      <c r="I176">
        <v>0</v>
      </c>
      <c r="J176">
        <v>30.695799999999998</v>
      </c>
      <c r="K176" t="s">
        <v>19</v>
      </c>
      <c r="L176" t="s">
        <v>15</v>
      </c>
      <c r="M176" t="str">
        <f t="shared" si="7"/>
        <v>Man</v>
      </c>
      <c r="N176" t="b">
        <v>1</v>
      </c>
      <c r="O176" t="s">
        <v>21</v>
      </c>
      <c r="P176" t="s">
        <v>17</v>
      </c>
      <c r="Q176" t="str">
        <f t="shared" si="8"/>
        <v>No</v>
      </c>
      <c r="R176" t="b">
        <v>1</v>
      </c>
    </row>
    <row r="177" spans="1:18" x14ac:dyDescent="0.3">
      <c r="A177">
        <v>0</v>
      </c>
      <c r="B177" t="s">
        <v>26</v>
      </c>
      <c r="C177">
        <v>3</v>
      </c>
      <c r="D177" t="s">
        <v>32</v>
      </c>
      <c r="E177" t="s">
        <v>13</v>
      </c>
      <c r="F177" t="str">
        <f t="shared" si="6"/>
        <v>Male</v>
      </c>
      <c r="G177">
        <v>18</v>
      </c>
      <c r="H177">
        <v>1</v>
      </c>
      <c r="I177">
        <v>1</v>
      </c>
      <c r="J177">
        <v>7.8541999999999996</v>
      </c>
      <c r="K177" t="s">
        <v>14</v>
      </c>
      <c r="L177" t="s">
        <v>15</v>
      </c>
      <c r="M177" t="str">
        <f t="shared" si="7"/>
        <v>Man</v>
      </c>
      <c r="N177" t="b">
        <v>1</v>
      </c>
      <c r="O177" t="s">
        <v>16</v>
      </c>
      <c r="P177" t="s">
        <v>17</v>
      </c>
      <c r="Q177" t="str">
        <f t="shared" si="8"/>
        <v>No</v>
      </c>
      <c r="R177" t="b">
        <v>0</v>
      </c>
    </row>
    <row r="178" spans="1:18" x14ac:dyDescent="0.3">
      <c r="A178">
        <v>0</v>
      </c>
      <c r="B178" t="s">
        <v>26</v>
      </c>
      <c r="C178">
        <v>3</v>
      </c>
      <c r="D178" t="s">
        <v>32</v>
      </c>
      <c r="E178" t="s">
        <v>13</v>
      </c>
      <c r="F178" t="str">
        <f t="shared" si="6"/>
        <v>Male</v>
      </c>
      <c r="G178">
        <v>30</v>
      </c>
      <c r="H178">
        <v>3</v>
      </c>
      <c r="I178">
        <v>1</v>
      </c>
      <c r="J178">
        <v>25.466699999999999</v>
      </c>
      <c r="K178" t="s">
        <v>14</v>
      </c>
      <c r="L178" t="s">
        <v>15</v>
      </c>
      <c r="M178" t="str">
        <f t="shared" si="7"/>
        <v>Man</v>
      </c>
      <c r="N178" t="b">
        <v>1</v>
      </c>
      <c r="O178" t="s">
        <v>16</v>
      </c>
      <c r="P178" t="s">
        <v>17</v>
      </c>
      <c r="Q178" t="str">
        <f t="shared" si="8"/>
        <v>No</v>
      </c>
      <c r="R178" t="b">
        <v>0</v>
      </c>
    </row>
    <row r="179" spans="1:18" x14ac:dyDescent="0.3">
      <c r="A179">
        <v>0</v>
      </c>
      <c r="B179" t="s">
        <v>26</v>
      </c>
      <c r="C179">
        <v>1</v>
      </c>
      <c r="D179" t="s">
        <v>30</v>
      </c>
      <c r="E179" t="s">
        <v>18</v>
      </c>
      <c r="F179" t="str">
        <f t="shared" si="6"/>
        <v>Female</v>
      </c>
      <c r="G179">
        <v>50</v>
      </c>
      <c r="H179">
        <v>0</v>
      </c>
      <c r="I179">
        <v>0</v>
      </c>
      <c r="J179">
        <v>28.712499999999999</v>
      </c>
      <c r="K179" t="s">
        <v>19</v>
      </c>
      <c r="L179" t="s">
        <v>20</v>
      </c>
      <c r="M179" t="str">
        <f t="shared" si="7"/>
        <v>Woman</v>
      </c>
      <c r="N179" t="b">
        <v>0</v>
      </c>
      <c r="O179" t="s">
        <v>21</v>
      </c>
      <c r="P179" t="s">
        <v>17</v>
      </c>
      <c r="Q179" t="str">
        <f t="shared" si="8"/>
        <v>No</v>
      </c>
      <c r="R179" t="b">
        <v>1</v>
      </c>
    </row>
    <row r="180" spans="1:18" x14ac:dyDescent="0.3">
      <c r="A180">
        <v>0</v>
      </c>
      <c r="B180" t="s">
        <v>26</v>
      </c>
      <c r="C180">
        <v>2</v>
      </c>
      <c r="D180" t="s">
        <v>31</v>
      </c>
      <c r="E180" t="s">
        <v>13</v>
      </c>
      <c r="F180" t="str">
        <f t="shared" si="6"/>
        <v>Male</v>
      </c>
      <c r="G180">
        <v>30</v>
      </c>
      <c r="H180">
        <v>0</v>
      </c>
      <c r="I180">
        <v>0</v>
      </c>
      <c r="J180">
        <v>13</v>
      </c>
      <c r="K180" t="s">
        <v>25</v>
      </c>
      <c r="L180" t="s">
        <v>15</v>
      </c>
      <c r="M180" t="str">
        <f t="shared" si="7"/>
        <v>Man</v>
      </c>
      <c r="N180" t="b">
        <v>1</v>
      </c>
      <c r="O180" t="s">
        <v>16</v>
      </c>
      <c r="P180" t="s">
        <v>17</v>
      </c>
      <c r="Q180" t="str">
        <f t="shared" si="8"/>
        <v>No</v>
      </c>
      <c r="R180" t="b">
        <v>1</v>
      </c>
    </row>
    <row r="181" spans="1:18" x14ac:dyDescent="0.3">
      <c r="A181">
        <v>0</v>
      </c>
      <c r="B181" t="s">
        <v>26</v>
      </c>
      <c r="C181">
        <v>3</v>
      </c>
      <c r="D181" t="s">
        <v>32</v>
      </c>
      <c r="E181" t="s">
        <v>13</v>
      </c>
      <c r="F181" t="str">
        <f t="shared" si="6"/>
        <v>Male</v>
      </c>
      <c r="G181">
        <v>36</v>
      </c>
      <c r="H181">
        <v>0</v>
      </c>
      <c r="I181">
        <v>0</v>
      </c>
      <c r="J181">
        <v>0</v>
      </c>
      <c r="K181" t="s">
        <v>14</v>
      </c>
      <c r="L181" t="s">
        <v>15</v>
      </c>
      <c r="M181" t="str">
        <f t="shared" si="7"/>
        <v>Man</v>
      </c>
      <c r="N181" t="b">
        <v>1</v>
      </c>
      <c r="O181" t="s">
        <v>16</v>
      </c>
      <c r="P181" t="s">
        <v>17</v>
      </c>
      <c r="Q181" t="str">
        <f t="shared" si="8"/>
        <v>No</v>
      </c>
      <c r="R181" t="b">
        <v>1</v>
      </c>
    </row>
    <row r="182" spans="1:18" x14ac:dyDescent="0.3">
      <c r="A182">
        <v>0</v>
      </c>
      <c r="B182" t="s">
        <v>26</v>
      </c>
      <c r="C182">
        <v>3</v>
      </c>
      <c r="D182" t="s">
        <v>32</v>
      </c>
      <c r="E182" t="s">
        <v>18</v>
      </c>
      <c r="F182" t="str">
        <f t="shared" si="6"/>
        <v>Female</v>
      </c>
      <c r="G182">
        <v>30</v>
      </c>
      <c r="H182">
        <v>8</v>
      </c>
      <c r="I182">
        <v>2</v>
      </c>
      <c r="J182">
        <v>69.55</v>
      </c>
      <c r="K182" t="s">
        <v>14</v>
      </c>
      <c r="L182" t="s">
        <v>20</v>
      </c>
      <c r="M182" t="str">
        <f t="shared" si="7"/>
        <v>Woman</v>
      </c>
      <c r="N182" t="b">
        <v>0</v>
      </c>
      <c r="O182" t="s">
        <v>16</v>
      </c>
      <c r="P182" t="s">
        <v>17</v>
      </c>
      <c r="Q182" t="str">
        <f t="shared" si="8"/>
        <v>No</v>
      </c>
      <c r="R182" t="b">
        <v>0</v>
      </c>
    </row>
    <row r="183" spans="1:18" x14ac:dyDescent="0.3">
      <c r="A183">
        <v>0</v>
      </c>
      <c r="B183" t="s">
        <v>26</v>
      </c>
      <c r="C183">
        <v>2</v>
      </c>
      <c r="D183" t="s">
        <v>31</v>
      </c>
      <c r="E183" t="s">
        <v>13</v>
      </c>
      <c r="F183" t="str">
        <f t="shared" si="6"/>
        <v>Male</v>
      </c>
      <c r="G183">
        <v>30</v>
      </c>
      <c r="H183">
        <v>0</v>
      </c>
      <c r="I183">
        <v>0</v>
      </c>
      <c r="J183">
        <v>15.05</v>
      </c>
      <c r="K183" t="s">
        <v>25</v>
      </c>
      <c r="L183" t="s">
        <v>15</v>
      </c>
      <c r="M183" t="str">
        <f t="shared" si="7"/>
        <v>Man</v>
      </c>
      <c r="N183" t="b">
        <v>1</v>
      </c>
      <c r="O183" t="s">
        <v>21</v>
      </c>
      <c r="P183" t="s">
        <v>17</v>
      </c>
      <c r="Q183" t="str">
        <f t="shared" si="8"/>
        <v>No</v>
      </c>
      <c r="R183" t="b">
        <v>1</v>
      </c>
    </row>
    <row r="184" spans="1:18" x14ac:dyDescent="0.3">
      <c r="A184">
        <v>0</v>
      </c>
      <c r="B184" t="s">
        <v>26</v>
      </c>
      <c r="C184">
        <v>3</v>
      </c>
      <c r="D184" t="s">
        <v>32</v>
      </c>
      <c r="E184" t="s">
        <v>13</v>
      </c>
      <c r="F184" t="str">
        <f t="shared" si="6"/>
        <v>Male</v>
      </c>
      <c r="G184">
        <v>9</v>
      </c>
      <c r="H184">
        <v>4</v>
      </c>
      <c r="I184">
        <v>2</v>
      </c>
      <c r="J184">
        <v>31.387499999999999</v>
      </c>
      <c r="K184" t="s">
        <v>14</v>
      </c>
      <c r="L184" t="s">
        <v>24</v>
      </c>
      <c r="M184" t="str">
        <f t="shared" si="7"/>
        <v>Child</v>
      </c>
      <c r="N184" t="b">
        <v>0</v>
      </c>
      <c r="O184" t="s">
        <v>16</v>
      </c>
      <c r="P184" t="s">
        <v>17</v>
      </c>
      <c r="Q184" t="str">
        <f t="shared" si="8"/>
        <v>No</v>
      </c>
      <c r="R184" t="b">
        <v>0</v>
      </c>
    </row>
    <row r="185" spans="1:18" x14ac:dyDescent="0.3">
      <c r="A185">
        <v>1</v>
      </c>
      <c r="B185" t="s">
        <v>27</v>
      </c>
      <c r="C185">
        <v>2</v>
      </c>
      <c r="D185" t="s">
        <v>31</v>
      </c>
      <c r="E185" t="s">
        <v>13</v>
      </c>
      <c r="F185" t="str">
        <f t="shared" si="6"/>
        <v>Male</v>
      </c>
      <c r="G185">
        <v>1</v>
      </c>
      <c r="H185">
        <v>2</v>
      </c>
      <c r="I185">
        <v>1</v>
      </c>
      <c r="J185">
        <v>39</v>
      </c>
      <c r="K185" t="s">
        <v>25</v>
      </c>
      <c r="L185" t="s">
        <v>24</v>
      </c>
      <c r="M185" t="str">
        <f t="shared" si="7"/>
        <v>Child</v>
      </c>
      <c r="N185" t="b">
        <v>0</v>
      </c>
      <c r="O185" t="s">
        <v>16</v>
      </c>
      <c r="P185" t="s">
        <v>22</v>
      </c>
      <c r="Q185" t="str">
        <f t="shared" si="8"/>
        <v>Yes</v>
      </c>
      <c r="R185" t="b">
        <v>0</v>
      </c>
    </row>
    <row r="186" spans="1:18" x14ac:dyDescent="0.3">
      <c r="A186">
        <v>1</v>
      </c>
      <c r="B186" t="s">
        <v>27</v>
      </c>
      <c r="C186">
        <v>3</v>
      </c>
      <c r="D186" t="s">
        <v>32</v>
      </c>
      <c r="E186" t="s">
        <v>18</v>
      </c>
      <c r="F186" t="str">
        <f t="shared" si="6"/>
        <v>Female</v>
      </c>
      <c r="G186">
        <v>4</v>
      </c>
      <c r="H186">
        <v>0</v>
      </c>
      <c r="I186">
        <v>2</v>
      </c>
      <c r="J186">
        <v>22.024999999999999</v>
      </c>
      <c r="K186" t="s">
        <v>14</v>
      </c>
      <c r="L186" t="s">
        <v>24</v>
      </c>
      <c r="M186" t="str">
        <f t="shared" si="7"/>
        <v>Child</v>
      </c>
      <c r="N186" t="b">
        <v>0</v>
      </c>
      <c r="O186" t="s">
        <v>16</v>
      </c>
      <c r="P186" t="s">
        <v>22</v>
      </c>
      <c r="Q186" t="str">
        <f t="shared" si="8"/>
        <v>Yes</v>
      </c>
      <c r="R186" t="b">
        <v>0</v>
      </c>
    </row>
    <row r="187" spans="1:18" x14ac:dyDescent="0.3">
      <c r="A187">
        <v>0</v>
      </c>
      <c r="B187" t="s">
        <v>26</v>
      </c>
      <c r="C187">
        <v>1</v>
      </c>
      <c r="D187" t="s">
        <v>30</v>
      </c>
      <c r="E187" t="s">
        <v>13</v>
      </c>
      <c r="F187" t="str">
        <f t="shared" si="6"/>
        <v>Male</v>
      </c>
      <c r="G187">
        <v>30</v>
      </c>
      <c r="H187">
        <v>0</v>
      </c>
      <c r="I187">
        <v>0</v>
      </c>
      <c r="J187">
        <v>50</v>
      </c>
      <c r="K187" t="s">
        <v>19</v>
      </c>
      <c r="L187" t="s">
        <v>15</v>
      </c>
      <c r="M187" t="str">
        <f t="shared" si="7"/>
        <v>Man</v>
      </c>
      <c r="N187" t="b">
        <v>1</v>
      </c>
      <c r="O187" t="s">
        <v>16</v>
      </c>
      <c r="P187" t="s">
        <v>17</v>
      </c>
      <c r="Q187" t="str">
        <f t="shared" si="8"/>
        <v>No</v>
      </c>
      <c r="R187" t="b">
        <v>1</v>
      </c>
    </row>
    <row r="188" spans="1:18" x14ac:dyDescent="0.3">
      <c r="A188">
        <v>1</v>
      </c>
      <c r="B188" t="s">
        <v>27</v>
      </c>
      <c r="C188">
        <v>3</v>
      </c>
      <c r="D188" t="s">
        <v>32</v>
      </c>
      <c r="E188" t="s">
        <v>18</v>
      </c>
      <c r="F188" t="str">
        <f t="shared" si="6"/>
        <v>Female</v>
      </c>
      <c r="G188">
        <v>30</v>
      </c>
      <c r="H188">
        <v>1</v>
      </c>
      <c r="I188">
        <v>0</v>
      </c>
      <c r="J188">
        <v>15.5</v>
      </c>
      <c r="K188" t="s">
        <v>14</v>
      </c>
      <c r="L188" t="s">
        <v>20</v>
      </c>
      <c r="M188" t="str">
        <f t="shared" si="7"/>
        <v>Woman</v>
      </c>
      <c r="N188" t="b">
        <v>0</v>
      </c>
      <c r="O188" t="s">
        <v>23</v>
      </c>
      <c r="P188" t="s">
        <v>22</v>
      </c>
      <c r="Q188" t="str">
        <f t="shared" si="8"/>
        <v>Yes</v>
      </c>
      <c r="R188" t="b">
        <v>0</v>
      </c>
    </row>
    <row r="189" spans="1:18" x14ac:dyDescent="0.3">
      <c r="A189">
        <v>1</v>
      </c>
      <c r="B189" t="s">
        <v>27</v>
      </c>
      <c r="C189">
        <v>1</v>
      </c>
      <c r="D189" t="s">
        <v>30</v>
      </c>
      <c r="E189" t="s">
        <v>13</v>
      </c>
      <c r="F189" t="str">
        <f t="shared" si="6"/>
        <v>Male</v>
      </c>
      <c r="G189">
        <v>45</v>
      </c>
      <c r="H189">
        <v>0</v>
      </c>
      <c r="I189">
        <v>0</v>
      </c>
      <c r="J189">
        <v>26.55</v>
      </c>
      <c r="K189" t="s">
        <v>19</v>
      </c>
      <c r="L189" t="s">
        <v>15</v>
      </c>
      <c r="M189" t="str">
        <f t="shared" si="7"/>
        <v>Man</v>
      </c>
      <c r="N189" t="b">
        <v>1</v>
      </c>
      <c r="O189" t="s">
        <v>16</v>
      </c>
      <c r="P189" t="s">
        <v>22</v>
      </c>
      <c r="Q189" t="str">
        <f t="shared" si="8"/>
        <v>Yes</v>
      </c>
      <c r="R189" t="b">
        <v>1</v>
      </c>
    </row>
    <row r="190" spans="1:18" x14ac:dyDescent="0.3">
      <c r="A190">
        <v>0</v>
      </c>
      <c r="B190" t="s">
        <v>26</v>
      </c>
      <c r="C190">
        <v>3</v>
      </c>
      <c r="D190" t="s">
        <v>32</v>
      </c>
      <c r="E190" t="s">
        <v>13</v>
      </c>
      <c r="F190" t="str">
        <f t="shared" si="6"/>
        <v>Male</v>
      </c>
      <c r="G190">
        <v>40</v>
      </c>
      <c r="H190">
        <v>1</v>
      </c>
      <c r="I190">
        <v>1</v>
      </c>
      <c r="J190">
        <v>15.5</v>
      </c>
      <c r="K190" t="s">
        <v>14</v>
      </c>
      <c r="L190" t="s">
        <v>15</v>
      </c>
      <c r="M190" t="str">
        <f t="shared" si="7"/>
        <v>Man</v>
      </c>
      <c r="N190" t="b">
        <v>1</v>
      </c>
      <c r="O190" t="s">
        <v>23</v>
      </c>
      <c r="P190" t="s">
        <v>17</v>
      </c>
      <c r="Q190" t="str">
        <f t="shared" si="8"/>
        <v>No</v>
      </c>
      <c r="R190" t="b">
        <v>0</v>
      </c>
    </row>
    <row r="191" spans="1:18" x14ac:dyDescent="0.3">
      <c r="A191">
        <v>0</v>
      </c>
      <c r="B191" t="s">
        <v>26</v>
      </c>
      <c r="C191">
        <v>3</v>
      </c>
      <c r="D191" t="s">
        <v>32</v>
      </c>
      <c r="E191" t="s">
        <v>13</v>
      </c>
      <c r="F191" t="str">
        <f t="shared" si="6"/>
        <v>Male</v>
      </c>
      <c r="G191">
        <v>36</v>
      </c>
      <c r="H191">
        <v>0</v>
      </c>
      <c r="I191">
        <v>0</v>
      </c>
      <c r="J191">
        <v>7.8958000000000004</v>
      </c>
      <c r="K191" t="s">
        <v>14</v>
      </c>
      <c r="L191" t="s">
        <v>15</v>
      </c>
      <c r="M191" t="str">
        <f t="shared" si="7"/>
        <v>Man</v>
      </c>
      <c r="N191" t="b">
        <v>1</v>
      </c>
      <c r="O191" t="s">
        <v>16</v>
      </c>
      <c r="P191" t="s">
        <v>17</v>
      </c>
      <c r="Q191" t="str">
        <f t="shared" si="8"/>
        <v>No</v>
      </c>
      <c r="R191" t="b">
        <v>1</v>
      </c>
    </row>
    <row r="192" spans="1:18" x14ac:dyDescent="0.3">
      <c r="A192">
        <v>1</v>
      </c>
      <c r="B192" t="s">
        <v>27</v>
      </c>
      <c r="C192">
        <v>2</v>
      </c>
      <c r="D192" t="s">
        <v>31</v>
      </c>
      <c r="E192" t="s">
        <v>18</v>
      </c>
      <c r="F192" t="str">
        <f t="shared" si="6"/>
        <v>Female</v>
      </c>
      <c r="G192">
        <v>32</v>
      </c>
      <c r="H192">
        <v>0</v>
      </c>
      <c r="I192">
        <v>0</v>
      </c>
      <c r="J192">
        <v>13</v>
      </c>
      <c r="K192" t="s">
        <v>25</v>
      </c>
      <c r="L192" t="s">
        <v>20</v>
      </c>
      <c r="M192" t="str">
        <f t="shared" si="7"/>
        <v>Woman</v>
      </c>
      <c r="N192" t="b">
        <v>0</v>
      </c>
      <c r="O192" t="s">
        <v>16</v>
      </c>
      <c r="P192" t="s">
        <v>22</v>
      </c>
      <c r="Q192" t="str">
        <f t="shared" si="8"/>
        <v>Yes</v>
      </c>
      <c r="R192" t="b">
        <v>1</v>
      </c>
    </row>
    <row r="193" spans="1:18" x14ac:dyDescent="0.3">
      <c r="A193">
        <v>0</v>
      </c>
      <c r="B193" t="s">
        <v>26</v>
      </c>
      <c r="C193">
        <v>2</v>
      </c>
      <c r="D193" t="s">
        <v>31</v>
      </c>
      <c r="E193" t="s">
        <v>13</v>
      </c>
      <c r="F193" t="str">
        <f t="shared" si="6"/>
        <v>Male</v>
      </c>
      <c r="G193">
        <v>19</v>
      </c>
      <c r="H193">
        <v>0</v>
      </c>
      <c r="I193">
        <v>0</v>
      </c>
      <c r="J193">
        <v>13</v>
      </c>
      <c r="K193" t="s">
        <v>25</v>
      </c>
      <c r="L193" t="s">
        <v>15</v>
      </c>
      <c r="M193" t="str">
        <f t="shared" si="7"/>
        <v>Man</v>
      </c>
      <c r="N193" t="b">
        <v>1</v>
      </c>
      <c r="O193" t="s">
        <v>16</v>
      </c>
      <c r="P193" t="s">
        <v>17</v>
      </c>
      <c r="Q193" t="str">
        <f t="shared" si="8"/>
        <v>No</v>
      </c>
      <c r="R193" t="b">
        <v>1</v>
      </c>
    </row>
    <row r="194" spans="1:18" x14ac:dyDescent="0.3">
      <c r="A194">
        <v>1</v>
      </c>
      <c r="B194" t="s">
        <v>27</v>
      </c>
      <c r="C194">
        <v>3</v>
      </c>
      <c r="D194" t="s">
        <v>32</v>
      </c>
      <c r="E194" t="s">
        <v>18</v>
      </c>
      <c r="F194" t="str">
        <f t="shared" si="6"/>
        <v>Female</v>
      </c>
      <c r="G194">
        <v>19</v>
      </c>
      <c r="H194">
        <v>1</v>
      </c>
      <c r="I194">
        <v>0</v>
      </c>
      <c r="J194">
        <v>7.8541999999999996</v>
      </c>
      <c r="K194" t="s">
        <v>14</v>
      </c>
      <c r="L194" t="s">
        <v>20</v>
      </c>
      <c r="M194" t="str">
        <f t="shared" si="7"/>
        <v>Woman</v>
      </c>
      <c r="N194" t="b">
        <v>0</v>
      </c>
      <c r="O194" t="s">
        <v>16</v>
      </c>
      <c r="P194" t="s">
        <v>22</v>
      </c>
      <c r="Q194" t="str">
        <f t="shared" si="8"/>
        <v>Yes</v>
      </c>
      <c r="R194" t="b">
        <v>0</v>
      </c>
    </row>
    <row r="195" spans="1:18" x14ac:dyDescent="0.3">
      <c r="A195">
        <v>1</v>
      </c>
      <c r="B195" t="s">
        <v>27</v>
      </c>
      <c r="C195">
        <v>2</v>
      </c>
      <c r="D195" t="s">
        <v>31</v>
      </c>
      <c r="E195" t="s">
        <v>13</v>
      </c>
      <c r="F195" t="str">
        <f t="shared" ref="F195:F258" si="9">PROPER(E195)</f>
        <v>Male</v>
      </c>
      <c r="G195">
        <v>3</v>
      </c>
      <c r="H195">
        <v>1</v>
      </c>
      <c r="I195">
        <v>1</v>
      </c>
      <c r="J195">
        <v>26</v>
      </c>
      <c r="K195" t="s">
        <v>25</v>
      </c>
      <c r="L195" t="s">
        <v>24</v>
      </c>
      <c r="M195" t="str">
        <f t="shared" ref="M195:M258" si="10">PROPER(L195)</f>
        <v>Child</v>
      </c>
      <c r="N195" t="b">
        <v>0</v>
      </c>
      <c r="O195" t="s">
        <v>16</v>
      </c>
      <c r="P195" t="s">
        <v>22</v>
      </c>
      <c r="Q195" t="str">
        <f t="shared" ref="Q195:Q258" si="11">PROPER(P195)</f>
        <v>Yes</v>
      </c>
      <c r="R195" t="b">
        <v>0</v>
      </c>
    </row>
    <row r="196" spans="1:18" x14ac:dyDescent="0.3">
      <c r="A196">
        <v>1</v>
      </c>
      <c r="B196" t="s">
        <v>27</v>
      </c>
      <c r="C196">
        <v>1</v>
      </c>
      <c r="D196" t="s">
        <v>30</v>
      </c>
      <c r="E196" t="s">
        <v>18</v>
      </c>
      <c r="F196" t="str">
        <f t="shared" si="9"/>
        <v>Female</v>
      </c>
      <c r="G196">
        <v>44</v>
      </c>
      <c r="H196">
        <v>0</v>
      </c>
      <c r="I196">
        <v>0</v>
      </c>
      <c r="J196">
        <v>27.720800000000001</v>
      </c>
      <c r="K196" t="s">
        <v>19</v>
      </c>
      <c r="L196" t="s">
        <v>20</v>
      </c>
      <c r="M196" t="str">
        <f t="shared" si="10"/>
        <v>Woman</v>
      </c>
      <c r="N196" t="b">
        <v>0</v>
      </c>
      <c r="O196" t="s">
        <v>21</v>
      </c>
      <c r="P196" t="s">
        <v>22</v>
      </c>
      <c r="Q196" t="str">
        <f t="shared" si="11"/>
        <v>Yes</v>
      </c>
      <c r="R196" t="b">
        <v>1</v>
      </c>
    </row>
    <row r="197" spans="1:18" x14ac:dyDescent="0.3">
      <c r="A197">
        <v>1</v>
      </c>
      <c r="B197" t="s">
        <v>27</v>
      </c>
      <c r="C197">
        <v>1</v>
      </c>
      <c r="D197" t="s">
        <v>30</v>
      </c>
      <c r="E197" t="s">
        <v>18</v>
      </c>
      <c r="F197" t="str">
        <f t="shared" si="9"/>
        <v>Female</v>
      </c>
      <c r="G197">
        <v>58</v>
      </c>
      <c r="H197">
        <v>0</v>
      </c>
      <c r="I197">
        <v>0</v>
      </c>
      <c r="J197">
        <v>146.52080000000001</v>
      </c>
      <c r="K197" t="s">
        <v>19</v>
      </c>
      <c r="L197" t="s">
        <v>20</v>
      </c>
      <c r="M197" t="str">
        <f t="shared" si="10"/>
        <v>Woman</v>
      </c>
      <c r="N197" t="b">
        <v>0</v>
      </c>
      <c r="O197" t="s">
        <v>21</v>
      </c>
      <c r="P197" t="s">
        <v>22</v>
      </c>
      <c r="Q197" t="str">
        <f t="shared" si="11"/>
        <v>Yes</v>
      </c>
      <c r="R197" t="b">
        <v>1</v>
      </c>
    </row>
    <row r="198" spans="1:18" x14ac:dyDescent="0.3">
      <c r="A198">
        <v>0</v>
      </c>
      <c r="B198" t="s">
        <v>26</v>
      </c>
      <c r="C198">
        <v>3</v>
      </c>
      <c r="D198" t="s">
        <v>32</v>
      </c>
      <c r="E198" t="s">
        <v>13</v>
      </c>
      <c r="F198" t="str">
        <f t="shared" si="9"/>
        <v>Male</v>
      </c>
      <c r="G198">
        <v>30</v>
      </c>
      <c r="H198">
        <v>0</v>
      </c>
      <c r="I198">
        <v>0</v>
      </c>
      <c r="J198">
        <v>7.75</v>
      </c>
      <c r="K198" t="s">
        <v>14</v>
      </c>
      <c r="L198" t="s">
        <v>15</v>
      </c>
      <c r="M198" t="str">
        <f t="shared" si="10"/>
        <v>Man</v>
      </c>
      <c r="N198" t="b">
        <v>1</v>
      </c>
      <c r="O198" t="s">
        <v>23</v>
      </c>
      <c r="P198" t="s">
        <v>17</v>
      </c>
      <c r="Q198" t="str">
        <f t="shared" si="11"/>
        <v>No</v>
      </c>
      <c r="R198" t="b">
        <v>1</v>
      </c>
    </row>
    <row r="199" spans="1:18" x14ac:dyDescent="0.3">
      <c r="A199">
        <v>0</v>
      </c>
      <c r="B199" t="s">
        <v>26</v>
      </c>
      <c r="C199">
        <v>3</v>
      </c>
      <c r="D199" t="s">
        <v>32</v>
      </c>
      <c r="E199" t="s">
        <v>13</v>
      </c>
      <c r="F199" t="str">
        <f t="shared" si="9"/>
        <v>Male</v>
      </c>
      <c r="G199">
        <v>42</v>
      </c>
      <c r="H199">
        <v>0</v>
      </c>
      <c r="I199">
        <v>1</v>
      </c>
      <c r="J199">
        <v>8.4041999999999994</v>
      </c>
      <c r="K199" t="s">
        <v>14</v>
      </c>
      <c r="L199" t="s">
        <v>15</v>
      </c>
      <c r="M199" t="str">
        <f t="shared" si="10"/>
        <v>Man</v>
      </c>
      <c r="N199" t="b">
        <v>1</v>
      </c>
      <c r="O199" t="s">
        <v>16</v>
      </c>
      <c r="P199" t="s">
        <v>17</v>
      </c>
      <c r="Q199" t="str">
        <f t="shared" si="11"/>
        <v>No</v>
      </c>
      <c r="R199" t="b">
        <v>0</v>
      </c>
    </row>
    <row r="200" spans="1:18" x14ac:dyDescent="0.3">
      <c r="A200">
        <v>1</v>
      </c>
      <c r="B200" t="s">
        <v>27</v>
      </c>
      <c r="C200">
        <v>3</v>
      </c>
      <c r="D200" t="s">
        <v>32</v>
      </c>
      <c r="E200" t="s">
        <v>18</v>
      </c>
      <c r="F200" t="str">
        <f t="shared" si="9"/>
        <v>Female</v>
      </c>
      <c r="G200">
        <v>30</v>
      </c>
      <c r="H200">
        <v>0</v>
      </c>
      <c r="I200">
        <v>0</v>
      </c>
      <c r="J200">
        <v>7.75</v>
      </c>
      <c r="K200" t="s">
        <v>14</v>
      </c>
      <c r="L200" t="s">
        <v>20</v>
      </c>
      <c r="M200" t="str">
        <f t="shared" si="10"/>
        <v>Woman</v>
      </c>
      <c r="N200" t="b">
        <v>0</v>
      </c>
      <c r="O200" t="s">
        <v>23</v>
      </c>
      <c r="P200" t="s">
        <v>22</v>
      </c>
      <c r="Q200" t="str">
        <f t="shared" si="11"/>
        <v>Yes</v>
      </c>
      <c r="R200" t="b">
        <v>1</v>
      </c>
    </row>
    <row r="201" spans="1:18" x14ac:dyDescent="0.3">
      <c r="A201">
        <v>0</v>
      </c>
      <c r="B201" t="s">
        <v>26</v>
      </c>
      <c r="C201">
        <v>2</v>
      </c>
      <c r="D201" t="s">
        <v>31</v>
      </c>
      <c r="E201" t="s">
        <v>18</v>
      </c>
      <c r="F201" t="str">
        <f t="shared" si="9"/>
        <v>Female</v>
      </c>
      <c r="G201">
        <v>24</v>
      </c>
      <c r="H201">
        <v>0</v>
      </c>
      <c r="I201">
        <v>0</v>
      </c>
      <c r="J201">
        <v>13</v>
      </c>
      <c r="K201" t="s">
        <v>25</v>
      </c>
      <c r="L201" t="s">
        <v>20</v>
      </c>
      <c r="M201" t="str">
        <f t="shared" si="10"/>
        <v>Woman</v>
      </c>
      <c r="N201" t="b">
        <v>0</v>
      </c>
      <c r="O201" t="s">
        <v>16</v>
      </c>
      <c r="P201" t="s">
        <v>17</v>
      </c>
      <c r="Q201" t="str">
        <f t="shared" si="11"/>
        <v>No</v>
      </c>
      <c r="R201" t="b">
        <v>1</v>
      </c>
    </row>
    <row r="202" spans="1:18" x14ac:dyDescent="0.3">
      <c r="A202">
        <v>0</v>
      </c>
      <c r="B202" t="s">
        <v>26</v>
      </c>
      <c r="C202">
        <v>3</v>
      </c>
      <c r="D202" t="s">
        <v>32</v>
      </c>
      <c r="E202" t="s">
        <v>13</v>
      </c>
      <c r="F202" t="str">
        <f t="shared" si="9"/>
        <v>Male</v>
      </c>
      <c r="G202">
        <v>28</v>
      </c>
      <c r="H202">
        <v>0</v>
      </c>
      <c r="I202">
        <v>0</v>
      </c>
      <c r="J202">
        <v>9.5</v>
      </c>
      <c r="K202" t="s">
        <v>14</v>
      </c>
      <c r="L202" t="s">
        <v>15</v>
      </c>
      <c r="M202" t="str">
        <f t="shared" si="10"/>
        <v>Man</v>
      </c>
      <c r="N202" t="b">
        <v>1</v>
      </c>
      <c r="O202" t="s">
        <v>16</v>
      </c>
      <c r="P202" t="s">
        <v>17</v>
      </c>
      <c r="Q202" t="str">
        <f t="shared" si="11"/>
        <v>No</v>
      </c>
      <c r="R202" t="b">
        <v>1</v>
      </c>
    </row>
    <row r="203" spans="1:18" x14ac:dyDescent="0.3">
      <c r="A203">
        <v>0</v>
      </c>
      <c r="B203" t="s">
        <v>26</v>
      </c>
      <c r="C203">
        <v>3</v>
      </c>
      <c r="D203" t="s">
        <v>32</v>
      </c>
      <c r="E203" t="s">
        <v>13</v>
      </c>
      <c r="F203" t="str">
        <f t="shared" si="9"/>
        <v>Male</v>
      </c>
      <c r="G203">
        <v>30</v>
      </c>
      <c r="H203">
        <v>8</v>
      </c>
      <c r="I203">
        <v>2</v>
      </c>
      <c r="J203">
        <v>69.55</v>
      </c>
      <c r="K203" t="s">
        <v>14</v>
      </c>
      <c r="L203" t="s">
        <v>15</v>
      </c>
      <c r="M203" t="str">
        <f t="shared" si="10"/>
        <v>Man</v>
      </c>
      <c r="N203" t="b">
        <v>1</v>
      </c>
      <c r="O203" t="s">
        <v>16</v>
      </c>
      <c r="P203" t="s">
        <v>17</v>
      </c>
      <c r="Q203" t="str">
        <f t="shared" si="11"/>
        <v>No</v>
      </c>
      <c r="R203" t="b">
        <v>0</v>
      </c>
    </row>
    <row r="204" spans="1:18" x14ac:dyDescent="0.3">
      <c r="A204">
        <v>0</v>
      </c>
      <c r="B204" t="s">
        <v>26</v>
      </c>
      <c r="C204">
        <v>3</v>
      </c>
      <c r="D204" t="s">
        <v>32</v>
      </c>
      <c r="E204" t="s">
        <v>13</v>
      </c>
      <c r="F204" t="str">
        <f t="shared" si="9"/>
        <v>Male</v>
      </c>
      <c r="G204">
        <v>34</v>
      </c>
      <c r="H204">
        <v>0</v>
      </c>
      <c r="I204">
        <v>0</v>
      </c>
      <c r="J204">
        <v>6.4958</v>
      </c>
      <c r="K204" t="s">
        <v>14</v>
      </c>
      <c r="L204" t="s">
        <v>15</v>
      </c>
      <c r="M204" t="str">
        <f t="shared" si="10"/>
        <v>Man</v>
      </c>
      <c r="N204" t="b">
        <v>1</v>
      </c>
      <c r="O204" t="s">
        <v>16</v>
      </c>
      <c r="P204" t="s">
        <v>17</v>
      </c>
      <c r="Q204" t="str">
        <f t="shared" si="11"/>
        <v>No</v>
      </c>
      <c r="R204" t="b">
        <v>1</v>
      </c>
    </row>
    <row r="205" spans="1:18" x14ac:dyDescent="0.3">
      <c r="A205">
        <v>0</v>
      </c>
      <c r="B205" t="s">
        <v>26</v>
      </c>
      <c r="C205">
        <v>3</v>
      </c>
      <c r="D205" t="s">
        <v>32</v>
      </c>
      <c r="E205" t="s">
        <v>13</v>
      </c>
      <c r="F205" t="str">
        <f t="shared" si="9"/>
        <v>Male</v>
      </c>
      <c r="G205">
        <v>45.5</v>
      </c>
      <c r="H205">
        <v>0</v>
      </c>
      <c r="I205">
        <v>0</v>
      </c>
      <c r="J205">
        <v>7.2249999999999996</v>
      </c>
      <c r="K205" t="s">
        <v>14</v>
      </c>
      <c r="L205" t="s">
        <v>15</v>
      </c>
      <c r="M205" t="str">
        <f t="shared" si="10"/>
        <v>Man</v>
      </c>
      <c r="N205" t="b">
        <v>1</v>
      </c>
      <c r="O205" t="s">
        <v>21</v>
      </c>
      <c r="P205" t="s">
        <v>17</v>
      </c>
      <c r="Q205" t="str">
        <f t="shared" si="11"/>
        <v>No</v>
      </c>
      <c r="R205" t="b">
        <v>1</v>
      </c>
    </row>
    <row r="206" spans="1:18" x14ac:dyDescent="0.3">
      <c r="A206">
        <v>1</v>
      </c>
      <c r="B206" t="s">
        <v>27</v>
      </c>
      <c r="C206">
        <v>3</v>
      </c>
      <c r="D206" t="s">
        <v>32</v>
      </c>
      <c r="E206" t="s">
        <v>13</v>
      </c>
      <c r="F206" t="str">
        <f t="shared" si="9"/>
        <v>Male</v>
      </c>
      <c r="G206">
        <v>18</v>
      </c>
      <c r="H206">
        <v>0</v>
      </c>
      <c r="I206">
        <v>0</v>
      </c>
      <c r="J206">
        <v>8.0500000000000007</v>
      </c>
      <c r="K206" t="s">
        <v>14</v>
      </c>
      <c r="L206" t="s">
        <v>15</v>
      </c>
      <c r="M206" t="str">
        <f t="shared" si="10"/>
        <v>Man</v>
      </c>
      <c r="N206" t="b">
        <v>1</v>
      </c>
      <c r="O206" t="s">
        <v>16</v>
      </c>
      <c r="P206" t="s">
        <v>22</v>
      </c>
      <c r="Q206" t="str">
        <f t="shared" si="11"/>
        <v>Yes</v>
      </c>
      <c r="R206" t="b">
        <v>1</v>
      </c>
    </row>
    <row r="207" spans="1:18" x14ac:dyDescent="0.3">
      <c r="A207">
        <v>0</v>
      </c>
      <c r="B207" t="s">
        <v>26</v>
      </c>
      <c r="C207">
        <v>3</v>
      </c>
      <c r="D207" t="s">
        <v>32</v>
      </c>
      <c r="E207" t="s">
        <v>18</v>
      </c>
      <c r="F207" t="str">
        <f t="shared" si="9"/>
        <v>Female</v>
      </c>
      <c r="G207">
        <v>2</v>
      </c>
      <c r="H207">
        <v>0</v>
      </c>
      <c r="I207">
        <v>1</v>
      </c>
      <c r="J207">
        <v>10.4625</v>
      </c>
      <c r="K207" t="s">
        <v>14</v>
      </c>
      <c r="L207" t="s">
        <v>24</v>
      </c>
      <c r="M207" t="str">
        <f t="shared" si="10"/>
        <v>Child</v>
      </c>
      <c r="N207" t="b">
        <v>0</v>
      </c>
      <c r="O207" t="s">
        <v>16</v>
      </c>
      <c r="P207" t="s">
        <v>17</v>
      </c>
      <c r="Q207" t="str">
        <f t="shared" si="11"/>
        <v>No</v>
      </c>
      <c r="R207" t="b">
        <v>0</v>
      </c>
    </row>
    <row r="208" spans="1:18" x14ac:dyDescent="0.3">
      <c r="A208">
        <v>0</v>
      </c>
      <c r="B208" t="s">
        <v>26</v>
      </c>
      <c r="C208">
        <v>3</v>
      </c>
      <c r="D208" t="s">
        <v>32</v>
      </c>
      <c r="E208" t="s">
        <v>13</v>
      </c>
      <c r="F208" t="str">
        <f t="shared" si="9"/>
        <v>Male</v>
      </c>
      <c r="G208">
        <v>32</v>
      </c>
      <c r="H208">
        <v>1</v>
      </c>
      <c r="I208">
        <v>0</v>
      </c>
      <c r="J208">
        <v>15.85</v>
      </c>
      <c r="K208" t="s">
        <v>14</v>
      </c>
      <c r="L208" t="s">
        <v>15</v>
      </c>
      <c r="M208" t="str">
        <f t="shared" si="10"/>
        <v>Man</v>
      </c>
      <c r="N208" t="b">
        <v>1</v>
      </c>
      <c r="O208" t="s">
        <v>16</v>
      </c>
      <c r="P208" t="s">
        <v>17</v>
      </c>
      <c r="Q208" t="str">
        <f t="shared" si="11"/>
        <v>No</v>
      </c>
      <c r="R208" t="b">
        <v>0</v>
      </c>
    </row>
    <row r="209" spans="1:18" x14ac:dyDescent="0.3">
      <c r="A209">
        <v>1</v>
      </c>
      <c r="B209" t="s">
        <v>27</v>
      </c>
      <c r="C209">
        <v>3</v>
      </c>
      <c r="D209" t="s">
        <v>32</v>
      </c>
      <c r="E209" t="s">
        <v>13</v>
      </c>
      <c r="F209" t="str">
        <f t="shared" si="9"/>
        <v>Male</v>
      </c>
      <c r="G209">
        <v>26</v>
      </c>
      <c r="H209">
        <v>0</v>
      </c>
      <c r="I209">
        <v>0</v>
      </c>
      <c r="J209">
        <v>18.787500000000001</v>
      </c>
      <c r="K209" t="s">
        <v>14</v>
      </c>
      <c r="L209" t="s">
        <v>15</v>
      </c>
      <c r="M209" t="str">
        <f t="shared" si="10"/>
        <v>Man</v>
      </c>
      <c r="N209" t="b">
        <v>1</v>
      </c>
      <c r="O209" t="s">
        <v>21</v>
      </c>
      <c r="P209" t="s">
        <v>22</v>
      </c>
      <c r="Q209" t="str">
        <f t="shared" si="11"/>
        <v>Yes</v>
      </c>
      <c r="R209" t="b">
        <v>1</v>
      </c>
    </row>
    <row r="210" spans="1:18" x14ac:dyDescent="0.3">
      <c r="A210">
        <v>1</v>
      </c>
      <c r="B210" t="s">
        <v>27</v>
      </c>
      <c r="C210">
        <v>3</v>
      </c>
      <c r="D210" t="s">
        <v>32</v>
      </c>
      <c r="E210" t="s">
        <v>18</v>
      </c>
      <c r="F210" t="str">
        <f t="shared" si="9"/>
        <v>Female</v>
      </c>
      <c r="G210">
        <v>16</v>
      </c>
      <c r="H210">
        <v>0</v>
      </c>
      <c r="I210">
        <v>0</v>
      </c>
      <c r="J210">
        <v>7.75</v>
      </c>
      <c r="K210" t="s">
        <v>14</v>
      </c>
      <c r="L210" t="s">
        <v>20</v>
      </c>
      <c r="M210" t="str">
        <f t="shared" si="10"/>
        <v>Woman</v>
      </c>
      <c r="N210" t="b">
        <v>0</v>
      </c>
      <c r="O210" t="s">
        <v>23</v>
      </c>
      <c r="P210" t="s">
        <v>22</v>
      </c>
      <c r="Q210" t="str">
        <f t="shared" si="11"/>
        <v>Yes</v>
      </c>
      <c r="R210" t="b">
        <v>1</v>
      </c>
    </row>
    <row r="211" spans="1:18" x14ac:dyDescent="0.3">
      <c r="A211">
        <v>1</v>
      </c>
      <c r="B211" t="s">
        <v>27</v>
      </c>
      <c r="C211">
        <v>1</v>
      </c>
      <c r="D211" t="s">
        <v>30</v>
      </c>
      <c r="E211" t="s">
        <v>13</v>
      </c>
      <c r="F211" t="str">
        <f t="shared" si="9"/>
        <v>Male</v>
      </c>
      <c r="G211">
        <v>40</v>
      </c>
      <c r="H211">
        <v>0</v>
      </c>
      <c r="I211">
        <v>0</v>
      </c>
      <c r="J211">
        <v>31</v>
      </c>
      <c r="K211" t="s">
        <v>19</v>
      </c>
      <c r="L211" t="s">
        <v>15</v>
      </c>
      <c r="M211" t="str">
        <f t="shared" si="10"/>
        <v>Man</v>
      </c>
      <c r="N211" t="b">
        <v>1</v>
      </c>
      <c r="O211" t="s">
        <v>21</v>
      </c>
      <c r="P211" t="s">
        <v>22</v>
      </c>
      <c r="Q211" t="str">
        <f t="shared" si="11"/>
        <v>Yes</v>
      </c>
      <c r="R211" t="b">
        <v>1</v>
      </c>
    </row>
    <row r="212" spans="1:18" x14ac:dyDescent="0.3">
      <c r="A212">
        <v>0</v>
      </c>
      <c r="B212" t="s">
        <v>26</v>
      </c>
      <c r="C212">
        <v>3</v>
      </c>
      <c r="D212" t="s">
        <v>32</v>
      </c>
      <c r="E212" t="s">
        <v>13</v>
      </c>
      <c r="F212" t="str">
        <f t="shared" si="9"/>
        <v>Male</v>
      </c>
      <c r="G212">
        <v>24</v>
      </c>
      <c r="H212">
        <v>0</v>
      </c>
      <c r="I212">
        <v>0</v>
      </c>
      <c r="J212">
        <v>7.05</v>
      </c>
      <c r="K212" t="s">
        <v>14</v>
      </c>
      <c r="L212" t="s">
        <v>15</v>
      </c>
      <c r="M212" t="str">
        <f t="shared" si="10"/>
        <v>Man</v>
      </c>
      <c r="N212" t="b">
        <v>1</v>
      </c>
      <c r="O212" t="s">
        <v>16</v>
      </c>
      <c r="P212" t="s">
        <v>17</v>
      </c>
      <c r="Q212" t="str">
        <f t="shared" si="11"/>
        <v>No</v>
      </c>
      <c r="R212" t="b">
        <v>1</v>
      </c>
    </row>
    <row r="213" spans="1:18" x14ac:dyDescent="0.3">
      <c r="A213">
        <v>1</v>
      </c>
      <c r="B213" t="s">
        <v>27</v>
      </c>
      <c r="C213">
        <v>2</v>
      </c>
      <c r="D213" t="s">
        <v>31</v>
      </c>
      <c r="E213" t="s">
        <v>18</v>
      </c>
      <c r="F213" t="str">
        <f t="shared" si="9"/>
        <v>Female</v>
      </c>
      <c r="G213">
        <v>35</v>
      </c>
      <c r="H213">
        <v>0</v>
      </c>
      <c r="I213">
        <v>0</v>
      </c>
      <c r="J213">
        <v>21</v>
      </c>
      <c r="K213" t="s">
        <v>25</v>
      </c>
      <c r="L213" t="s">
        <v>20</v>
      </c>
      <c r="M213" t="str">
        <f t="shared" si="10"/>
        <v>Woman</v>
      </c>
      <c r="N213" t="b">
        <v>0</v>
      </c>
      <c r="O213" t="s">
        <v>16</v>
      </c>
      <c r="P213" t="s">
        <v>22</v>
      </c>
      <c r="Q213" t="str">
        <f t="shared" si="11"/>
        <v>Yes</v>
      </c>
      <c r="R213" t="b">
        <v>1</v>
      </c>
    </row>
    <row r="214" spans="1:18" x14ac:dyDescent="0.3">
      <c r="A214">
        <v>0</v>
      </c>
      <c r="B214" t="s">
        <v>26</v>
      </c>
      <c r="C214">
        <v>3</v>
      </c>
      <c r="D214" t="s">
        <v>32</v>
      </c>
      <c r="E214" t="s">
        <v>13</v>
      </c>
      <c r="F214" t="str">
        <f t="shared" si="9"/>
        <v>Male</v>
      </c>
      <c r="G214">
        <v>22</v>
      </c>
      <c r="H214">
        <v>0</v>
      </c>
      <c r="I214">
        <v>0</v>
      </c>
      <c r="J214">
        <v>7.25</v>
      </c>
      <c r="K214" t="s">
        <v>14</v>
      </c>
      <c r="L214" t="s">
        <v>15</v>
      </c>
      <c r="M214" t="str">
        <f t="shared" si="10"/>
        <v>Man</v>
      </c>
      <c r="N214" t="b">
        <v>1</v>
      </c>
      <c r="O214" t="s">
        <v>16</v>
      </c>
      <c r="P214" t="s">
        <v>17</v>
      </c>
      <c r="Q214" t="str">
        <f t="shared" si="11"/>
        <v>No</v>
      </c>
      <c r="R214" t="b">
        <v>1</v>
      </c>
    </row>
    <row r="215" spans="1:18" x14ac:dyDescent="0.3">
      <c r="A215">
        <v>0</v>
      </c>
      <c r="B215" t="s">
        <v>26</v>
      </c>
      <c r="C215">
        <v>2</v>
      </c>
      <c r="D215" t="s">
        <v>31</v>
      </c>
      <c r="E215" t="s">
        <v>13</v>
      </c>
      <c r="F215" t="str">
        <f t="shared" si="9"/>
        <v>Male</v>
      </c>
      <c r="G215">
        <v>30</v>
      </c>
      <c r="H215">
        <v>0</v>
      </c>
      <c r="I215">
        <v>0</v>
      </c>
      <c r="J215">
        <v>13</v>
      </c>
      <c r="K215" t="s">
        <v>25</v>
      </c>
      <c r="L215" t="s">
        <v>15</v>
      </c>
      <c r="M215" t="str">
        <f t="shared" si="10"/>
        <v>Man</v>
      </c>
      <c r="N215" t="b">
        <v>1</v>
      </c>
      <c r="O215" t="s">
        <v>16</v>
      </c>
      <c r="P215" t="s">
        <v>17</v>
      </c>
      <c r="Q215" t="str">
        <f t="shared" si="11"/>
        <v>No</v>
      </c>
      <c r="R215" t="b">
        <v>1</v>
      </c>
    </row>
    <row r="216" spans="1:18" x14ac:dyDescent="0.3">
      <c r="A216">
        <v>0</v>
      </c>
      <c r="B216" t="s">
        <v>26</v>
      </c>
      <c r="C216">
        <v>3</v>
      </c>
      <c r="D216" t="s">
        <v>32</v>
      </c>
      <c r="E216" t="s">
        <v>13</v>
      </c>
      <c r="F216" t="str">
        <f t="shared" si="9"/>
        <v>Male</v>
      </c>
      <c r="G216">
        <v>30</v>
      </c>
      <c r="H216">
        <v>1</v>
      </c>
      <c r="I216">
        <v>0</v>
      </c>
      <c r="J216">
        <v>7.75</v>
      </c>
      <c r="K216" t="s">
        <v>14</v>
      </c>
      <c r="L216" t="s">
        <v>15</v>
      </c>
      <c r="M216" t="str">
        <f t="shared" si="10"/>
        <v>Man</v>
      </c>
      <c r="N216" t="b">
        <v>1</v>
      </c>
      <c r="O216" t="s">
        <v>23</v>
      </c>
      <c r="P216" t="s">
        <v>17</v>
      </c>
      <c r="Q216" t="str">
        <f t="shared" si="11"/>
        <v>No</v>
      </c>
      <c r="R216" t="b">
        <v>0</v>
      </c>
    </row>
    <row r="217" spans="1:18" x14ac:dyDescent="0.3">
      <c r="A217">
        <v>1</v>
      </c>
      <c r="B217" t="s">
        <v>27</v>
      </c>
      <c r="C217">
        <v>1</v>
      </c>
      <c r="D217" t="s">
        <v>30</v>
      </c>
      <c r="E217" t="s">
        <v>18</v>
      </c>
      <c r="F217" t="str">
        <f t="shared" si="9"/>
        <v>Female</v>
      </c>
      <c r="G217">
        <v>31</v>
      </c>
      <c r="H217">
        <v>1</v>
      </c>
      <c r="I217">
        <v>0</v>
      </c>
      <c r="J217">
        <v>113.27500000000001</v>
      </c>
      <c r="K217" t="s">
        <v>19</v>
      </c>
      <c r="L217" t="s">
        <v>20</v>
      </c>
      <c r="M217" t="str">
        <f t="shared" si="10"/>
        <v>Woman</v>
      </c>
      <c r="N217" t="b">
        <v>0</v>
      </c>
      <c r="O217" t="s">
        <v>21</v>
      </c>
      <c r="P217" t="s">
        <v>22</v>
      </c>
      <c r="Q217" t="str">
        <f t="shared" si="11"/>
        <v>Yes</v>
      </c>
      <c r="R217" t="b">
        <v>0</v>
      </c>
    </row>
    <row r="218" spans="1:18" x14ac:dyDescent="0.3">
      <c r="A218">
        <v>1</v>
      </c>
      <c r="B218" t="s">
        <v>27</v>
      </c>
      <c r="C218">
        <v>3</v>
      </c>
      <c r="D218" t="s">
        <v>32</v>
      </c>
      <c r="E218" t="s">
        <v>18</v>
      </c>
      <c r="F218" t="str">
        <f t="shared" si="9"/>
        <v>Female</v>
      </c>
      <c r="G218">
        <v>27</v>
      </c>
      <c r="H218">
        <v>0</v>
      </c>
      <c r="I218">
        <v>0</v>
      </c>
      <c r="J218">
        <v>7.9249999999999998</v>
      </c>
      <c r="K218" t="s">
        <v>14</v>
      </c>
      <c r="L218" t="s">
        <v>20</v>
      </c>
      <c r="M218" t="str">
        <f t="shared" si="10"/>
        <v>Woman</v>
      </c>
      <c r="N218" t="b">
        <v>0</v>
      </c>
      <c r="O218" t="s">
        <v>16</v>
      </c>
      <c r="P218" t="s">
        <v>22</v>
      </c>
      <c r="Q218" t="str">
        <f t="shared" si="11"/>
        <v>Yes</v>
      </c>
      <c r="R218" t="b">
        <v>1</v>
      </c>
    </row>
    <row r="219" spans="1:18" x14ac:dyDescent="0.3">
      <c r="A219">
        <v>0</v>
      </c>
      <c r="B219" t="s">
        <v>26</v>
      </c>
      <c r="C219">
        <v>2</v>
      </c>
      <c r="D219" t="s">
        <v>31</v>
      </c>
      <c r="E219" t="s">
        <v>13</v>
      </c>
      <c r="F219" t="str">
        <f t="shared" si="9"/>
        <v>Male</v>
      </c>
      <c r="G219">
        <v>42</v>
      </c>
      <c r="H219">
        <v>1</v>
      </c>
      <c r="I219">
        <v>0</v>
      </c>
      <c r="J219">
        <v>27</v>
      </c>
      <c r="K219" t="s">
        <v>25</v>
      </c>
      <c r="L219" t="s">
        <v>15</v>
      </c>
      <c r="M219" t="str">
        <f t="shared" si="10"/>
        <v>Man</v>
      </c>
      <c r="N219" t="b">
        <v>1</v>
      </c>
      <c r="O219" t="s">
        <v>16</v>
      </c>
      <c r="P219" t="s">
        <v>17</v>
      </c>
      <c r="Q219" t="str">
        <f t="shared" si="11"/>
        <v>No</v>
      </c>
      <c r="R219" t="b">
        <v>0</v>
      </c>
    </row>
    <row r="220" spans="1:18" x14ac:dyDescent="0.3">
      <c r="A220">
        <v>1</v>
      </c>
      <c r="B220" t="s">
        <v>27</v>
      </c>
      <c r="C220">
        <v>1</v>
      </c>
      <c r="D220" t="s">
        <v>30</v>
      </c>
      <c r="E220" t="s">
        <v>18</v>
      </c>
      <c r="F220" t="str">
        <f t="shared" si="9"/>
        <v>Female</v>
      </c>
      <c r="G220">
        <v>32</v>
      </c>
      <c r="H220">
        <v>0</v>
      </c>
      <c r="I220">
        <v>0</v>
      </c>
      <c r="J220">
        <v>76.291700000000006</v>
      </c>
      <c r="K220" t="s">
        <v>19</v>
      </c>
      <c r="L220" t="s">
        <v>20</v>
      </c>
      <c r="M220" t="str">
        <f t="shared" si="10"/>
        <v>Woman</v>
      </c>
      <c r="N220" t="b">
        <v>0</v>
      </c>
      <c r="O220" t="s">
        <v>21</v>
      </c>
      <c r="P220" t="s">
        <v>22</v>
      </c>
      <c r="Q220" t="str">
        <f t="shared" si="11"/>
        <v>Yes</v>
      </c>
      <c r="R220" t="b">
        <v>1</v>
      </c>
    </row>
    <row r="221" spans="1:18" x14ac:dyDescent="0.3">
      <c r="A221">
        <v>0</v>
      </c>
      <c r="B221" t="s">
        <v>26</v>
      </c>
      <c r="C221">
        <v>2</v>
      </c>
      <c r="D221" t="s">
        <v>31</v>
      </c>
      <c r="E221" t="s">
        <v>13</v>
      </c>
      <c r="F221" t="str">
        <f t="shared" si="9"/>
        <v>Male</v>
      </c>
      <c r="G221">
        <v>30</v>
      </c>
      <c r="H221">
        <v>0</v>
      </c>
      <c r="I221">
        <v>0</v>
      </c>
      <c r="J221">
        <v>10.5</v>
      </c>
      <c r="K221" t="s">
        <v>25</v>
      </c>
      <c r="L221" t="s">
        <v>15</v>
      </c>
      <c r="M221" t="str">
        <f t="shared" si="10"/>
        <v>Man</v>
      </c>
      <c r="N221" t="b">
        <v>1</v>
      </c>
      <c r="O221" t="s">
        <v>16</v>
      </c>
      <c r="P221" t="s">
        <v>17</v>
      </c>
      <c r="Q221" t="str">
        <f t="shared" si="11"/>
        <v>No</v>
      </c>
      <c r="R221" t="b">
        <v>1</v>
      </c>
    </row>
    <row r="222" spans="1:18" x14ac:dyDescent="0.3">
      <c r="A222">
        <v>1</v>
      </c>
      <c r="B222" t="s">
        <v>27</v>
      </c>
      <c r="C222">
        <v>3</v>
      </c>
      <c r="D222" t="s">
        <v>32</v>
      </c>
      <c r="E222" t="s">
        <v>13</v>
      </c>
      <c r="F222" t="str">
        <f t="shared" si="9"/>
        <v>Male</v>
      </c>
      <c r="G222">
        <v>16</v>
      </c>
      <c r="H222">
        <v>0</v>
      </c>
      <c r="I222">
        <v>0</v>
      </c>
      <c r="J222">
        <v>8.0500000000000007</v>
      </c>
      <c r="K222" t="s">
        <v>14</v>
      </c>
      <c r="L222" t="s">
        <v>15</v>
      </c>
      <c r="M222" t="str">
        <f t="shared" si="10"/>
        <v>Man</v>
      </c>
      <c r="N222" t="b">
        <v>1</v>
      </c>
      <c r="O222" t="s">
        <v>16</v>
      </c>
      <c r="P222" t="s">
        <v>22</v>
      </c>
      <c r="Q222" t="str">
        <f t="shared" si="11"/>
        <v>Yes</v>
      </c>
      <c r="R222" t="b">
        <v>1</v>
      </c>
    </row>
    <row r="223" spans="1:18" x14ac:dyDescent="0.3">
      <c r="A223">
        <v>0</v>
      </c>
      <c r="B223" t="s">
        <v>26</v>
      </c>
      <c r="C223">
        <v>2</v>
      </c>
      <c r="D223" t="s">
        <v>31</v>
      </c>
      <c r="E223" t="s">
        <v>13</v>
      </c>
      <c r="F223" t="str">
        <f t="shared" si="9"/>
        <v>Male</v>
      </c>
      <c r="G223">
        <v>27</v>
      </c>
      <c r="H223">
        <v>0</v>
      </c>
      <c r="I223">
        <v>0</v>
      </c>
      <c r="J223">
        <v>13</v>
      </c>
      <c r="K223" t="s">
        <v>25</v>
      </c>
      <c r="L223" t="s">
        <v>15</v>
      </c>
      <c r="M223" t="str">
        <f t="shared" si="10"/>
        <v>Man</v>
      </c>
      <c r="N223" t="b">
        <v>1</v>
      </c>
      <c r="O223" t="s">
        <v>16</v>
      </c>
      <c r="P223" t="s">
        <v>17</v>
      </c>
      <c r="Q223" t="str">
        <f t="shared" si="11"/>
        <v>No</v>
      </c>
      <c r="R223" t="b">
        <v>1</v>
      </c>
    </row>
    <row r="224" spans="1:18" x14ac:dyDescent="0.3">
      <c r="A224">
        <v>0</v>
      </c>
      <c r="B224" t="s">
        <v>26</v>
      </c>
      <c r="C224">
        <v>3</v>
      </c>
      <c r="D224" t="s">
        <v>32</v>
      </c>
      <c r="E224" t="s">
        <v>13</v>
      </c>
      <c r="F224" t="str">
        <f t="shared" si="9"/>
        <v>Male</v>
      </c>
      <c r="G224">
        <v>51</v>
      </c>
      <c r="H224">
        <v>0</v>
      </c>
      <c r="I224">
        <v>0</v>
      </c>
      <c r="J224">
        <v>8.0500000000000007</v>
      </c>
      <c r="K224" t="s">
        <v>14</v>
      </c>
      <c r="L224" t="s">
        <v>15</v>
      </c>
      <c r="M224" t="str">
        <f t="shared" si="10"/>
        <v>Man</v>
      </c>
      <c r="N224" t="b">
        <v>1</v>
      </c>
      <c r="O224" t="s">
        <v>16</v>
      </c>
      <c r="P224" t="s">
        <v>17</v>
      </c>
      <c r="Q224" t="str">
        <f t="shared" si="11"/>
        <v>No</v>
      </c>
      <c r="R224" t="b">
        <v>1</v>
      </c>
    </row>
    <row r="225" spans="1:18" x14ac:dyDescent="0.3">
      <c r="A225">
        <v>0</v>
      </c>
      <c r="B225" t="s">
        <v>26</v>
      </c>
      <c r="C225">
        <v>3</v>
      </c>
      <c r="D225" t="s">
        <v>32</v>
      </c>
      <c r="E225" t="s">
        <v>13</v>
      </c>
      <c r="F225" t="str">
        <f t="shared" si="9"/>
        <v>Male</v>
      </c>
      <c r="G225">
        <v>30</v>
      </c>
      <c r="H225">
        <v>0</v>
      </c>
      <c r="I225">
        <v>0</v>
      </c>
      <c r="J225">
        <v>7.8958000000000004</v>
      </c>
      <c r="K225" t="s">
        <v>14</v>
      </c>
      <c r="L225" t="s">
        <v>15</v>
      </c>
      <c r="M225" t="str">
        <f t="shared" si="10"/>
        <v>Man</v>
      </c>
      <c r="N225" t="b">
        <v>1</v>
      </c>
      <c r="O225" t="s">
        <v>16</v>
      </c>
      <c r="P225" t="s">
        <v>17</v>
      </c>
      <c r="Q225" t="str">
        <f t="shared" si="11"/>
        <v>No</v>
      </c>
      <c r="R225" t="b">
        <v>1</v>
      </c>
    </row>
    <row r="226" spans="1:18" x14ac:dyDescent="0.3">
      <c r="A226">
        <v>1</v>
      </c>
      <c r="B226" t="s">
        <v>27</v>
      </c>
      <c r="C226">
        <v>1</v>
      </c>
      <c r="D226" t="s">
        <v>30</v>
      </c>
      <c r="E226" t="s">
        <v>13</v>
      </c>
      <c r="F226" t="str">
        <f t="shared" si="9"/>
        <v>Male</v>
      </c>
      <c r="G226">
        <v>38</v>
      </c>
      <c r="H226">
        <v>1</v>
      </c>
      <c r="I226">
        <v>0</v>
      </c>
      <c r="J226">
        <v>90</v>
      </c>
      <c r="K226" t="s">
        <v>19</v>
      </c>
      <c r="L226" t="s">
        <v>15</v>
      </c>
      <c r="M226" t="str">
        <f t="shared" si="10"/>
        <v>Man</v>
      </c>
      <c r="N226" t="b">
        <v>1</v>
      </c>
      <c r="O226" t="s">
        <v>16</v>
      </c>
      <c r="P226" t="s">
        <v>22</v>
      </c>
      <c r="Q226" t="str">
        <f t="shared" si="11"/>
        <v>Yes</v>
      </c>
      <c r="R226" t="b">
        <v>0</v>
      </c>
    </row>
    <row r="227" spans="1:18" x14ac:dyDescent="0.3">
      <c r="A227">
        <v>0</v>
      </c>
      <c r="B227" t="s">
        <v>26</v>
      </c>
      <c r="C227">
        <v>3</v>
      </c>
      <c r="D227" t="s">
        <v>32</v>
      </c>
      <c r="E227" t="s">
        <v>13</v>
      </c>
      <c r="F227" t="str">
        <f t="shared" si="9"/>
        <v>Male</v>
      </c>
      <c r="G227">
        <v>22</v>
      </c>
      <c r="H227">
        <v>0</v>
      </c>
      <c r="I227">
        <v>0</v>
      </c>
      <c r="J227">
        <v>9.35</v>
      </c>
      <c r="K227" t="s">
        <v>14</v>
      </c>
      <c r="L227" t="s">
        <v>15</v>
      </c>
      <c r="M227" t="str">
        <f t="shared" si="10"/>
        <v>Man</v>
      </c>
      <c r="N227" t="b">
        <v>1</v>
      </c>
      <c r="O227" t="s">
        <v>16</v>
      </c>
      <c r="P227" t="s">
        <v>17</v>
      </c>
      <c r="Q227" t="str">
        <f t="shared" si="11"/>
        <v>No</v>
      </c>
      <c r="R227" t="b">
        <v>1</v>
      </c>
    </row>
    <row r="228" spans="1:18" x14ac:dyDescent="0.3">
      <c r="A228">
        <v>1</v>
      </c>
      <c r="B228" t="s">
        <v>27</v>
      </c>
      <c r="C228">
        <v>2</v>
      </c>
      <c r="D228" t="s">
        <v>31</v>
      </c>
      <c r="E228" t="s">
        <v>13</v>
      </c>
      <c r="F228" t="str">
        <f t="shared" si="9"/>
        <v>Male</v>
      </c>
      <c r="G228">
        <v>19</v>
      </c>
      <c r="H228">
        <v>0</v>
      </c>
      <c r="I228">
        <v>0</v>
      </c>
      <c r="J228">
        <v>10.5</v>
      </c>
      <c r="K228" t="s">
        <v>25</v>
      </c>
      <c r="L228" t="s">
        <v>15</v>
      </c>
      <c r="M228" t="str">
        <f t="shared" si="10"/>
        <v>Man</v>
      </c>
      <c r="N228" t="b">
        <v>1</v>
      </c>
      <c r="O228" t="s">
        <v>16</v>
      </c>
      <c r="P228" t="s">
        <v>22</v>
      </c>
      <c r="Q228" t="str">
        <f t="shared" si="11"/>
        <v>Yes</v>
      </c>
      <c r="R228" t="b">
        <v>1</v>
      </c>
    </row>
    <row r="229" spans="1:18" x14ac:dyDescent="0.3">
      <c r="A229">
        <v>0</v>
      </c>
      <c r="B229" t="s">
        <v>26</v>
      </c>
      <c r="C229">
        <v>3</v>
      </c>
      <c r="D229" t="s">
        <v>32</v>
      </c>
      <c r="E229" t="s">
        <v>13</v>
      </c>
      <c r="F229" t="str">
        <f t="shared" si="9"/>
        <v>Male</v>
      </c>
      <c r="G229">
        <v>20.5</v>
      </c>
      <c r="H229">
        <v>0</v>
      </c>
      <c r="I229">
        <v>0</v>
      </c>
      <c r="J229">
        <v>7.25</v>
      </c>
      <c r="K229" t="s">
        <v>14</v>
      </c>
      <c r="L229" t="s">
        <v>15</v>
      </c>
      <c r="M229" t="str">
        <f t="shared" si="10"/>
        <v>Man</v>
      </c>
      <c r="N229" t="b">
        <v>1</v>
      </c>
      <c r="O229" t="s">
        <v>16</v>
      </c>
      <c r="P229" t="s">
        <v>17</v>
      </c>
      <c r="Q229" t="str">
        <f t="shared" si="11"/>
        <v>No</v>
      </c>
      <c r="R229" t="b">
        <v>1</v>
      </c>
    </row>
    <row r="230" spans="1:18" x14ac:dyDescent="0.3">
      <c r="A230">
        <v>0</v>
      </c>
      <c r="B230" t="s">
        <v>26</v>
      </c>
      <c r="C230">
        <v>2</v>
      </c>
      <c r="D230" t="s">
        <v>31</v>
      </c>
      <c r="E230" t="s">
        <v>13</v>
      </c>
      <c r="F230" t="str">
        <f t="shared" si="9"/>
        <v>Male</v>
      </c>
      <c r="G230">
        <v>18</v>
      </c>
      <c r="H230">
        <v>0</v>
      </c>
      <c r="I230">
        <v>0</v>
      </c>
      <c r="J230">
        <v>13</v>
      </c>
      <c r="K230" t="s">
        <v>25</v>
      </c>
      <c r="L230" t="s">
        <v>15</v>
      </c>
      <c r="M230" t="str">
        <f t="shared" si="10"/>
        <v>Man</v>
      </c>
      <c r="N230" t="b">
        <v>1</v>
      </c>
      <c r="O230" t="s">
        <v>16</v>
      </c>
      <c r="P230" t="s">
        <v>17</v>
      </c>
      <c r="Q230" t="str">
        <f t="shared" si="11"/>
        <v>No</v>
      </c>
      <c r="R230" t="b">
        <v>1</v>
      </c>
    </row>
    <row r="231" spans="1:18" x14ac:dyDescent="0.3">
      <c r="A231">
        <v>0</v>
      </c>
      <c r="B231" t="s">
        <v>26</v>
      </c>
      <c r="C231">
        <v>3</v>
      </c>
      <c r="D231" t="s">
        <v>32</v>
      </c>
      <c r="E231" t="s">
        <v>18</v>
      </c>
      <c r="F231" t="str">
        <f t="shared" si="9"/>
        <v>Female</v>
      </c>
      <c r="G231">
        <v>30</v>
      </c>
      <c r="H231">
        <v>3</v>
      </c>
      <c r="I231">
        <v>1</v>
      </c>
      <c r="J231">
        <v>25.466699999999999</v>
      </c>
      <c r="K231" t="s">
        <v>14</v>
      </c>
      <c r="L231" t="s">
        <v>20</v>
      </c>
      <c r="M231" t="str">
        <f t="shared" si="10"/>
        <v>Woman</v>
      </c>
      <c r="N231" t="b">
        <v>0</v>
      </c>
      <c r="O231" t="s">
        <v>16</v>
      </c>
      <c r="P231" t="s">
        <v>17</v>
      </c>
      <c r="Q231" t="str">
        <f t="shared" si="11"/>
        <v>No</v>
      </c>
      <c r="R231" t="b">
        <v>0</v>
      </c>
    </row>
    <row r="232" spans="1:18" x14ac:dyDescent="0.3">
      <c r="A232">
        <v>1</v>
      </c>
      <c r="B232" t="s">
        <v>27</v>
      </c>
      <c r="C232">
        <v>1</v>
      </c>
      <c r="D232" t="s">
        <v>30</v>
      </c>
      <c r="E232" t="s">
        <v>18</v>
      </c>
      <c r="F232" t="str">
        <f t="shared" si="9"/>
        <v>Female</v>
      </c>
      <c r="G232">
        <v>35</v>
      </c>
      <c r="H232">
        <v>1</v>
      </c>
      <c r="I232">
        <v>0</v>
      </c>
      <c r="J232">
        <v>83.474999999999994</v>
      </c>
      <c r="K232" t="s">
        <v>19</v>
      </c>
      <c r="L232" t="s">
        <v>20</v>
      </c>
      <c r="M232" t="str">
        <f t="shared" si="10"/>
        <v>Woman</v>
      </c>
      <c r="N232" t="b">
        <v>0</v>
      </c>
      <c r="O232" t="s">
        <v>16</v>
      </c>
      <c r="P232" t="s">
        <v>22</v>
      </c>
      <c r="Q232" t="str">
        <f t="shared" si="11"/>
        <v>Yes</v>
      </c>
      <c r="R232" t="b">
        <v>0</v>
      </c>
    </row>
    <row r="233" spans="1:18" x14ac:dyDescent="0.3">
      <c r="A233">
        <v>0</v>
      </c>
      <c r="B233" t="s">
        <v>26</v>
      </c>
      <c r="C233">
        <v>3</v>
      </c>
      <c r="D233" t="s">
        <v>32</v>
      </c>
      <c r="E233" t="s">
        <v>13</v>
      </c>
      <c r="F233" t="str">
        <f t="shared" si="9"/>
        <v>Male</v>
      </c>
      <c r="G233">
        <v>29</v>
      </c>
      <c r="H233">
        <v>0</v>
      </c>
      <c r="I233">
        <v>0</v>
      </c>
      <c r="J233">
        <v>7.7750000000000004</v>
      </c>
      <c r="K233" t="s">
        <v>14</v>
      </c>
      <c r="L233" t="s">
        <v>15</v>
      </c>
      <c r="M233" t="str">
        <f t="shared" si="10"/>
        <v>Man</v>
      </c>
      <c r="N233" t="b">
        <v>1</v>
      </c>
      <c r="O233" t="s">
        <v>16</v>
      </c>
      <c r="P233" t="s">
        <v>17</v>
      </c>
      <c r="Q233" t="str">
        <f t="shared" si="11"/>
        <v>No</v>
      </c>
      <c r="R233" t="b">
        <v>1</v>
      </c>
    </row>
    <row r="234" spans="1:18" x14ac:dyDescent="0.3">
      <c r="A234">
        <v>0</v>
      </c>
      <c r="B234" t="s">
        <v>26</v>
      </c>
      <c r="C234">
        <v>2</v>
      </c>
      <c r="D234" t="s">
        <v>31</v>
      </c>
      <c r="E234" t="s">
        <v>13</v>
      </c>
      <c r="F234" t="str">
        <f t="shared" si="9"/>
        <v>Male</v>
      </c>
      <c r="G234">
        <v>59</v>
      </c>
      <c r="H234">
        <v>0</v>
      </c>
      <c r="I234">
        <v>0</v>
      </c>
      <c r="J234">
        <v>13.5</v>
      </c>
      <c r="K234" t="s">
        <v>25</v>
      </c>
      <c r="L234" t="s">
        <v>15</v>
      </c>
      <c r="M234" t="str">
        <f t="shared" si="10"/>
        <v>Man</v>
      </c>
      <c r="N234" t="b">
        <v>1</v>
      </c>
      <c r="O234" t="s">
        <v>16</v>
      </c>
      <c r="P234" t="s">
        <v>17</v>
      </c>
      <c r="Q234" t="str">
        <f t="shared" si="11"/>
        <v>No</v>
      </c>
      <c r="R234" t="b">
        <v>1</v>
      </c>
    </row>
    <row r="235" spans="1:18" x14ac:dyDescent="0.3">
      <c r="A235">
        <v>1</v>
      </c>
      <c r="B235" t="s">
        <v>27</v>
      </c>
      <c r="C235">
        <v>3</v>
      </c>
      <c r="D235" t="s">
        <v>32</v>
      </c>
      <c r="E235" t="s">
        <v>18</v>
      </c>
      <c r="F235" t="str">
        <f t="shared" si="9"/>
        <v>Female</v>
      </c>
      <c r="G235">
        <v>5</v>
      </c>
      <c r="H235">
        <v>4</v>
      </c>
      <c r="I235">
        <v>2</v>
      </c>
      <c r="J235">
        <v>31.387499999999999</v>
      </c>
      <c r="K235" t="s">
        <v>14</v>
      </c>
      <c r="L235" t="s">
        <v>24</v>
      </c>
      <c r="M235" t="str">
        <f t="shared" si="10"/>
        <v>Child</v>
      </c>
      <c r="N235" t="b">
        <v>0</v>
      </c>
      <c r="O235" t="s">
        <v>16</v>
      </c>
      <c r="P235" t="s">
        <v>22</v>
      </c>
      <c r="Q235" t="str">
        <f t="shared" si="11"/>
        <v>Yes</v>
      </c>
      <c r="R235" t="b">
        <v>0</v>
      </c>
    </row>
    <row r="236" spans="1:18" x14ac:dyDescent="0.3">
      <c r="A236">
        <v>0</v>
      </c>
      <c r="B236" t="s">
        <v>26</v>
      </c>
      <c r="C236">
        <v>2</v>
      </c>
      <c r="D236" t="s">
        <v>31</v>
      </c>
      <c r="E236" t="s">
        <v>13</v>
      </c>
      <c r="F236" t="str">
        <f t="shared" si="9"/>
        <v>Male</v>
      </c>
      <c r="G236">
        <v>24</v>
      </c>
      <c r="H236">
        <v>0</v>
      </c>
      <c r="I236">
        <v>0</v>
      </c>
      <c r="J236">
        <v>10.5</v>
      </c>
      <c r="K236" t="s">
        <v>25</v>
      </c>
      <c r="L236" t="s">
        <v>15</v>
      </c>
      <c r="M236" t="str">
        <f t="shared" si="10"/>
        <v>Man</v>
      </c>
      <c r="N236" t="b">
        <v>1</v>
      </c>
      <c r="O236" t="s">
        <v>16</v>
      </c>
      <c r="P236" t="s">
        <v>17</v>
      </c>
      <c r="Q236" t="str">
        <f t="shared" si="11"/>
        <v>No</v>
      </c>
      <c r="R236" t="b">
        <v>1</v>
      </c>
    </row>
    <row r="237" spans="1:18" x14ac:dyDescent="0.3">
      <c r="A237">
        <v>0</v>
      </c>
      <c r="B237" t="s">
        <v>26</v>
      </c>
      <c r="C237">
        <v>3</v>
      </c>
      <c r="D237" t="s">
        <v>32</v>
      </c>
      <c r="E237" t="s">
        <v>18</v>
      </c>
      <c r="F237" t="str">
        <f t="shared" si="9"/>
        <v>Female</v>
      </c>
      <c r="G237">
        <v>30</v>
      </c>
      <c r="H237">
        <v>0</v>
      </c>
      <c r="I237">
        <v>0</v>
      </c>
      <c r="J237">
        <v>7.55</v>
      </c>
      <c r="K237" t="s">
        <v>14</v>
      </c>
      <c r="L237" t="s">
        <v>20</v>
      </c>
      <c r="M237" t="str">
        <f t="shared" si="10"/>
        <v>Woman</v>
      </c>
      <c r="N237" t="b">
        <v>0</v>
      </c>
      <c r="O237" t="s">
        <v>16</v>
      </c>
      <c r="P237" t="s">
        <v>17</v>
      </c>
      <c r="Q237" t="str">
        <f t="shared" si="11"/>
        <v>No</v>
      </c>
      <c r="R237" t="b">
        <v>1</v>
      </c>
    </row>
    <row r="238" spans="1:18" x14ac:dyDescent="0.3">
      <c r="A238">
        <v>0</v>
      </c>
      <c r="B238" t="s">
        <v>26</v>
      </c>
      <c r="C238">
        <v>2</v>
      </c>
      <c r="D238" t="s">
        <v>31</v>
      </c>
      <c r="E238" t="s">
        <v>13</v>
      </c>
      <c r="F238" t="str">
        <f t="shared" si="9"/>
        <v>Male</v>
      </c>
      <c r="G238">
        <v>44</v>
      </c>
      <c r="H238">
        <v>1</v>
      </c>
      <c r="I238">
        <v>0</v>
      </c>
      <c r="J238">
        <v>26</v>
      </c>
      <c r="K238" t="s">
        <v>25</v>
      </c>
      <c r="L238" t="s">
        <v>15</v>
      </c>
      <c r="M238" t="str">
        <f t="shared" si="10"/>
        <v>Man</v>
      </c>
      <c r="N238" t="b">
        <v>1</v>
      </c>
      <c r="O238" t="s">
        <v>16</v>
      </c>
      <c r="P238" t="s">
        <v>17</v>
      </c>
      <c r="Q238" t="str">
        <f t="shared" si="11"/>
        <v>No</v>
      </c>
      <c r="R238" t="b">
        <v>0</v>
      </c>
    </row>
    <row r="239" spans="1:18" x14ac:dyDescent="0.3">
      <c r="A239">
        <v>1</v>
      </c>
      <c r="B239" t="s">
        <v>27</v>
      </c>
      <c r="C239">
        <v>2</v>
      </c>
      <c r="D239" t="s">
        <v>31</v>
      </c>
      <c r="E239" t="s">
        <v>18</v>
      </c>
      <c r="F239" t="str">
        <f t="shared" si="9"/>
        <v>Female</v>
      </c>
      <c r="G239">
        <v>8</v>
      </c>
      <c r="H239">
        <v>0</v>
      </c>
      <c r="I239">
        <v>2</v>
      </c>
      <c r="J239">
        <v>26.25</v>
      </c>
      <c r="K239" t="s">
        <v>25</v>
      </c>
      <c r="L239" t="s">
        <v>24</v>
      </c>
      <c r="M239" t="str">
        <f t="shared" si="10"/>
        <v>Child</v>
      </c>
      <c r="N239" t="b">
        <v>0</v>
      </c>
      <c r="O239" t="s">
        <v>16</v>
      </c>
      <c r="P239" t="s">
        <v>22</v>
      </c>
      <c r="Q239" t="str">
        <f t="shared" si="11"/>
        <v>Yes</v>
      </c>
      <c r="R239" t="b">
        <v>0</v>
      </c>
    </row>
    <row r="240" spans="1:18" x14ac:dyDescent="0.3">
      <c r="A240">
        <v>0</v>
      </c>
      <c r="B240" t="s">
        <v>26</v>
      </c>
      <c r="C240">
        <v>2</v>
      </c>
      <c r="D240" t="s">
        <v>31</v>
      </c>
      <c r="E240" t="s">
        <v>13</v>
      </c>
      <c r="F240" t="str">
        <f t="shared" si="9"/>
        <v>Male</v>
      </c>
      <c r="G240">
        <v>19</v>
      </c>
      <c r="H240">
        <v>0</v>
      </c>
      <c r="I240">
        <v>0</v>
      </c>
      <c r="J240">
        <v>10.5</v>
      </c>
      <c r="K240" t="s">
        <v>25</v>
      </c>
      <c r="L240" t="s">
        <v>15</v>
      </c>
      <c r="M240" t="str">
        <f t="shared" si="10"/>
        <v>Man</v>
      </c>
      <c r="N240" t="b">
        <v>1</v>
      </c>
      <c r="O240" t="s">
        <v>16</v>
      </c>
      <c r="P240" t="s">
        <v>17</v>
      </c>
      <c r="Q240" t="str">
        <f t="shared" si="11"/>
        <v>No</v>
      </c>
      <c r="R240" t="b">
        <v>1</v>
      </c>
    </row>
    <row r="241" spans="1:18" x14ac:dyDescent="0.3">
      <c r="A241">
        <v>0</v>
      </c>
      <c r="B241" t="s">
        <v>26</v>
      </c>
      <c r="C241">
        <v>2</v>
      </c>
      <c r="D241" t="s">
        <v>31</v>
      </c>
      <c r="E241" t="s">
        <v>13</v>
      </c>
      <c r="F241" t="str">
        <f t="shared" si="9"/>
        <v>Male</v>
      </c>
      <c r="G241">
        <v>33</v>
      </c>
      <c r="H241">
        <v>0</v>
      </c>
      <c r="I241">
        <v>0</v>
      </c>
      <c r="J241">
        <v>12.275</v>
      </c>
      <c r="K241" t="s">
        <v>25</v>
      </c>
      <c r="L241" t="s">
        <v>15</v>
      </c>
      <c r="M241" t="str">
        <f t="shared" si="10"/>
        <v>Man</v>
      </c>
      <c r="N241" t="b">
        <v>1</v>
      </c>
      <c r="O241" t="s">
        <v>16</v>
      </c>
      <c r="P241" t="s">
        <v>17</v>
      </c>
      <c r="Q241" t="str">
        <f t="shared" si="11"/>
        <v>No</v>
      </c>
      <c r="R241" t="b">
        <v>1</v>
      </c>
    </row>
    <row r="242" spans="1:18" x14ac:dyDescent="0.3">
      <c r="A242">
        <v>0</v>
      </c>
      <c r="B242" t="s">
        <v>26</v>
      </c>
      <c r="C242">
        <v>3</v>
      </c>
      <c r="D242" t="s">
        <v>32</v>
      </c>
      <c r="E242" t="s">
        <v>18</v>
      </c>
      <c r="F242" t="str">
        <f t="shared" si="9"/>
        <v>Female</v>
      </c>
      <c r="G242">
        <v>30</v>
      </c>
      <c r="H242">
        <v>1</v>
      </c>
      <c r="I242">
        <v>0</v>
      </c>
      <c r="J242">
        <v>14.4542</v>
      </c>
      <c r="K242" t="s">
        <v>14</v>
      </c>
      <c r="L242" t="s">
        <v>20</v>
      </c>
      <c r="M242" t="str">
        <f t="shared" si="10"/>
        <v>Woman</v>
      </c>
      <c r="N242" t="b">
        <v>0</v>
      </c>
      <c r="O242" t="s">
        <v>21</v>
      </c>
      <c r="P242" t="s">
        <v>17</v>
      </c>
      <c r="Q242" t="str">
        <f t="shared" si="11"/>
        <v>No</v>
      </c>
      <c r="R242" t="b">
        <v>0</v>
      </c>
    </row>
    <row r="243" spans="1:18" x14ac:dyDescent="0.3">
      <c r="A243">
        <v>1</v>
      </c>
      <c r="B243" t="s">
        <v>27</v>
      </c>
      <c r="C243">
        <v>3</v>
      </c>
      <c r="D243" t="s">
        <v>32</v>
      </c>
      <c r="E243" t="s">
        <v>18</v>
      </c>
      <c r="F243" t="str">
        <f t="shared" si="9"/>
        <v>Female</v>
      </c>
      <c r="G243">
        <v>30</v>
      </c>
      <c r="H243">
        <v>1</v>
      </c>
      <c r="I243">
        <v>0</v>
      </c>
      <c r="J243">
        <v>15.5</v>
      </c>
      <c r="K243" t="s">
        <v>14</v>
      </c>
      <c r="L243" t="s">
        <v>20</v>
      </c>
      <c r="M243" t="str">
        <f t="shared" si="10"/>
        <v>Woman</v>
      </c>
      <c r="N243" t="b">
        <v>0</v>
      </c>
      <c r="O243" t="s">
        <v>23</v>
      </c>
      <c r="P243" t="s">
        <v>22</v>
      </c>
      <c r="Q243" t="str">
        <f t="shared" si="11"/>
        <v>Yes</v>
      </c>
      <c r="R243" t="b">
        <v>0</v>
      </c>
    </row>
    <row r="244" spans="1:18" x14ac:dyDescent="0.3">
      <c r="A244">
        <v>0</v>
      </c>
      <c r="B244" t="s">
        <v>26</v>
      </c>
      <c r="C244">
        <v>2</v>
      </c>
      <c r="D244" t="s">
        <v>31</v>
      </c>
      <c r="E244" t="s">
        <v>13</v>
      </c>
      <c r="F244" t="str">
        <f t="shared" si="9"/>
        <v>Male</v>
      </c>
      <c r="G244">
        <v>29</v>
      </c>
      <c r="H244">
        <v>0</v>
      </c>
      <c r="I244">
        <v>0</v>
      </c>
      <c r="J244">
        <v>10.5</v>
      </c>
      <c r="K244" t="s">
        <v>25</v>
      </c>
      <c r="L244" t="s">
        <v>15</v>
      </c>
      <c r="M244" t="str">
        <f t="shared" si="10"/>
        <v>Man</v>
      </c>
      <c r="N244" t="b">
        <v>1</v>
      </c>
      <c r="O244" t="s">
        <v>16</v>
      </c>
      <c r="P244" t="s">
        <v>17</v>
      </c>
      <c r="Q244" t="str">
        <f t="shared" si="11"/>
        <v>No</v>
      </c>
      <c r="R244" t="b">
        <v>1</v>
      </c>
    </row>
    <row r="245" spans="1:18" x14ac:dyDescent="0.3">
      <c r="A245">
        <v>0</v>
      </c>
      <c r="B245" t="s">
        <v>26</v>
      </c>
      <c r="C245">
        <v>3</v>
      </c>
      <c r="D245" t="s">
        <v>32</v>
      </c>
      <c r="E245" t="s">
        <v>13</v>
      </c>
      <c r="F245" t="str">
        <f t="shared" si="9"/>
        <v>Male</v>
      </c>
      <c r="G245">
        <v>22</v>
      </c>
      <c r="H245">
        <v>0</v>
      </c>
      <c r="I245">
        <v>0</v>
      </c>
      <c r="J245">
        <v>7.125</v>
      </c>
      <c r="K245" t="s">
        <v>14</v>
      </c>
      <c r="L245" t="s">
        <v>15</v>
      </c>
      <c r="M245" t="str">
        <f t="shared" si="10"/>
        <v>Man</v>
      </c>
      <c r="N245" t="b">
        <v>1</v>
      </c>
      <c r="O245" t="s">
        <v>16</v>
      </c>
      <c r="P245" t="s">
        <v>17</v>
      </c>
      <c r="Q245" t="str">
        <f t="shared" si="11"/>
        <v>No</v>
      </c>
      <c r="R245" t="b">
        <v>1</v>
      </c>
    </row>
    <row r="246" spans="1:18" x14ac:dyDescent="0.3">
      <c r="A246">
        <v>0</v>
      </c>
      <c r="B246" t="s">
        <v>26</v>
      </c>
      <c r="C246">
        <v>3</v>
      </c>
      <c r="D246" t="s">
        <v>32</v>
      </c>
      <c r="E246" t="s">
        <v>13</v>
      </c>
      <c r="F246" t="str">
        <f t="shared" si="9"/>
        <v>Male</v>
      </c>
      <c r="G246">
        <v>30</v>
      </c>
      <c r="H246">
        <v>0</v>
      </c>
      <c r="I246">
        <v>0</v>
      </c>
      <c r="J246">
        <v>7.2249999999999996</v>
      </c>
      <c r="K246" t="s">
        <v>14</v>
      </c>
      <c r="L246" t="s">
        <v>15</v>
      </c>
      <c r="M246" t="str">
        <f t="shared" si="10"/>
        <v>Man</v>
      </c>
      <c r="N246" t="b">
        <v>1</v>
      </c>
      <c r="O246" t="s">
        <v>21</v>
      </c>
      <c r="P246" t="s">
        <v>17</v>
      </c>
      <c r="Q246" t="str">
        <f t="shared" si="11"/>
        <v>No</v>
      </c>
      <c r="R246" t="b">
        <v>1</v>
      </c>
    </row>
    <row r="247" spans="1:18" x14ac:dyDescent="0.3">
      <c r="A247">
        <v>0</v>
      </c>
      <c r="B247" t="s">
        <v>26</v>
      </c>
      <c r="C247">
        <v>1</v>
      </c>
      <c r="D247" t="s">
        <v>30</v>
      </c>
      <c r="E247" t="s">
        <v>13</v>
      </c>
      <c r="F247" t="str">
        <f t="shared" si="9"/>
        <v>Male</v>
      </c>
      <c r="G247">
        <v>44</v>
      </c>
      <c r="H247">
        <v>2</v>
      </c>
      <c r="I247">
        <v>0</v>
      </c>
      <c r="J247">
        <v>90</v>
      </c>
      <c r="K247" t="s">
        <v>19</v>
      </c>
      <c r="L247" t="s">
        <v>15</v>
      </c>
      <c r="M247" t="str">
        <f t="shared" si="10"/>
        <v>Man</v>
      </c>
      <c r="N247" t="b">
        <v>1</v>
      </c>
      <c r="O247" t="s">
        <v>23</v>
      </c>
      <c r="P247" t="s">
        <v>17</v>
      </c>
      <c r="Q247" t="str">
        <f t="shared" si="11"/>
        <v>No</v>
      </c>
      <c r="R247" t="b">
        <v>0</v>
      </c>
    </row>
    <row r="248" spans="1:18" x14ac:dyDescent="0.3">
      <c r="A248">
        <v>0</v>
      </c>
      <c r="B248" t="s">
        <v>26</v>
      </c>
      <c r="C248">
        <v>3</v>
      </c>
      <c r="D248" t="s">
        <v>32</v>
      </c>
      <c r="E248" t="s">
        <v>18</v>
      </c>
      <c r="F248" t="str">
        <f t="shared" si="9"/>
        <v>Female</v>
      </c>
      <c r="G248">
        <v>25</v>
      </c>
      <c r="H248">
        <v>0</v>
      </c>
      <c r="I248">
        <v>0</v>
      </c>
      <c r="J248">
        <v>7.7750000000000004</v>
      </c>
      <c r="K248" t="s">
        <v>14</v>
      </c>
      <c r="L248" t="s">
        <v>20</v>
      </c>
      <c r="M248" t="str">
        <f t="shared" si="10"/>
        <v>Woman</v>
      </c>
      <c r="N248" t="b">
        <v>0</v>
      </c>
      <c r="O248" t="s">
        <v>16</v>
      </c>
      <c r="P248" t="s">
        <v>17</v>
      </c>
      <c r="Q248" t="str">
        <f t="shared" si="11"/>
        <v>No</v>
      </c>
      <c r="R248" t="b">
        <v>1</v>
      </c>
    </row>
    <row r="249" spans="1:18" x14ac:dyDescent="0.3">
      <c r="A249">
        <v>1</v>
      </c>
      <c r="B249" t="s">
        <v>27</v>
      </c>
      <c r="C249">
        <v>2</v>
      </c>
      <c r="D249" t="s">
        <v>31</v>
      </c>
      <c r="E249" t="s">
        <v>18</v>
      </c>
      <c r="F249" t="str">
        <f t="shared" si="9"/>
        <v>Female</v>
      </c>
      <c r="G249">
        <v>24</v>
      </c>
      <c r="H249">
        <v>0</v>
      </c>
      <c r="I249">
        <v>2</v>
      </c>
      <c r="J249">
        <v>14.5</v>
      </c>
      <c r="K249" t="s">
        <v>25</v>
      </c>
      <c r="L249" t="s">
        <v>20</v>
      </c>
      <c r="M249" t="str">
        <f t="shared" si="10"/>
        <v>Woman</v>
      </c>
      <c r="N249" t="b">
        <v>0</v>
      </c>
      <c r="O249" t="s">
        <v>16</v>
      </c>
      <c r="P249" t="s">
        <v>22</v>
      </c>
      <c r="Q249" t="str">
        <f t="shared" si="11"/>
        <v>Yes</v>
      </c>
      <c r="R249" t="b">
        <v>0</v>
      </c>
    </row>
    <row r="250" spans="1:18" x14ac:dyDescent="0.3">
      <c r="A250">
        <v>1</v>
      </c>
      <c r="B250" t="s">
        <v>27</v>
      </c>
      <c r="C250">
        <v>1</v>
      </c>
      <c r="D250" t="s">
        <v>30</v>
      </c>
      <c r="E250" t="s">
        <v>13</v>
      </c>
      <c r="F250" t="str">
        <f t="shared" si="9"/>
        <v>Male</v>
      </c>
      <c r="G250">
        <v>37</v>
      </c>
      <c r="H250">
        <v>1</v>
      </c>
      <c r="I250">
        <v>1</v>
      </c>
      <c r="J250">
        <v>52.554200000000002</v>
      </c>
      <c r="K250" t="s">
        <v>19</v>
      </c>
      <c r="L250" t="s">
        <v>15</v>
      </c>
      <c r="M250" t="str">
        <f t="shared" si="10"/>
        <v>Man</v>
      </c>
      <c r="N250" t="b">
        <v>1</v>
      </c>
      <c r="O250" t="s">
        <v>16</v>
      </c>
      <c r="P250" t="s">
        <v>22</v>
      </c>
      <c r="Q250" t="str">
        <f t="shared" si="11"/>
        <v>Yes</v>
      </c>
      <c r="R250" t="b">
        <v>0</v>
      </c>
    </row>
    <row r="251" spans="1:18" x14ac:dyDescent="0.3">
      <c r="A251">
        <v>0</v>
      </c>
      <c r="B251" t="s">
        <v>26</v>
      </c>
      <c r="C251">
        <v>2</v>
      </c>
      <c r="D251" t="s">
        <v>31</v>
      </c>
      <c r="E251" t="s">
        <v>13</v>
      </c>
      <c r="F251" t="str">
        <f t="shared" si="9"/>
        <v>Male</v>
      </c>
      <c r="G251">
        <v>54</v>
      </c>
      <c r="H251">
        <v>1</v>
      </c>
      <c r="I251">
        <v>0</v>
      </c>
      <c r="J251">
        <v>26</v>
      </c>
      <c r="K251" t="s">
        <v>25</v>
      </c>
      <c r="L251" t="s">
        <v>15</v>
      </c>
      <c r="M251" t="str">
        <f t="shared" si="10"/>
        <v>Man</v>
      </c>
      <c r="N251" t="b">
        <v>1</v>
      </c>
      <c r="O251" t="s">
        <v>16</v>
      </c>
      <c r="P251" t="s">
        <v>17</v>
      </c>
      <c r="Q251" t="str">
        <f t="shared" si="11"/>
        <v>No</v>
      </c>
      <c r="R251" t="b">
        <v>0</v>
      </c>
    </row>
    <row r="252" spans="1:18" x14ac:dyDescent="0.3">
      <c r="A252">
        <v>0</v>
      </c>
      <c r="B252" t="s">
        <v>26</v>
      </c>
      <c r="C252">
        <v>3</v>
      </c>
      <c r="D252" t="s">
        <v>32</v>
      </c>
      <c r="E252" t="s">
        <v>13</v>
      </c>
      <c r="F252" t="str">
        <f t="shared" si="9"/>
        <v>Male</v>
      </c>
      <c r="G252">
        <v>30</v>
      </c>
      <c r="H252">
        <v>0</v>
      </c>
      <c r="I252">
        <v>0</v>
      </c>
      <c r="J252">
        <v>7.25</v>
      </c>
      <c r="K252" t="s">
        <v>14</v>
      </c>
      <c r="L252" t="s">
        <v>15</v>
      </c>
      <c r="M252" t="str">
        <f t="shared" si="10"/>
        <v>Man</v>
      </c>
      <c r="N252" t="b">
        <v>1</v>
      </c>
      <c r="O252" t="s">
        <v>16</v>
      </c>
      <c r="P252" t="s">
        <v>17</v>
      </c>
      <c r="Q252" t="str">
        <f t="shared" si="11"/>
        <v>No</v>
      </c>
      <c r="R252" t="b">
        <v>1</v>
      </c>
    </row>
    <row r="253" spans="1:18" x14ac:dyDescent="0.3">
      <c r="A253">
        <v>0</v>
      </c>
      <c r="B253" t="s">
        <v>26</v>
      </c>
      <c r="C253">
        <v>3</v>
      </c>
      <c r="D253" t="s">
        <v>32</v>
      </c>
      <c r="E253" t="s">
        <v>18</v>
      </c>
      <c r="F253" t="str">
        <f t="shared" si="9"/>
        <v>Female</v>
      </c>
      <c r="G253">
        <v>29</v>
      </c>
      <c r="H253">
        <v>1</v>
      </c>
      <c r="I253">
        <v>1</v>
      </c>
      <c r="J253">
        <v>10.4625</v>
      </c>
      <c r="K253" t="s">
        <v>14</v>
      </c>
      <c r="L253" t="s">
        <v>20</v>
      </c>
      <c r="M253" t="str">
        <f t="shared" si="10"/>
        <v>Woman</v>
      </c>
      <c r="N253" t="b">
        <v>0</v>
      </c>
      <c r="O253" t="s">
        <v>16</v>
      </c>
      <c r="P253" t="s">
        <v>17</v>
      </c>
      <c r="Q253" t="str">
        <f t="shared" si="11"/>
        <v>No</v>
      </c>
      <c r="R253" t="b">
        <v>0</v>
      </c>
    </row>
    <row r="254" spans="1:18" x14ac:dyDescent="0.3">
      <c r="A254">
        <v>0</v>
      </c>
      <c r="B254" t="s">
        <v>26</v>
      </c>
      <c r="C254">
        <v>1</v>
      </c>
      <c r="D254" t="s">
        <v>30</v>
      </c>
      <c r="E254" t="s">
        <v>13</v>
      </c>
      <c r="F254" t="str">
        <f t="shared" si="9"/>
        <v>Male</v>
      </c>
      <c r="G254">
        <v>62</v>
      </c>
      <c r="H254">
        <v>0</v>
      </c>
      <c r="I254">
        <v>0</v>
      </c>
      <c r="J254">
        <v>26.55</v>
      </c>
      <c r="K254" t="s">
        <v>19</v>
      </c>
      <c r="L254" t="s">
        <v>15</v>
      </c>
      <c r="M254" t="str">
        <f t="shared" si="10"/>
        <v>Man</v>
      </c>
      <c r="N254" t="b">
        <v>1</v>
      </c>
      <c r="O254" t="s">
        <v>16</v>
      </c>
      <c r="P254" t="s">
        <v>17</v>
      </c>
      <c r="Q254" t="str">
        <f t="shared" si="11"/>
        <v>No</v>
      </c>
      <c r="R254" t="b">
        <v>1</v>
      </c>
    </row>
    <row r="255" spans="1:18" x14ac:dyDescent="0.3">
      <c r="A255">
        <v>0</v>
      </c>
      <c r="B255" t="s">
        <v>26</v>
      </c>
      <c r="C255">
        <v>3</v>
      </c>
      <c r="D255" t="s">
        <v>32</v>
      </c>
      <c r="E255" t="s">
        <v>13</v>
      </c>
      <c r="F255" t="str">
        <f t="shared" si="9"/>
        <v>Male</v>
      </c>
      <c r="G255">
        <v>30</v>
      </c>
      <c r="H255">
        <v>1</v>
      </c>
      <c r="I255">
        <v>0</v>
      </c>
      <c r="J255">
        <v>16.100000000000001</v>
      </c>
      <c r="K255" t="s">
        <v>14</v>
      </c>
      <c r="L255" t="s">
        <v>15</v>
      </c>
      <c r="M255" t="str">
        <f t="shared" si="10"/>
        <v>Man</v>
      </c>
      <c r="N255" t="b">
        <v>1</v>
      </c>
      <c r="O255" t="s">
        <v>16</v>
      </c>
      <c r="P255" t="s">
        <v>17</v>
      </c>
      <c r="Q255" t="str">
        <f t="shared" si="11"/>
        <v>No</v>
      </c>
      <c r="R255" t="b">
        <v>0</v>
      </c>
    </row>
    <row r="256" spans="1:18" x14ac:dyDescent="0.3">
      <c r="A256">
        <v>0</v>
      </c>
      <c r="B256" t="s">
        <v>26</v>
      </c>
      <c r="C256">
        <v>3</v>
      </c>
      <c r="D256" t="s">
        <v>32</v>
      </c>
      <c r="E256" t="s">
        <v>18</v>
      </c>
      <c r="F256" t="str">
        <f t="shared" si="9"/>
        <v>Female</v>
      </c>
      <c r="G256">
        <v>41</v>
      </c>
      <c r="H256">
        <v>0</v>
      </c>
      <c r="I256">
        <v>2</v>
      </c>
      <c r="J256">
        <v>20.212499999999999</v>
      </c>
      <c r="K256" t="s">
        <v>14</v>
      </c>
      <c r="L256" t="s">
        <v>20</v>
      </c>
      <c r="M256" t="str">
        <f t="shared" si="10"/>
        <v>Woman</v>
      </c>
      <c r="N256" t="b">
        <v>0</v>
      </c>
      <c r="O256" t="s">
        <v>16</v>
      </c>
      <c r="P256" t="s">
        <v>17</v>
      </c>
      <c r="Q256" t="str">
        <f t="shared" si="11"/>
        <v>No</v>
      </c>
      <c r="R256" t="b">
        <v>0</v>
      </c>
    </row>
    <row r="257" spans="1:18" x14ac:dyDescent="0.3">
      <c r="A257">
        <v>1</v>
      </c>
      <c r="B257" t="s">
        <v>27</v>
      </c>
      <c r="C257">
        <v>3</v>
      </c>
      <c r="D257" t="s">
        <v>32</v>
      </c>
      <c r="E257" t="s">
        <v>18</v>
      </c>
      <c r="F257" t="str">
        <f t="shared" si="9"/>
        <v>Female</v>
      </c>
      <c r="G257">
        <v>29</v>
      </c>
      <c r="H257">
        <v>0</v>
      </c>
      <c r="I257">
        <v>2</v>
      </c>
      <c r="J257">
        <v>15.245799999999999</v>
      </c>
      <c r="K257" t="s">
        <v>14</v>
      </c>
      <c r="L257" t="s">
        <v>20</v>
      </c>
      <c r="M257" t="str">
        <f t="shared" si="10"/>
        <v>Woman</v>
      </c>
      <c r="N257" t="b">
        <v>0</v>
      </c>
      <c r="O257" t="s">
        <v>21</v>
      </c>
      <c r="P257" t="s">
        <v>22</v>
      </c>
      <c r="Q257" t="str">
        <f t="shared" si="11"/>
        <v>Yes</v>
      </c>
      <c r="R257" t="b">
        <v>0</v>
      </c>
    </row>
    <row r="258" spans="1:18" x14ac:dyDescent="0.3">
      <c r="A258">
        <v>1</v>
      </c>
      <c r="B258" t="s">
        <v>27</v>
      </c>
      <c r="C258">
        <v>1</v>
      </c>
      <c r="D258" t="s">
        <v>30</v>
      </c>
      <c r="E258" t="s">
        <v>18</v>
      </c>
      <c r="F258" t="str">
        <f t="shared" si="9"/>
        <v>Female</v>
      </c>
      <c r="G258">
        <v>30</v>
      </c>
      <c r="H258">
        <v>0</v>
      </c>
      <c r="I258">
        <v>0</v>
      </c>
      <c r="J258">
        <v>79.2</v>
      </c>
      <c r="K258" t="s">
        <v>19</v>
      </c>
      <c r="L258" t="s">
        <v>20</v>
      </c>
      <c r="M258" t="str">
        <f t="shared" si="10"/>
        <v>Woman</v>
      </c>
      <c r="N258" t="b">
        <v>0</v>
      </c>
      <c r="O258" t="s">
        <v>21</v>
      </c>
      <c r="P258" t="s">
        <v>22</v>
      </c>
      <c r="Q258" t="str">
        <f t="shared" si="11"/>
        <v>Yes</v>
      </c>
      <c r="R258" t="b">
        <v>1</v>
      </c>
    </row>
    <row r="259" spans="1:18" x14ac:dyDescent="0.3">
      <c r="A259">
        <v>1</v>
      </c>
      <c r="B259" t="s">
        <v>27</v>
      </c>
      <c r="C259">
        <v>1</v>
      </c>
      <c r="D259" t="s">
        <v>30</v>
      </c>
      <c r="E259" t="s">
        <v>18</v>
      </c>
      <c r="F259" t="str">
        <f t="shared" ref="F259:F322" si="12">PROPER(E259)</f>
        <v>Female</v>
      </c>
      <c r="G259">
        <v>30</v>
      </c>
      <c r="H259">
        <v>0</v>
      </c>
      <c r="I259">
        <v>0</v>
      </c>
      <c r="J259">
        <v>86.5</v>
      </c>
      <c r="K259" t="s">
        <v>19</v>
      </c>
      <c r="L259" t="s">
        <v>20</v>
      </c>
      <c r="M259" t="str">
        <f t="shared" ref="M259:M322" si="13">PROPER(L259)</f>
        <v>Woman</v>
      </c>
      <c r="N259" t="b">
        <v>0</v>
      </c>
      <c r="O259" t="s">
        <v>16</v>
      </c>
      <c r="P259" t="s">
        <v>22</v>
      </c>
      <c r="Q259" t="str">
        <f t="shared" ref="Q259:Q322" si="14">PROPER(P259)</f>
        <v>Yes</v>
      </c>
      <c r="R259" t="b">
        <v>1</v>
      </c>
    </row>
    <row r="260" spans="1:18" x14ac:dyDescent="0.3">
      <c r="A260">
        <v>1</v>
      </c>
      <c r="B260" t="s">
        <v>27</v>
      </c>
      <c r="C260">
        <v>1</v>
      </c>
      <c r="D260" t="s">
        <v>30</v>
      </c>
      <c r="E260" t="s">
        <v>18</v>
      </c>
      <c r="F260" t="str">
        <f t="shared" si="12"/>
        <v>Female</v>
      </c>
      <c r="G260">
        <v>35</v>
      </c>
      <c r="H260">
        <v>0</v>
      </c>
      <c r="I260">
        <v>0</v>
      </c>
      <c r="J260">
        <v>512.32920000000001</v>
      </c>
      <c r="K260" t="s">
        <v>19</v>
      </c>
      <c r="L260" t="s">
        <v>20</v>
      </c>
      <c r="M260" t="str">
        <f t="shared" si="13"/>
        <v>Woman</v>
      </c>
      <c r="N260" t="b">
        <v>0</v>
      </c>
      <c r="O260" t="s">
        <v>21</v>
      </c>
      <c r="P260" t="s">
        <v>22</v>
      </c>
      <c r="Q260" t="str">
        <f t="shared" si="14"/>
        <v>Yes</v>
      </c>
      <c r="R260" t="b">
        <v>1</v>
      </c>
    </row>
    <row r="261" spans="1:18" x14ac:dyDescent="0.3">
      <c r="A261">
        <v>1</v>
      </c>
      <c r="B261" t="s">
        <v>27</v>
      </c>
      <c r="C261">
        <v>2</v>
      </c>
      <c r="D261" t="s">
        <v>31</v>
      </c>
      <c r="E261" t="s">
        <v>18</v>
      </c>
      <c r="F261" t="str">
        <f t="shared" si="12"/>
        <v>Female</v>
      </c>
      <c r="G261">
        <v>50</v>
      </c>
      <c r="H261">
        <v>0</v>
      </c>
      <c r="I261">
        <v>1</v>
      </c>
      <c r="J261">
        <v>26</v>
      </c>
      <c r="K261" t="s">
        <v>25</v>
      </c>
      <c r="L261" t="s">
        <v>20</v>
      </c>
      <c r="M261" t="str">
        <f t="shared" si="13"/>
        <v>Woman</v>
      </c>
      <c r="N261" t="b">
        <v>0</v>
      </c>
      <c r="O261" t="s">
        <v>16</v>
      </c>
      <c r="P261" t="s">
        <v>22</v>
      </c>
      <c r="Q261" t="str">
        <f t="shared" si="14"/>
        <v>Yes</v>
      </c>
      <c r="R261" t="b">
        <v>0</v>
      </c>
    </row>
    <row r="262" spans="1:18" x14ac:dyDescent="0.3">
      <c r="A262">
        <v>0</v>
      </c>
      <c r="B262" t="s">
        <v>26</v>
      </c>
      <c r="C262">
        <v>3</v>
      </c>
      <c r="D262" t="s">
        <v>32</v>
      </c>
      <c r="E262" t="s">
        <v>13</v>
      </c>
      <c r="F262" t="str">
        <f t="shared" si="12"/>
        <v>Male</v>
      </c>
      <c r="G262">
        <v>30</v>
      </c>
      <c r="H262">
        <v>0</v>
      </c>
      <c r="I262">
        <v>0</v>
      </c>
      <c r="J262">
        <v>7.75</v>
      </c>
      <c r="K262" t="s">
        <v>14</v>
      </c>
      <c r="L262" t="s">
        <v>15</v>
      </c>
      <c r="M262" t="str">
        <f t="shared" si="13"/>
        <v>Man</v>
      </c>
      <c r="N262" t="b">
        <v>1</v>
      </c>
      <c r="O262" t="s">
        <v>23</v>
      </c>
      <c r="P262" t="s">
        <v>17</v>
      </c>
      <c r="Q262" t="str">
        <f t="shared" si="14"/>
        <v>No</v>
      </c>
      <c r="R262" t="b">
        <v>1</v>
      </c>
    </row>
    <row r="263" spans="1:18" x14ac:dyDescent="0.3">
      <c r="A263">
        <v>1</v>
      </c>
      <c r="B263" t="s">
        <v>27</v>
      </c>
      <c r="C263">
        <v>3</v>
      </c>
      <c r="D263" t="s">
        <v>32</v>
      </c>
      <c r="E263" t="s">
        <v>13</v>
      </c>
      <c r="F263" t="str">
        <f t="shared" si="12"/>
        <v>Male</v>
      </c>
      <c r="G263">
        <v>3</v>
      </c>
      <c r="H263">
        <v>4</v>
      </c>
      <c r="I263">
        <v>2</v>
      </c>
      <c r="J263">
        <v>31.387499999999999</v>
      </c>
      <c r="K263" t="s">
        <v>14</v>
      </c>
      <c r="L263" t="s">
        <v>24</v>
      </c>
      <c r="M263" t="str">
        <f t="shared" si="13"/>
        <v>Child</v>
      </c>
      <c r="N263" t="b">
        <v>0</v>
      </c>
      <c r="O263" t="s">
        <v>16</v>
      </c>
      <c r="P263" t="s">
        <v>22</v>
      </c>
      <c r="Q263" t="str">
        <f t="shared" si="14"/>
        <v>Yes</v>
      </c>
      <c r="R263" t="b">
        <v>0</v>
      </c>
    </row>
    <row r="264" spans="1:18" x14ac:dyDescent="0.3">
      <c r="A264">
        <v>0</v>
      </c>
      <c r="B264" t="s">
        <v>26</v>
      </c>
      <c r="C264">
        <v>1</v>
      </c>
      <c r="D264" t="s">
        <v>30</v>
      </c>
      <c r="E264" t="s">
        <v>13</v>
      </c>
      <c r="F264" t="str">
        <f t="shared" si="12"/>
        <v>Male</v>
      </c>
      <c r="G264">
        <v>52</v>
      </c>
      <c r="H264">
        <v>1</v>
      </c>
      <c r="I264">
        <v>1</v>
      </c>
      <c r="J264">
        <v>79.650000000000006</v>
      </c>
      <c r="K264" t="s">
        <v>19</v>
      </c>
      <c r="L264" t="s">
        <v>15</v>
      </c>
      <c r="M264" t="str">
        <f t="shared" si="13"/>
        <v>Man</v>
      </c>
      <c r="N264" t="b">
        <v>1</v>
      </c>
      <c r="O264" t="s">
        <v>16</v>
      </c>
      <c r="P264" t="s">
        <v>17</v>
      </c>
      <c r="Q264" t="str">
        <f t="shared" si="14"/>
        <v>No</v>
      </c>
      <c r="R264" t="b">
        <v>0</v>
      </c>
    </row>
    <row r="265" spans="1:18" x14ac:dyDescent="0.3">
      <c r="A265">
        <v>0</v>
      </c>
      <c r="B265" t="s">
        <v>26</v>
      </c>
      <c r="C265">
        <v>1</v>
      </c>
      <c r="D265" t="s">
        <v>30</v>
      </c>
      <c r="E265" t="s">
        <v>13</v>
      </c>
      <c r="F265" t="str">
        <f t="shared" si="12"/>
        <v>Male</v>
      </c>
      <c r="G265">
        <v>40</v>
      </c>
      <c r="H265">
        <v>0</v>
      </c>
      <c r="I265">
        <v>0</v>
      </c>
      <c r="J265">
        <v>0</v>
      </c>
      <c r="K265" t="s">
        <v>19</v>
      </c>
      <c r="L265" t="s">
        <v>15</v>
      </c>
      <c r="M265" t="str">
        <f t="shared" si="13"/>
        <v>Man</v>
      </c>
      <c r="N265" t="b">
        <v>1</v>
      </c>
      <c r="O265" t="s">
        <v>16</v>
      </c>
      <c r="P265" t="s">
        <v>17</v>
      </c>
      <c r="Q265" t="str">
        <f t="shared" si="14"/>
        <v>No</v>
      </c>
      <c r="R265" t="b">
        <v>1</v>
      </c>
    </row>
    <row r="266" spans="1:18" x14ac:dyDescent="0.3">
      <c r="A266">
        <v>0</v>
      </c>
      <c r="B266" t="s">
        <v>26</v>
      </c>
      <c r="C266">
        <v>3</v>
      </c>
      <c r="D266" t="s">
        <v>32</v>
      </c>
      <c r="E266" t="s">
        <v>18</v>
      </c>
      <c r="F266" t="str">
        <f t="shared" si="12"/>
        <v>Female</v>
      </c>
      <c r="G266">
        <v>30</v>
      </c>
      <c r="H266">
        <v>0</v>
      </c>
      <c r="I266">
        <v>0</v>
      </c>
      <c r="J266">
        <v>7.75</v>
      </c>
      <c r="K266" t="s">
        <v>14</v>
      </c>
      <c r="L266" t="s">
        <v>20</v>
      </c>
      <c r="M266" t="str">
        <f t="shared" si="13"/>
        <v>Woman</v>
      </c>
      <c r="N266" t="b">
        <v>0</v>
      </c>
      <c r="O266" t="s">
        <v>23</v>
      </c>
      <c r="P266" t="s">
        <v>17</v>
      </c>
      <c r="Q266" t="str">
        <f t="shared" si="14"/>
        <v>No</v>
      </c>
      <c r="R266" t="b">
        <v>1</v>
      </c>
    </row>
    <row r="267" spans="1:18" x14ac:dyDescent="0.3">
      <c r="A267">
        <v>0</v>
      </c>
      <c r="B267" t="s">
        <v>26</v>
      </c>
      <c r="C267">
        <v>2</v>
      </c>
      <c r="D267" t="s">
        <v>31</v>
      </c>
      <c r="E267" t="s">
        <v>13</v>
      </c>
      <c r="F267" t="str">
        <f t="shared" si="12"/>
        <v>Male</v>
      </c>
      <c r="G267">
        <v>36</v>
      </c>
      <c r="H267">
        <v>0</v>
      </c>
      <c r="I267">
        <v>0</v>
      </c>
      <c r="J267">
        <v>10.5</v>
      </c>
      <c r="K267" t="s">
        <v>25</v>
      </c>
      <c r="L267" t="s">
        <v>15</v>
      </c>
      <c r="M267" t="str">
        <f t="shared" si="13"/>
        <v>Man</v>
      </c>
      <c r="N267" t="b">
        <v>1</v>
      </c>
      <c r="O267" t="s">
        <v>16</v>
      </c>
      <c r="P267" t="s">
        <v>17</v>
      </c>
      <c r="Q267" t="str">
        <f t="shared" si="14"/>
        <v>No</v>
      </c>
      <c r="R267" t="b">
        <v>1</v>
      </c>
    </row>
    <row r="268" spans="1:18" x14ac:dyDescent="0.3">
      <c r="A268">
        <v>0</v>
      </c>
      <c r="B268" t="s">
        <v>26</v>
      </c>
      <c r="C268">
        <v>3</v>
      </c>
      <c r="D268" t="s">
        <v>32</v>
      </c>
      <c r="E268" t="s">
        <v>13</v>
      </c>
      <c r="F268" t="str">
        <f t="shared" si="12"/>
        <v>Male</v>
      </c>
      <c r="G268">
        <v>16</v>
      </c>
      <c r="H268">
        <v>4</v>
      </c>
      <c r="I268">
        <v>1</v>
      </c>
      <c r="J268">
        <v>39.6875</v>
      </c>
      <c r="K268" t="s">
        <v>14</v>
      </c>
      <c r="L268" t="s">
        <v>15</v>
      </c>
      <c r="M268" t="str">
        <f t="shared" si="13"/>
        <v>Man</v>
      </c>
      <c r="N268" t="b">
        <v>1</v>
      </c>
      <c r="O268" t="s">
        <v>16</v>
      </c>
      <c r="P268" t="s">
        <v>17</v>
      </c>
      <c r="Q268" t="str">
        <f t="shared" si="14"/>
        <v>No</v>
      </c>
      <c r="R268" t="b">
        <v>0</v>
      </c>
    </row>
    <row r="269" spans="1:18" x14ac:dyDescent="0.3">
      <c r="A269">
        <v>1</v>
      </c>
      <c r="B269" t="s">
        <v>27</v>
      </c>
      <c r="C269">
        <v>3</v>
      </c>
      <c r="D269" t="s">
        <v>32</v>
      </c>
      <c r="E269" t="s">
        <v>13</v>
      </c>
      <c r="F269" t="str">
        <f t="shared" si="12"/>
        <v>Male</v>
      </c>
      <c r="G269">
        <v>25</v>
      </c>
      <c r="H269">
        <v>1</v>
      </c>
      <c r="I269">
        <v>0</v>
      </c>
      <c r="J269">
        <v>7.7750000000000004</v>
      </c>
      <c r="K269" t="s">
        <v>14</v>
      </c>
      <c r="L269" t="s">
        <v>15</v>
      </c>
      <c r="M269" t="str">
        <f t="shared" si="13"/>
        <v>Man</v>
      </c>
      <c r="N269" t="b">
        <v>1</v>
      </c>
      <c r="O269" t="s">
        <v>16</v>
      </c>
      <c r="P269" t="s">
        <v>22</v>
      </c>
      <c r="Q269" t="str">
        <f t="shared" si="14"/>
        <v>Yes</v>
      </c>
      <c r="R269" t="b">
        <v>0</v>
      </c>
    </row>
    <row r="270" spans="1:18" x14ac:dyDescent="0.3">
      <c r="A270">
        <v>1</v>
      </c>
      <c r="B270" t="s">
        <v>27</v>
      </c>
      <c r="C270">
        <v>1</v>
      </c>
      <c r="D270" t="s">
        <v>30</v>
      </c>
      <c r="E270" t="s">
        <v>18</v>
      </c>
      <c r="F270" t="str">
        <f t="shared" si="12"/>
        <v>Female</v>
      </c>
      <c r="G270">
        <v>58</v>
      </c>
      <c r="H270">
        <v>0</v>
      </c>
      <c r="I270">
        <v>1</v>
      </c>
      <c r="J270">
        <v>153.46250000000001</v>
      </c>
      <c r="K270" t="s">
        <v>19</v>
      </c>
      <c r="L270" t="s">
        <v>20</v>
      </c>
      <c r="M270" t="str">
        <f t="shared" si="13"/>
        <v>Woman</v>
      </c>
      <c r="N270" t="b">
        <v>0</v>
      </c>
      <c r="O270" t="s">
        <v>16</v>
      </c>
      <c r="P270" t="s">
        <v>22</v>
      </c>
      <c r="Q270" t="str">
        <f t="shared" si="14"/>
        <v>Yes</v>
      </c>
      <c r="R270" t="b">
        <v>0</v>
      </c>
    </row>
    <row r="271" spans="1:18" x14ac:dyDescent="0.3">
      <c r="A271">
        <v>1</v>
      </c>
      <c r="B271" t="s">
        <v>27</v>
      </c>
      <c r="C271">
        <v>1</v>
      </c>
      <c r="D271" t="s">
        <v>30</v>
      </c>
      <c r="E271" t="s">
        <v>18</v>
      </c>
      <c r="F271" t="str">
        <f t="shared" si="12"/>
        <v>Female</v>
      </c>
      <c r="G271">
        <v>35</v>
      </c>
      <c r="H271">
        <v>0</v>
      </c>
      <c r="I271">
        <v>0</v>
      </c>
      <c r="J271">
        <v>135.63329999999999</v>
      </c>
      <c r="K271" t="s">
        <v>19</v>
      </c>
      <c r="L271" t="s">
        <v>20</v>
      </c>
      <c r="M271" t="str">
        <f t="shared" si="13"/>
        <v>Woman</v>
      </c>
      <c r="N271" t="b">
        <v>0</v>
      </c>
      <c r="O271" t="s">
        <v>16</v>
      </c>
      <c r="P271" t="s">
        <v>22</v>
      </c>
      <c r="Q271" t="str">
        <f t="shared" si="14"/>
        <v>Yes</v>
      </c>
      <c r="R271" t="b">
        <v>1</v>
      </c>
    </row>
    <row r="272" spans="1:18" x14ac:dyDescent="0.3">
      <c r="A272">
        <v>0</v>
      </c>
      <c r="B272" t="s">
        <v>26</v>
      </c>
      <c r="C272">
        <v>1</v>
      </c>
      <c r="D272" t="s">
        <v>30</v>
      </c>
      <c r="E272" t="s">
        <v>13</v>
      </c>
      <c r="F272" t="str">
        <f t="shared" si="12"/>
        <v>Male</v>
      </c>
      <c r="G272">
        <v>30</v>
      </c>
      <c r="H272">
        <v>0</v>
      </c>
      <c r="I272">
        <v>0</v>
      </c>
      <c r="J272">
        <v>31</v>
      </c>
      <c r="K272" t="s">
        <v>19</v>
      </c>
      <c r="L272" t="s">
        <v>15</v>
      </c>
      <c r="M272" t="str">
        <f t="shared" si="13"/>
        <v>Man</v>
      </c>
      <c r="N272" t="b">
        <v>1</v>
      </c>
      <c r="O272" t="s">
        <v>16</v>
      </c>
      <c r="P272" t="s">
        <v>17</v>
      </c>
      <c r="Q272" t="str">
        <f t="shared" si="14"/>
        <v>No</v>
      </c>
      <c r="R272" t="b">
        <v>1</v>
      </c>
    </row>
    <row r="273" spans="1:18" x14ac:dyDescent="0.3">
      <c r="A273">
        <v>1</v>
      </c>
      <c r="B273" t="s">
        <v>27</v>
      </c>
      <c r="C273">
        <v>3</v>
      </c>
      <c r="D273" t="s">
        <v>32</v>
      </c>
      <c r="E273" t="s">
        <v>13</v>
      </c>
      <c r="F273" t="str">
        <f t="shared" si="12"/>
        <v>Male</v>
      </c>
      <c r="G273">
        <v>25</v>
      </c>
      <c r="H273">
        <v>0</v>
      </c>
      <c r="I273">
        <v>0</v>
      </c>
      <c r="J273">
        <v>0</v>
      </c>
      <c r="K273" t="s">
        <v>14</v>
      </c>
      <c r="L273" t="s">
        <v>15</v>
      </c>
      <c r="M273" t="str">
        <f t="shared" si="13"/>
        <v>Man</v>
      </c>
      <c r="N273" t="b">
        <v>1</v>
      </c>
      <c r="O273" t="s">
        <v>16</v>
      </c>
      <c r="P273" t="s">
        <v>22</v>
      </c>
      <c r="Q273" t="str">
        <f t="shared" si="14"/>
        <v>Yes</v>
      </c>
      <c r="R273" t="b">
        <v>1</v>
      </c>
    </row>
    <row r="274" spans="1:18" x14ac:dyDescent="0.3">
      <c r="A274">
        <v>1</v>
      </c>
      <c r="B274" t="s">
        <v>27</v>
      </c>
      <c r="C274">
        <v>2</v>
      </c>
      <c r="D274" t="s">
        <v>31</v>
      </c>
      <c r="E274" t="s">
        <v>18</v>
      </c>
      <c r="F274" t="str">
        <f t="shared" si="12"/>
        <v>Female</v>
      </c>
      <c r="G274">
        <v>41</v>
      </c>
      <c r="H274">
        <v>0</v>
      </c>
      <c r="I274">
        <v>1</v>
      </c>
      <c r="J274">
        <v>19.5</v>
      </c>
      <c r="K274" t="s">
        <v>25</v>
      </c>
      <c r="L274" t="s">
        <v>20</v>
      </c>
      <c r="M274" t="str">
        <f t="shared" si="13"/>
        <v>Woman</v>
      </c>
      <c r="N274" t="b">
        <v>0</v>
      </c>
      <c r="O274" t="s">
        <v>16</v>
      </c>
      <c r="P274" t="s">
        <v>22</v>
      </c>
      <c r="Q274" t="str">
        <f t="shared" si="14"/>
        <v>Yes</v>
      </c>
      <c r="R274" t="b">
        <v>0</v>
      </c>
    </row>
    <row r="275" spans="1:18" x14ac:dyDescent="0.3">
      <c r="A275">
        <v>0</v>
      </c>
      <c r="B275" t="s">
        <v>26</v>
      </c>
      <c r="C275">
        <v>1</v>
      </c>
      <c r="D275" t="s">
        <v>30</v>
      </c>
      <c r="E275" t="s">
        <v>13</v>
      </c>
      <c r="F275" t="str">
        <f t="shared" si="12"/>
        <v>Male</v>
      </c>
      <c r="G275">
        <v>37</v>
      </c>
      <c r="H275">
        <v>0</v>
      </c>
      <c r="I275">
        <v>1</v>
      </c>
      <c r="J275">
        <v>29.7</v>
      </c>
      <c r="K275" t="s">
        <v>19</v>
      </c>
      <c r="L275" t="s">
        <v>15</v>
      </c>
      <c r="M275" t="str">
        <f t="shared" si="13"/>
        <v>Man</v>
      </c>
      <c r="N275" t="b">
        <v>1</v>
      </c>
      <c r="O275" t="s">
        <v>21</v>
      </c>
      <c r="P275" t="s">
        <v>17</v>
      </c>
      <c r="Q275" t="str">
        <f t="shared" si="14"/>
        <v>No</v>
      </c>
      <c r="R275" t="b">
        <v>0</v>
      </c>
    </row>
    <row r="276" spans="1:18" x14ac:dyDescent="0.3">
      <c r="A276">
        <v>1</v>
      </c>
      <c r="B276" t="s">
        <v>27</v>
      </c>
      <c r="C276">
        <v>3</v>
      </c>
      <c r="D276" t="s">
        <v>32</v>
      </c>
      <c r="E276" t="s">
        <v>18</v>
      </c>
      <c r="F276" t="str">
        <f t="shared" si="12"/>
        <v>Female</v>
      </c>
      <c r="G276">
        <v>30</v>
      </c>
      <c r="H276">
        <v>0</v>
      </c>
      <c r="I276">
        <v>0</v>
      </c>
      <c r="J276">
        <v>7.75</v>
      </c>
      <c r="K276" t="s">
        <v>14</v>
      </c>
      <c r="L276" t="s">
        <v>20</v>
      </c>
      <c r="M276" t="str">
        <f t="shared" si="13"/>
        <v>Woman</v>
      </c>
      <c r="N276" t="b">
        <v>0</v>
      </c>
      <c r="O276" t="s">
        <v>23</v>
      </c>
      <c r="P276" t="s">
        <v>22</v>
      </c>
      <c r="Q276" t="str">
        <f t="shared" si="14"/>
        <v>Yes</v>
      </c>
      <c r="R276" t="b">
        <v>1</v>
      </c>
    </row>
    <row r="277" spans="1:18" x14ac:dyDescent="0.3">
      <c r="A277">
        <v>1</v>
      </c>
      <c r="B277" t="s">
        <v>27</v>
      </c>
      <c r="C277">
        <v>1</v>
      </c>
      <c r="D277" t="s">
        <v>30</v>
      </c>
      <c r="E277" t="s">
        <v>18</v>
      </c>
      <c r="F277" t="str">
        <f t="shared" si="12"/>
        <v>Female</v>
      </c>
      <c r="G277">
        <v>63</v>
      </c>
      <c r="H277">
        <v>1</v>
      </c>
      <c r="I277">
        <v>0</v>
      </c>
      <c r="J277">
        <v>77.958299999999994</v>
      </c>
      <c r="K277" t="s">
        <v>19</v>
      </c>
      <c r="L277" t="s">
        <v>20</v>
      </c>
      <c r="M277" t="str">
        <f t="shared" si="13"/>
        <v>Woman</v>
      </c>
      <c r="N277" t="b">
        <v>0</v>
      </c>
      <c r="O277" t="s">
        <v>16</v>
      </c>
      <c r="P277" t="s">
        <v>22</v>
      </c>
      <c r="Q277" t="str">
        <f t="shared" si="14"/>
        <v>Yes</v>
      </c>
      <c r="R277" t="b">
        <v>0</v>
      </c>
    </row>
    <row r="278" spans="1:18" x14ac:dyDescent="0.3">
      <c r="A278">
        <v>0</v>
      </c>
      <c r="B278" t="s">
        <v>26</v>
      </c>
      <c r="C278">
        <v>3</v>
      </c>
      <c r="D278" t="s">
        <v>32</v>
      </c>
      <c r="E278" t="s">
        <v>18</v>
      </c>
      <c r="F278" t="str">
        <f t="shared" si="12"/>
        <v>Female</v>
      </c>
      <c r="G278">
        <v>45</v>
      </c>
      <c r="H278">
        <v>0</v>
      </c>
      <c r="I278">
        <v>0</v>
      </c>
      <c r="J278">
        <v>7.75</v>
      </c>
      <c r="K278" t="s">
        <v>14</v>
      </c>
      <c r="L278" t="s">
        <v>20</v>
      </c>
      <c r="M278" t="str">
        <f t="shared" si="13"/>
        <v>Woman</v>
      </c>
      <c r="N278" t="b">
        <v>0</v>
      </c>
      <c r="O278" t="s">
        <v>16</v>
      </c>
      <c r="P278" t="s">
        <v>17</v>
      </c>
      <c r="Q278" t="str">
        <f t="shared" si="14"/>
        <v>No</v>
      </c>
      <c r="R278" t="b">
        <v>1</v>
      </c>
    </row>
    <row r="279" spans="1:18" x14ac:dyDescent="0.3">
      <c r="A279">
        <v>0</v>
      </c>
      <c r="B279" t="s">
        <v>26</v>
      </c>
      <c r="C279">
        <v>2</v>
      </c>
      <c r="D279" t="s">
        <v>31</v>
      </c>
      <c r="E279" t="s">
        <v>13</v>
      </c>
      <c r="F279" t="str">
        <f t="shared" si="12"/>
        <v>Male</v>
      </c>
      <c r="G279">
        <v>30</v>
      </c>
      <c r="H279">
        <v>0</v>
      </c>
      <c r="I279">
        <v>0</v>
      </c>
      <c r="J279">
        <v>0</v>
      </c>
      <c r="K279" t="s">
        <v>25</v>
      </c>
      <c r="L279" t="s">
        <v>15</v>
      </c>
      <c r="M279" t="str">
        <f t="shared" si="13"/>
        <v>Man</v>
      </c>
      <c r="N279" t="b">
        <v>1</v>
      </c>
      <c r="O279" t="s">
        <v>16</v>
      </c>
      <c r="P279" t="s">
        <v>17</v>
      </c>
      <c r="Q279" t="str">
        <f t="shared" si="14"/>
        <v>No</v>
      </c>
      <c r="R279" t="b">
        <v>1</v>
      </c>
    </row>
    <row r="280" spans="1:18" x14ac:dyDescent="0.3">
      <c r="A280">
        <v>0</v>
      </c>
      <c r="B280" t="s">
        <v>26</v>
      </c>
      <c r="C280">
        <v>3</v>
      </c>
      <c r="D280" t="s">
        <v>32</v>
      </c>
      <c r="E280" t="s">
        <v>13</v>
      </c>
      <c r="F280" t="str">
        <f t="shared" si="12"/>
        <v>Male</v>
      </c>
      <c r="G280">
        <v>7</v>
      </c>
      <c r="H280">
        <v>4</v>
      </c>
      <c r="I280">
        <v>1</v>
      </c>
      <c r="J280">
        <v>29.125</v>
      </c>
      <c r="K280" t="s">
        <v>14</v>
      </c>
      <c r="L280" t="s">
        <v>24</v>
      </c>
      <c r="M280" t="str">
        <f t="shared" si="13"/>
        <v>Child</v>
      </c>
      <c r="N280" t="b">
        <v>0</v>
      </c>
      <c r="O280" t="s">
        <v>23</v>
      </c>
      <c r="P280" t="s">
        <v>17</v>
      </c>
      <c r="Q280" t="str">
        <f t="shared" si="14"/>
        <v>No</v>
      </c>
      <c r="R280" t="b">
        <v>0</v>
      </c>
    </row>
    <row r="281" spans="1:18" x14ac:dyDescent="0.3">
      <c r="A281">
        <v>1</v>
      </c>
      <c r="B281" t="s">
        <v>27</v>
      </c>
      <c r="C281">
        <v>3</v>
      </c>
      <c r="D281" t="s">
        <v>32</v>
      </c>
      <c r="E281" t="s">
        <v>18</v>
      </c>
      <c r="F281" t="str">
        <f t="shared" si="12"/>
        <v>Female</v>
      </c>
      <c r="G281">
        <v>35</v>
      </c>
      <c r="H281">
        <v>1</v>
      </c>
      <c r="I281">
        <v>1</v>
      </c>
      <c r="J281">
        <v>20.25</v>
      </c>
      <c r="K281" t="s">
        <v>14</v>
      </c>
      <c r="L281" t="s">
        <v>20</v>
      </c>
      <c r="M281" t="str">
        <f t="shared" si="13"/>
        <v>Woman</v>
      </c>
      <c r="N281" t="b">
        <v>0</v>
      </c>
      <c r="O281" t="s">
        <v>16</v>
      </c>
      <c r="P281" t="s">
        <v>22</v>
      </c>
      <c r="Q281" t="str">
        <f t="shared" si="14"/>
        <v>Yes</v>
      </c>
      <c r="R281" t="b">
        <v>0</v>
      </c>
    </row>
    <row r="282" spans="1:18" x14ac:dyDescent="0.3">
      <c r="A282">
        <v>0</v>
      </c>
      <c r="B282" t="s">
        <v>26</v>
      </c>
      <c r="C282">
        <v>3</v>
      </c>
      <c r="D282" t="s">
        <v>32</v>
      </c>
      <c r="E282" t="s">
        <v>13</v>
      </c>
      <c r="F282" t="str">
        <f t="shared" si="12"/>
        <v>Male</v>
      </c>
      <c r="G282">
        <v>65</v>
      </c>
      <c r="H282">
        <v>0</v>
      </c>
      <c r="I282">
        <v>0</v>
      </c>
      <c r="J282">
        <v>7.75</v>
      </c>
      <c r="K282" t="s">
        <v>14</v>
      </c>
      <c r="L282" t="s">
        <v>15</v>
      </c>
      <c r="M282" t="str">
        <f t="shared" si="13"/>
        <v>Man</v>
      </c>
      <c r="N282" t="b">
        <v>1</v>
      </c>
      <c r="O282" t="s">
        <v>23</v>
      </c>
      <c r="P282" t="s">
        <v>17</v>
      </c>
      <c r="Q282" t="str">
        <f t="shared" si="14"/>
        <v>No</v>
      </c>
      <c r="R282" t="b">
        <v>1</v>
      </c>
    </row>
    <row r="283" spans="1:18" x14ac:dyDescent="0.3">
      <c r="A283">
        <v>0</v>
      </c>
      <c r="B283" t="s">
        <v>26</v>
      </c>
      <c r="C283">
        <v>3</v>
      </c>
      <c r="D283" t="s">
        <v>32</v>
      </c>
      <c r="E283" t="s">
        <v>13</v>
      </c>
      <c r="F283" t="str">
        <f t="shared" si="12"/>
        <v>Male</v>
      </c>
      <c r="G283">
        <v>28</v>
      </c>
      <c r="H283">
        <v>0</v>
      </c>
      <c r="I283">
        <v>0</v>
      </c>
      <c r="J283">
        <v>7.8541999999999996</v>
      </c>
      <c r="K283" t="s">
        <v>14</v>
      </c>
      <c r="L283" t="s">
        <v>15</v>
      </c>
      <c r="M283" t="str">
        <f t="shared" si="13"/>
        <v>Man</v>
      </c>
      <c r="N283" t="b">
        <v>1</v>
      </c>
      <c r="O283" t="s">
        <v>16</v>
      </c>
      <c r="P283" t="s">
        <v>17</v>
      </c>
      <c r="Q283" t="str">
        <f t="shared" si="14"/>
        <v>No</v>
      </c>
      <c r="R283" t="b">
        <v>1</v>
      </c>
    </row>
    <row r="284" spans="1:18" x14ac:dyDescent="0.3">
      <c r="A284">
        <v>0</v>
      </c>
      <c r="B284" t="s">
        <v>26</v>
      </c>
      <c r="C284">
        <v>3</v>
      </c>
      <c r="D284" t="s">
        <v>32</v>
      </c>
      <c r="E284" t="s">
        <v>13</v>
      </c>
      <c r="F284" t="str">
        <f t="shared" si="12"/>
        <v>Male</v>
      </c>
      <c r="G284">
        <v>16</v>
      </c>
      <c r="H284">
        <v>0</v>
      </c>
      <c r="I284">
        <v>0</v>
      </c>
      <c r="J284">
        <v>9.5</v>
      </c>
      <c r="K284" t="s">
        <v>14</v>
      </c>
      <c r="L284" t="s">
        <v>15</v>
      </c>
      <c r="M284" t="str">
        <f t="shared" si="13"/>
        <v>Man</v>
      </c>
      <c r="N284" t="b">
        <v>1</v>
      </c>
      <c r="O284" t="s">
        <v>16</v>
      </c>
      <c r="P284" t="s">
        <v>17</v>
      </c>
      <c r="Q284" t="str">
        <f t="shared" si="14"/>
        <v>No</v>
      </c>
      <c r="R284" t="b">
        <v>1</v>
      </c>
    </row>
    <row r="285" spans="1:18" x14ac:dyDescent="0.3">
      <c r="A285">
        <v>1</v>
      </c>
      <c r="B285" t="s">
        <v>27</v>
      </c>
      <c r="C285">
        <v>3</v>
      </c>
      <c r="D285" t="s">
        <v>32</v>
      </c>
      <c r="E285" t="s">
        <v>13</v>
      </c>
      <c r="F285" t="str">
        <f t="shared" si="12"/>
        <v>Male</v>
      </c>
      <c r="G285">
        <v>19</v>
      </c>
      <c r="H285">
        <v>0</v>
      </c>
      <c r="I285">
        <v>0</v>
      </c>
      <c r="J285">
        <v>8.0500000000000007</v>
      </c>
      <c r="K285" t="s">
        <v>14</v>
      </c>
      <c r="L285" t="s">
        <v>15</v>
      </c>
      <c r="M285" t="str">
        <f t="shared" si="13"/>
        <v>Man</v>
      </c>
      <c r="N285" t="b">
        <v>1</v>
      </c>
      <c r="O285" t="s">
        <v>16</v>
      </c>
      <c r="P285" t="s">
        <v>22</v>
      </c>
      <c r="Q285" t="str">
        <f t="shared" si="14"/>
        <v>Yes</v>
      </c>
      <c r="R285" t="b">
        <v>1</v>
      </c>
    </row>
    <row r="286" spans="1:18" x14ac:dyDescent="0.3">
      <c r="A286">
        <v>0</v>
      </c>
      <c r="B286" t="s">
        <v>26</v>
      </c>
      <c r="C286">
        <v>1</v>
      </c>
      <c r="D286" t="s">
        <v>30</v>
      </c>
      <c r="E286" t="s">
        <v>13</v>
      </c>
      <c r="F286" t="str">
        <f t="shared" si="12"/>
        <v>Male</v>
      </c>
      <c r="G286">
        <v>30</v>
      </c>
      <c r="H286">
        <v>0</v>
      </c>
      <c r="I286">
        <v>0</v>
      </c>
      <c r="J286">
        <v>26</v>
      </c>
      <c r="K286" t="s">
        <v>19</v>
      </c>
      <c r="L286" t="s">
        <v>15</v>
      </c>
      <c r="M286" t="str">
        <f t="shared" si="13"/>
        <v>Man</v>
      </c>
      <c r="N286" t="b">
        <v>1</v>
      </c>
      <c r="O286" t="s">
        <v>16</v>
      </c>
      <c r="P286" t="s">
        <v>17</v>
      </c>
      <c r="Q286" t="str">
        <f t="shared" si="14"/>
        <v>No</v>
      </c>
      <c r="R286" t="b">
        <v>1</v>
      </c>
    </row>
    <row r="287" spans="1:18" x14ac:dyDescent="0.3">
      <c r="A287">
        <v>0</v>
      </c>
      <c r="B287" t="s">
        <v>26</v>
      </c>
      <c r="C287">
        <v>3</v>
      </c>
      <c r="D287" t="s">
        <v>32</v>
      </c>
      <c r="E287" t="s">
        <v>13</v>
      </c>
      <c r="F287" t="str">
        <f t="shared" si="12"/>
        <v>Male</v>
      </c>
      <c r="G287">
        <v>33</v>
      </c>
      <c r="H287">
        <v>0</v>
      </c>
      <c r="I287">
        <v>0</v>
      </c>
      <c r="J287">
        <v>8.6624999999999996</v>
      </c>
      <c r="K287" t="s">
        <v>14</v>
      </c>
      <c r="L287" t="s">
        <v>15</v>
      </c>
      <c r="M287" t="str">
        <f t="shared" si="13"/>
        <v>Man</v>
      </c>
      <c r="N287" t="b">
        <v>1</v>
      </c>
      <c r="O287" t="s">
        <v>21</v>
      </c>
      <c r="P287" t="s">
        <v>17</v>
      </c>
      <c r="Q287" t="str">
        <f t="shared" si="14"/>
        <v>No</v>
      </c>
      <c r="R287" t="b">
        <v>1</v>
      </c>
    </row>
    <row r="288" spans="1:18" x14ac:dyDescent="0.3">
      <c r="A288">
        <v>1</v>
      </c>
      <c r="B288" t="s">
        <v>27</v>
      </c>
      <c r="C288">
        <v>3</v>
      </c>
      <c r="D288" t="s">
        <v>32</v>
      </c>
      <c r="E288" t="s">
        <v>13</v>
      </c>
      <c r="F288" t="str">
        <f t="shared" si="12"/>
        <v>Male</v>
      </c>
      <c r="G288">
        <v>30</v>
      </c>
      <c r="H288">
        <v>0</v>
      </c>
      <c r="I288">
        <v>0</v>
      </c>
      <c r="J288">
        <v>9.5</v>
      </c>
      <c r="K288" t="s">
        <v>14</v>
      </c>
      <c r="L288" t="s">
        <v>15</v>
      </c>
      <c r="M288" t="str">
        <f t="shared" si="13"/>
        <v>Man</v>
      </c>
      <c r="N288" t="b">
        <v>1</v>
      </c>
      <c r="O288" t="s">
        <v>16</v>
      </c>
      <c r="P288" t="s">
        <v>22</v>
      </c>
      <c r="Q288" t="str">
        <f t="shared" si="14"/>
        <v>Yes</v>
      </c>
      <c r="R288" t="b">
        <v>1</v>
      </c>
    </row>
    <row r="289" spans="1:18" x14ac:dyDescent="0.3">
      <c r="A289">
        <v>0</v>
      </c>
      <c r="B289" t="s">
        <v>26</v>
      </c>
      <c r="C289">
        <v>3</v>
      </c>
      <c r="D289" t="s">
        <v>32</v>
      </c>
      <c r="E289" t="s">
        <v>13</v>
      </c>
      <c r="F289" t="str">
        <f t="shared" si="12"/>
        <v>Male</v>
      </c>
      <c r="G289">
        <v>22</v>
      </c>
      <c r="H289">
        <v>0</v>
      </c>
      <c r="I289">
        <v>0</v>
      </c>
      <c r="J289">
        <v>7.8958000000000004</v>
      </c>
      <c r="K289" t="s">
        <v>14</v>
      </c>
      <c r="L289" t="s">
        <v>15</v>
      </c>
      <c r="M289" t="str">
        <f t="shared" si="13"/>
        <v>Man</v>
      </c>
      <c r="N289" t="b">
        <v>1</v>
      </c>
      <c r="O289" t="s">
        <v>16</v>
      </c>
      <c r="P289" t="s">
        <v>17</v>
      </c>
      <c r="Q289" t="str">
        <f t="shared" si="14"/>
        <v>No</v>
      </c>
      <c r="R289" t="b">
        <v>1</v>
      </c>
    </row>
    <row r="290" spans="1:18" x14ac:dyDescent="0.3">
      <c r="A290">
        <v>1</v>
      </c>
      <c r="B290" t="s">
        <v>27</v>
      </c>
      <c r="C290">
        <v>2</v>
      </c>
      <c r="D290" t="s">
        <v>31</v>
      </c>
      <c r="E290" t="s">
        <v>13</v>
      </c>
      <c r="F290" t="str">
        <f t="shared" si="12"/>
        <v>Male</v>
      </c>
      <c r="G290">
        <v>42</v>
      </c>
      <c r="H290">
        <v>0</v>
      </c>
      <c r="I290">
        <v>0</v>
      </c>
      <c r="J290">
        <v>13</v>
      </c>
      <c r="K290" t="s">
        <v>25</v>
      </c>
      <c r="L290" t="s">
        <v>15</v>
      </c>
      <c r="M290" t="str">
        <f t="shared" si="13"/>
        <v>Man</v>
      </c>
      <c r="N290" t="b">
        <v>1</v>
      </c>
      <c r="O290" t="s">
        <v>16</v>
      </c>
      <c r="P290" t="s">
        <v>22</v>
      </c>
      <c r="Q290" t="str">
        <f t="shared" si="14"/>
        <v>Yes</v>
      </c>
      <c r="R290" t="b">
        <v>1</v>
      </c>
    </row>
    <row r="291" spans="1:18" x14ac:dyDescent="0.3">
      <c r="A291">
        <v>1</v>
      </c>
      <c r="B291" t="s">
        <v>27</v>
      </c>
      <c r="C291">
        <v>3</v>
      </c>
      <c r="D291" t="s">
        <v>32</v>
      </c>
      <c r="E291" t="s">
        <v>18</v>
      </c>
      <c r="F291" t="str">
        <f t="shared" si="12"/>
        <v>Female</v>
      </c>
      <c r="G291">
        <v>22</v>
      </c>
      <c r="H291">
        <v>0</v>
      </c>
      <c r="I291">
        <v>0</v>
      </c>
      <c r="J291">
        <v>7.75</v>
      </c>
      <c r="K291" t="s">
        <v>14</v>
      </c>
      <c r="L291" t="s">
        <v>20</v>
      </c>
      <c r="M291" t="str">
        <f t="shared" si="13"/>
        <v>Woman</v>
      </c>
      <c r="N291" t="b">
        <v>0</v>
      </c>
      <c r="O291" t="s">
        <v>23</v>
      </c>
      <c r="P291" t="s">
        <v>22</v>
      </c>
      <c r="Q291" t="str">
        <f t="shared" si="14"/>
        <v>Yes</v>
      </c>
      <c r="R291" t="b">
        <v>1</v>
      </c>
    </row>
    <row r="292" spans="1:18" x14ac:dyDescent="0.3">
      <c r="A292">
        <v>1</v>
      </c>
      <c r="B292" t="s">
        <v>27</v>
      </c>
      <c r="C292">
        <v>1</v>
      </c>
      <c r="D292" t="s">
        <v>30</v>
      </c>
      <c r="E292" t="s">
        <v>18</v>
      </c>
      <c r="F292" t="str">
        <f t="shared" si="12"/>
        <v>Female</v>
      </c>
      <c r="G292">
        <v>26</v>
      </c>
      <c r="H292">
        <v>0</v>
      </c>
      <c r="I292">
        <v>0</v>
      </c>
      <c r="J292">
        <v>78.849999999999994</v>
      </c>
      <c r="K292" t="s">
        <v>19</v>
      </c>
      <c r="L292" t="s">
        <v>20</v>
      </c>
      <c r="M292" t="str">
        <f t="shared" si="13"/>
        <v>Woman</v>
      </c>
      <c r="N292" t="b">
        <v>0</v>
      </c>
      <c r="O292" t="s">
        <v>16</v>
      </c>
      <c r="P292" t="s">
        <v>22</v>
      </c>
      <c r="Q292" t="str">
        <f t="shared" si="14"/>
        <v>Yes</v>
      </c>
      <c r="R292" t="b">
        <v>1</v>
      </c>
    </row>
    <row r="293" spans="1:18" x14ac:dyDescent="0.3">
      <c r="A293">
        <v>1</v>
      </c>
      <c r="B293" t="s">
        <v>27</v>
      </c>
      <c r="C293">
        <v>1</v>
      </c>
      <c r="D293" t="s">
        <v>30</v>
      </c>
      <c r="E293" t="s">
        <v>18</v>
      </c>
      <c r="F293" t="str">
        <f t="shared" si="12"/>
        <v>Female</v>
      </c>
      <c r="G293">
        <v>19</v>
      </c>
      <c r="H293">
        <v>1</v>
      </c>
      <c r="I293">
        <v>0</v>
      </c>
      <c r="J293">
        <v>91.0792</v>
      </c>
      <c r="K293" t="s">
        <v>19</v>
      </c>
      <c r="L293" t="s">
        <v>20</v>
      </c>
      <c r="M293" t="str">
        <f t="shared" si="13"/>
        <v>Woman</v>
      </c>
      <c r="N293" t="b">
        <v>0</v>
      </c>
      <c r="O293" t="s">
        <v>21</v>
      </c>
      <c r="P293" t="s">
        <v>22</v>
      </c>
      <c r="Q293" t="str">
        <f t="shared" si="14"/>
        <v>Yes</v>
      </c>
      <c r="R293" t="b">
        <v>0</v>
      </c>
    </row>
    <row r="294" spans="1:18" x14ac:dyDescent="0.3">
      <c r="A294">
        <v>0</v>
      </c>
      <c r="B294" t="s">
        <v>26</v>
      </c>
      <c r="C294">
        <v>2</v>
      </c>
      <c r="D294" t="s">
        <v>31</v>
      </c>
      <c r="E294" t="s">
        <v>13</v>
      </c>
      <c r="F294" t="str">
        <f t="shared" si="12"/>
        <v>Male</v>
      </c>
      <c r="G294">
        <v>36</v>
      </c>
      <c r="H294">
        <v>0</v>
      </c>
      <c r="I294">
        <v>0</v>
      </c>
      <c r="J294">
        <v>12.875</v>
      </c>
      <c r="K294" t="s">
        <v>25</v>
      </c>
      <c r="L294" t="s">
        <v>15</v>
      </c>
      <c r="M294" t="str">
        <f t="shared" si="13"/>
        <v>Man</v>
      </c>
      <c r="N294" t="b">
        <v>1</v>
      </c>
      <c r="O294" t="s">
        <v>21</v>
      </c>
      <c r="P294" t="s">
        <v>17</v>
      </c>
      <c r="Q294" t="str">
        <f t="shared" si="14"/>
        <v>No</v>
      </c>
      <c r="R294" t="b">
        <v>1</v>
      </c>
    </row>
    <row r="295" spans="1:18" x14ac:dyDescent="0.3">
      <c r="A295">
        <v>0</v>
      </c>
      <c r="B295" t="s">
        <v>26</v>
      </c>
      <c r="C295">
        <v>3</v>
      </c>
      <c r="D295" t="s">
        <v>32</v>
      </c>
      <c r="E295" t="s">
        <v>18</v>
      </c>
      <c r="F295" t="str">
        <f t="shared" si="12"/>
        <v>Female</v>
      </c>
      <c r="G295">
        <v>24</v>
      </c>
      <c r="H295">
        <v>0</v>
      </c>
      <c r="I295">
        <v>0</v>
      </c>
      <c r="J295">
        <v>8.85</v>
      </c>
      <c r="K295" t="s">
        <v>14</v>
      </c>
      <c r="L295" t="s">
        <v>20</v>
      </c>
      <c r="M295" t="str">
        <f t="shared" si="13"/>
        <v>Woman</v>
      </c>
      <c r="N295" t="b">
        <v>0</v>
      </c>
      <c r="O295" t="s">
        <v>16</v>
      </c>
      <c r="P295" t="s">
        <v>17</v>
      </c>
      <c r="Q295" t="str">
        <f t="shared" si="14"/>
        <v>No</v>
      </c>
      <c r="R295" t="b">
        <v>1</v>
      </c>
    </row>
    <row r="296" spans="1:18" x14ac:dyDescent="0.3">
      <c r="A296">
        <v>0</v>
      </c>
      <c r="B296" t="s">
        <v>26</v>
      </c>
      <c r="C296">
        <v>3</v>
      </c>
      <c r="D296" t="s">
        <v>32</v>
      </c>
      <c r="E296" t="s">
        <v>13</v>
      </c>
      <c r="F296" t="str">
        <f t="shared" si="12"/>
        <v>Male</v>
      </c>
      <c r="G296">
        <v>24</v>
      </c>
      <c r="H296">
        <v>0</v>
      </c>
      <c r="I296">
        <v>0</v>
      </c>
      <c r="J296">
        <v>7.8958000000000004</v>
      </c>
      <c r="K296" t="s">
        <v>14</v>
      </c>
      <c r="L296" t="s">
        <v>15</v>
      </c>
      <c r="M296" t="str">
        <f t="shared" si="13"/>
        <v>Man</v>
      </c>
      <c r="N296" t="b">
        <v>1</v>
      </c>
      <c r="O296" t="s">
        <v>16</v>
      </c>
      <c r="P296" t="s">
        <v>17</v>
      </c>
      <c r="Q296" t="str">
        <f t="shared" si="14"/>
        <v>No</v>
      </c>
      <c r="R296" t="b">
        <v>1</v>
      </c>
    </row>
    <row r="297" spans="1:18" x14ac:dyDescent="0.3">
      <c r="A297">
        <v>0</v>
      </c>
      <c r="B297" t="s">
        <v>26</v>
      </c>
      <c r="C297">
        <v>1</v>
      </c>
      <c r="D297" t="s">
        <v>30</v>
      </c>
      <c r="E297" t="s">
        <v>13</v>
      </c>
      <c r="F297" t="str">
        <f t="shared" si="12"/>
        <v>Male</v>
      </c>
      <c r="G297">
        <v>30</v>
      </c>
      <c r="H297">
        <v>0</v>
      </c>
      <c r="I297">
        <v>0</v>
      </c>
      <c r="J297">
        <v>27.720800000000001</v>
      </c>
      <c r="K297" t="s">
        <v>19</v>
      </c>
      <c r="L297" t="s">
        <v>15</v>
      </c>
      <c r="M297" t="str">
        <f t="shared" si="13"/>
        <v>Man</v>
      </c>
      <c r="N297" t="b">
        <v>1</v>
      </c>
      <c r="O297" t="s">
        <v>21</v>
      </c>
      <c r="P297" t="s">
        <v>17</v>
      </c>
      <c r="Q297" t="str">
        <f t="shared" si="14"/>
        <v>No</v>
      </c>
      <c r="R297" t="b">
        <v>1</v>
      </c>
    </row>
    <row r="298" spans="1:18" x14ac:dyDescent="0.3">
      <c r="A298">
        <v>0</v>
      </c>
      <c r="B298" t="s">
        <v>26</v>
      </c>
      <c r="C298">
        <v>3</v>
      </c>
      <c r="D298" t="s">
        <v>32</v>
      </c>
      <c r="E298" t="s">
        <v>13</v>
      </c>
      <c r="F298" t="str">
        <f t="shared" si="12"/>
        <v>Male</v>
      </c>
      <c r="G298">
        <v>23.5</v>
      </c>
      <c r="H298">
        <v>0</v>
      </c>
      <c r="I298">
        <v>0</v>
      </c>
      <c r="J298">
        <v>7.2291999999999996</v>
      </c>
      <c r="K298" t="s">
        <v>14</v>
      </c>
      <c r="L298" t="s">
        <v>15</v>
      </c>
      <c r="M298" t="str">
        <f t="shared" si="13"/>
        <v>Man</v>
      </c>
      <c r="N298" t="b">
        <v>1</v>
      </c>
      <c r="O298" t="s">
        <v>21</v>
      </c>
      <c r="P298" t="s">
        <v>17</v>
      </c>
      <c r="Q298" t="str">
        <f t="shared" si="14"/>
        <v>No</v>
      </c>
      <c r="R298" t="b">
        <v>1</v>
      </c>
    </row>
    <row r="299" spans="1:18" x14ac:dyDescent="0.3">
      <c r="A299">
        <v>0</v>
      </c>
      <c r="B299" t="s">
        <v>26</v>
      </c>
      <c r="C299">
        <v>1</v>
      </c>
      <c r="D299" t="s">
        <v>30</v>
      </c>
      <c r="E299" t="s">
        <v>18</v>
      </c>
      <c r="F299" t="str">
        <f t="shared" si="12"/>
        <v>Female</v>
      </c>
      <c r="G299">
        <v>2</v>
      </c>
      <c r="H299">
        <v>1</v>
      </c>
      <c r="I299">
        <v>2</v>
      </c>
      <c r="J299">
        <v>151.55000000000001</v>
      </c>
      <c r="K299" t="s">
        <v>19</v>
      </c>
      <c r="L299" t="s">
        <v>24</v>
      </c>
      <c r="M299" t="str">
        <f t="shared" si="13"/>
        <v>Child</v>
      </c>
      <c r="N299" t="b">
        <v>0</v>
      </c>
      <c r="O299" t="s">
        <v>16</v>
      </c>
      <c r="P299" t="s">
        <v>17</v>
      </c>
      <c r="Q299" t="str">
        <f t="shared" si="14"/>
        <v>No</v>
      </c>
      <c r="R299" t="b">
        <v>0</v>
      </c>
    </row>
    <row r="300" spans="1:18" x14ac:dyDescent="0.3">
      <c r="A300">
        <v>1</v>
      </c>
      <c r="B300" t="s">
        <v>27</v>
      </c>
      <c r="C300">
        <v>1</v>
      </c>
      <c r="D300" t="s">
        <v>30</v>
      </c>
      <c r="E300" t="s">
        <v>13</v>
      </c>
      <c r="F300" t="str">
        <f t="shared" si="12"/>
        <v>Male</v>
      </c>
      <c r="G300">
        <v>30</v>
      </c>
      <c r="H300">
        <v>0</v>
      </c>
      <c r="I300">
        <v>0</v>
      </c>
      <c r="J300">
        <v>30.5</v>
      </c>
      <c r="K300" t="s">
        <v>19</v>
      </c>
      <c r="L300" t="s">
        <v>15</v>
      </c>
      <c r="M300" t="str">
        <f t="shared" si="13"/>
        <v>Man</v>
      </c>
      <c r="N300" t="b">
        <v>1</v>
      </c>
      <c r="O300" t="s">
        <v>16</v>
      </c>
      <c r="P300" t="s">
        <v>22</v>
      </c>
      <c r="Q300" t="str">
        <f t="shared" si="14"/>
        <v>Yes</v>
      </c>
      <c r="R300" t="b">
        <v>1</v>
      </c>
    </row>
    <row r="301" spans="1:18" x14ac:dyDescent="0.3">
      <c r="A301">
        <v>1</v>
      </c>
      <c r="B301" t="s">
        <v>27</v>
      </c>
      <c r="C301">
        <v>1</v>
      </c>
      <c r="D301" t="s">
        <v>30</v>
      </c>
      <c r="E301" t="s">
        <v>18</v>
      </c>
      <c r="F301" t="str">
        <f t="shared" si="12"/>
        <v>Female</v>
      </c>
      <c r="G301">
        <v>50</v>
      </c>
      <c r="H301">
        <v>0</v>
      </c>
      <c r="I301">
        <v>1</v>
      </c>
      <c r="J301">
        <v>247.52080000000001</v>
      </c>
      <c r="K301" t="s">
        <v>19</v>
      </c>
      <c r="L301" t="s">
        <v>20</v>
      </c>
      <c r="M301" t="str">
        <f t="shared" si="13"/>
        <v>Woman</v>
      </c>
      <c r="N301" t="b">
        <v>0</v>
      </c>
      <c r="O301" t="s">
        <v>21</v>
      </c>
      <c r="P301" t="s">
        <v>22</v>
      </c>
      <c r="Q301" t="str">
        <f t="shared" si="14"/>
        <v>Yes</v>
      </c>
      <c r="R301" t="b">
        <v>0</v>
      </c>
    </row>
    <row r="302" spans="1:18" x14ac:dyDescent="0.3">
      <c r="A302">
        <v>1</v>
      </c>
      <c r="B302" t="s">
        <v>27</v>
      </c>
      <c r="C302">
        <v>3</v>
      </c>
      <c r="D302" t="s">
        <v>32</v>
      </c>
      <c r="E302" t="s">
        <v>18</v>
      </c>
      <c r="F302" t="str">
        <f t="shared" si="12"/>
        <v>Female</v>
      </c>
      <c r="G302">
        <v>30</v>
      </c>
      <c r="H302">
        <v>0</v>
      </c>
      <c r="I302">
        <v>0</v>
      </c>
      <c r="J302">
        <v>7.75</v>
      </c>
      <c r="K302" t="s">
        <v>14</v>
      </c>
      <c r="L302" t="s">
        <v>20</v>
      </c>
      <c r="M302" t="str">
        <f t="shared" si="13"/>
        <v>Woman</v>
      </c>
      <c r="N302" t="b">
        <v>0</v>
      </c>
      <c r="O302" t="s">
        <v>23</v>
      </c>
      <c r="P302" t="s">
        <v>22</v>
      </c>
      <c r="Q302" t="str">
        <f t="shared" si="14"/>
        <v>Yes</v>
      </c>
      <c r="R302" t="b">
        <v>1</v>
      </c>
    </row>
    <row r="303" spans="1:18" x14ac:dyDescent="0.3">
      <c r="A303">
        <v>1</v>
      </c>
      <c r="B303" t="s">
        <v>27</v>
      </c>
      <c r="C303">
        <v>3</v>
      </c>
      <c r="D303" t="s">
        <v>32</v>
      </c>
      <c r="E303" t="s">
        <v>13</v>
      </c>
      <c r="F303" t="str">
        <f t="shared" si="12"/>
        <v>Male</v>
      </c>
      <c r="G303">
        <v>30</v>
      </c>
      <c r="H303">
        <v>2</v>
      </c>
      <c r="I303">
        <v>0</v>
      </c>
      <c r="J303">
        <v>23.25</v>
      </c>
      <c r="K303" t="s">
        <v>14</v>
      </c>
      <c r="L303" t="s">
        <v>15</v>
      </c>
      <c r="M303" t="str">
        <f t="shared" si="13"/>
        <v>Man</v>
      </c>
      <c r="N303" t="b">
        <v>1</v>
      </c>
      <c r="O303" t="s">
        <v>23</v>
      </c>
      <c r="P303" t="s">
        <v>22</v>
      </c>
      <c r="Q303" t="str">
        <f t="shared" si="14"/>
        <v>Yes</v>
      </c>
      <c r="R303" t="b">
        <v>0</v>
      </c>
    </row>
    <row r="304" spans="1:18" x14ac:dyDescent="0.3">
      <c r="A304">
        <v>0</v>
      </c>
      <c r="B304" t="s">
        <v>26</v>
      </c>
      <c r="C304">
        <v>3</v>
      </c>
      <c r="D304" t="s">
        <v>32</v>
      </c>
      <c r="E304" t="s">
        <v>13</v>
      </c>
      <c r="F304" t="str">
        <f t="shared" si="12"/>
        <v>Male</v>
      </c>
      <c r="G304">
        <v>19</v>
      </c>
      <c r="H304">
        <v>0</v>
      </c>
      <c r="I304">
        <v>0</v>
      </c>
      <c r="J304">
        <v>0</v>
      </c>
      <c r="K304" t="s">
        <v>14</v>
      </c>
      <c r="L304" t="s">
        <v>15</v>
      </c>
      <c r="M304" t="str">
        <f t="shared" si="13"/>
        <v>Man</v>
      </c>
      <c r="N304" t="b">
        <v>1</v>
      </c>
      <c r="O304" t="s">
        <v>16</v>
      </c>
      <c r="P304" t="s">
        <v>17</v>
      </c>
      <c r="Q304" t="str">
        <f t="shared" si="14"/>
        <v>No</v>
      </c>
      <c r="R304" t="b">
        <v>1</v>
      </c>
    </row>
    <row r="305" spans="1:18" x14ac:dyDescent="0.3">
      <c r="A305">
        <v>1</v>
      </c>
      <c r="B305" t="s">
        <v>27</v>
      </c>
      <c r="C305">
        <v>2</v>
      </c>
      <c r="D305" t="s">
        <v>31</v>
      </c>
      <c r="E305" t="s">
        <v>18</v>
      </c>
      <c r="F305" t="str">
        <f t="shared" si="12"/>
        <v>Female</v>
      </c>
      <c r="G305">
        <v>30</v>
      </c>
      <c r="H305">
        <v>0</v>
      </c>
      <c r="I305">
        <v>0</v>
      </c>
      <c r="J305">
        <v>12.35</v>
      </c>
      <c r="K305" t="s">
        <v>25</v>
      </c>
      <c r="L305" t="s">
        <v>20</v>
      </c>
      <c r="M305" t="str">
        <f t="shared" si="13"/>
        <v>Woman</v>
      </c>
      <c r="N305" t="b">
        <v>0</v>
      </c>
      <c r="O305" t="s">
        <v>23</v>
      </c>
      <c r="P305" t="s">
        <v>22</v>
      </c>
      <c r="Q305" t="str">
        <f t="shared" si="14"/>
        <v>Yes</v>
      </c>
      <c r="R305" t="b">
        <v>1</v>
      </c>
    </row>
    <row r="306" spans="1:18" x14ac:dyDescent="0.3">
      <c r="A306">
        <v>0</v>
      </c>
      <c r="B306" t="s">
        <v>26</v>
      </c>
      <c r="C306">
        <v>3</v>
      </c>
      <c r="D306" t="s">
        <v>32</v>
      </c>
      <c r="E306" t="s">
        <v>13</v>
      </c>
      <c r="F306" t="str">
        <f t="shared" si="12"/>
        <v>Male</v>
      </c>
      <c r="G306">
        <v>30</v>
      </c>
      <c r="H306">
        <v>0</v>
      </c>
      <c r="I306">
        <v>0</v>
      </c>
      <c r="J306">
        <v>8.0500000000000007</v>
      </c>
      <c r="K306" t="s">
        <v>14</v>
      </c>
      <c r="L306" t="s">
        <v>15</v>
      </c>
      <c r="M306" t="str">
        <f t="shared" si="13"/>
        <v>Man</v>
      </c>
      <c r="N306" t="b">
        <v>1</v>
      </c>
      <c r="O306" t="s">
        <v>16</v>
      </c>
      <c r="P306" t="s">
        <v>17</v>
      </c>
      <c r="Q306" t="str">
        <f t="shared" si="14"/>
        <v>No</v>
      </c>
      <c r="R306" t="b">
        <v>1</v>
      </c>
    </row>
    <row r="307" spans="1:18" x14ac:dyDescent="0.3">
      <c r="A307">
        <v>1</v>
      </c>
      <c r="B307" t="s">
        <v>27</v>
      </c>
      <c r="C307">
        <v>1</v>
      </c>
      <c r="D307" t="s">
        <v>30</v>
      </c>
      <c r="E307" t="s">
        <v>13</v>
      </c>
      <c r="F307" t="str">
        <f t="shared" si="12"/>
        <v>Male</v>
      </c>
      <c r="G307">
        <v>0.92</v>
      </c>
      <c r="H307">
        <v>1</v>
      </c>
      <c r="I307">
        <v>2</v>
      </c>
      <c r="J307">
        <v>151.55000000000001</v>
      </c>
      <c r="K307" t="s">
        <v>19</v>
      </c>
      <c r="L307" t="s">
        <v>24</v>
      </c>
      <c r="M307" t="str">
        <f t="shared" si="13"/>
        <v>Child</v>
      </c>
      <c r="N307" t="b">
        <v>0</v>
      </c>
      <c r="O307" t="s">
        <v>16</v>
      </c>
      <c r="P307" t="s">
        <v>22</v>
      </c>
      <c r="Q307" t="str">
        <f t="shared" si="14"/>
        <v>Yes</v>
      </c>
      <c r="R307" t="b">
        <v>0</v>
      </c>
    </row>
    <row r="308" spans="1:18" x14ac:dyDescent="0.3">
      <c r="A308">
        <v>1</v>
      </c>
      <c r="B308" t="s">
        <v>27</v>
      </c>
      <c r="C308">
        <v>1</v>
      </c>
      <c r="D308" t="s">
        <v>30</v>
      </c>
      <c r="E308" t="s">
        <v>18</v>
      </c>
      <c r="F308" t="str">
        <f t="shared" si="12"/>
        <v>Female</v>
      </c>
      <c r="G308">
        <v>30</v>
      </c>
      <c r="H308">
        <v>0</v>
      </c>
      <c r="I308">
        <v>0</v>
      </c>
      <c r="J308">
        <v>110.88330000000001</v>
      </c>
      <c r="K308" t="s">
        <v>19</v>
      </c>
      <c r="L308" t="s">
        <v>20</v>
      </c>
      <c r="M308" t="str">
        <f t="shared" si="13"/>
        <v>Woman</v>
      </c>
      <c r="N308" t="b">
        <v>0</v>
      </c>
      <c r="O308" t="s">
        <v>21</v>
      </c>
      <c r="P308" t="s">
        <v>22</v>
      </c>
      <c r="Q308" t="str">
        <f t="shared" si="14"/>
        <v>Yes</v>
      </c>
      <c r="R308" t="b">
        <v>1</v>
      </c>
    </row>
    <row r="309" spans="1:18" x14ac:dyDescent="0.3">
      <c r="A309">
        <v>1</v>
      </c>
      <c r="B309" t="s">
        <v>27</v>
      </c>
      <c r="C309">
        <v>1</v>
      </c>
      <c r="D309" t="s">
        <v>30</v>
      </c>
      <c r="E309" t="s">
        <v>18</v>
      </c>
      <c r="F309" t="str">
        <f t="shared" si="12"/>
        <v>Female</v>
      </c>
      <c r="G309">
        <v>17</v>
      </c>
      <c r="H309">
        <v>1</v>
      </c>
      <c r="I309">
        <v>0</v>
      </c>
      <c r="J309">
        <v>108.9</v>
      </c>
      <c r="K309" t="s">
        <v>19</v>
      </c>
      <c r="L309" t="s">
        <v>20</v>
      </c>
      <c r="M309" t="str">
        <f t="shared" si="13"/>
        <v>Woman</v>
      </c>
      <c r="N309" t="b">
        <v>0</v>
      </c>
      <c r="O309" t="s">
        <v>21</v>
      </c>
      <c r="P309" t="s">
        <v>22</v>
      </c>
      <c r="Q309" t="str">
        <f t="shared" si="14"/>
        <v>Yes</v>
      </c>
      <c r="R309" t="b">
        <v>0</v>
      </c>
    </row>
    <row r="310" spans="1:18" x14ac:dyDescent="0.3">
      <c r="A310">
        <v>0</v>
      </c>
      <c r="B310" t="s">
        <v>26</v>
      </c>
      <c r="C310">
        <v>2</v>
      </c>
      <c r="D310" t="s">
        <v>31</v>
      </c>
      <c r="E310" t="s">
        <v>13</v>
      </c>
      <c r="F310" t="str">
        <f t="shared" si="12"/>
        <v>Male</v>
      </c>
      <c r="G310">
        <v>30</v>
      </c>
      <c r="H310">
        <v>1</v>
      </c>
      <c r="I310">
        <v>0</v>
      </c>
      <c r="J310">
        <v>24</v>
      </c>
      <c r="K310" t="s">
        <v>25</v>
      </c>
      <c r="L310" t="s">
        <v>15</v>
      </c>
      <c r="M310" t="str">
        <f t="shared" si="13"/>
        <v>Man</v>
      </c>
      <c r="N310" t="b">
        <v>1</v>
      </c>
      <c r="O310" t="s">
        <v>21</v>
      </c>
      <c r="P310" t="s">
        <v>17</v>
      </c>
      <c r="Q310" t="str">
        <f t="shared" si="14"/>
        <v>No</v>
      </c>
      <c r="R310" t="b">
        <v>0</v>
      </c>
    </row>
    <row r="311" spans="1:18" x14ac:dyDescent="0.3">
      <c r="A311">
        <v>1</v>
      </c>
      <c r="B311" t="s">
        <v>27</v>
      </c>
      <c r="C311">
        <v>1</v>
      </c>
      <c r="D311" t="s">
        <v>30</v>
      </c>
      <c r="E311" t="s">
        <v>18</v>
      </c>
      <c r="F311" t="str">
        <f t="shared" si="12"/>
        <v>Female</v>
      </c>
      <c r="G311">
        <v>30</v>
      </c>
      <c r="H311">
        <v>0</v>
      </c>
      <c r="I311">
        <v>0</v>
      </c>
      <c r="J311">
        <v>56.929200000000002</v>
      </c>
      <c r="K311" t="s">
        <v>19</v>
      </c>
      <c r="L311" t="s">
        <v>20</v>
      </c>
      <c r="M311" t="str">
        <f t="shared" si="13"/>
        <v>Woman</v>
      </c>
      <c r="N311" t="b">
        <v>0</v>
      </c>
      <c r="O311" t="s">
        <v>21</v>
      </c>
      <c r="P311" t="s">
        <v>22</v>
      </c>
      <c r="Q311" t="str">
        <f t="shared" si="14"/>
        <v>Yes</v>
      </c>
      <c r="R311" t="b">
        <v>1</v>
      </c>
    </row>
    <row r="312" spans="1:18" x14ac:dyDescent="0.3">
      <c r="A312">
        <v>1</v>
      </c>
      <c r="B312" t="s">
        <v>27</v>
      </c>
      <c r="C312">
        <v>1</v>
      </c>
      <c r="D312" t="s">
        <v>30</v>
      </c>
      <c r="E312" t="s">
        <v>18</v>
      </c>
      <c r="F312" t="str">
        <f t="shared" si="12"/>
        <v>Female</v>
      </c>
      <c r="G312">
        <v>24</v>
      </c>
      <c r="H312">
        <v>0</v>
      </c>
      <c r="I312">
        <v>0</v>
      </c>
      <c r="J312">
        <v>83.158299999999997</v>
      </c>
      <c r="K312" t="s">
        <v>19</v>
      </c>
      <c r="L312" t="s">
        <v>20</v>
      </c>
      <c r="M312" t="str">
        <f t="shared" si="13"/>
        <v>Woman</v>
      </c>
      <c r="N312" t="b">
        <v>0</v>
      </c>
      <c r="O312" t="s">
        <v>21</v>
      </c>
      <c r="P312" t="s">
        <v>22</v>
      </c>
      <c r="Q312" t="str">
        <f t="shared" si="14"/>
        <v>Yes</v>
      </c>
      <c r="R312" t="b">
        <v>1</v>
      </c>
    </row>
    <row r="313" spans="1:18" x14ac:dyDescent="0.3">
      <c r="A313">
        <v>1</v>
      </c>
      <c r="B313" t="s">
        <v>27</v>
      </c>
      <c r="C313">
        <v>1</v>
      </c>
      <c r="D313" t="s">
        <v>30</v>
      </c>
      <c r="E313" t="s">
        <v>18</v>
      </c>
      <c r="F313" t="str">
        <f t="shared" si="12"/>
        <v>Female</v>
      </c>
      <c r="G313">
        <v>18</v>
      </c>
      <c r="H313">
        <v>2</v>
      </c>
      <c r="I313">
        <v>2</v>
      </c>
      <c r="J313">
        <v>262.375</v>
      </c>
      <c r="K313" t="s">
        <v>19</v>
      </c>
      <c r="L313" t="s">
        <v>20</v>
      </c>
      <c r="M313" t="str">
        <f t="shared" si="13"/>
        <v>Woman</v>
      </c>
      <c r="N313" t="b">
        <v>0</v>
      </c>
      <c r="O313" t="s">
        <v>21</v>
      </c>
      <c r="P313" t="s">
        <v>22</v>
      </c>
      <c r="Q313" t="str">
        <f t="shared" si="14"/>
        <v>Yes</v>
      </c>
      <c r="R313" t="b">
        <v>0</v>
      </c>
    </row>
    <row r="314" spans="1:18" x14ac:dyDescent="0.3">
      <c r="A314">
        <v>0</v>
      </c>
      <c r="B314" t="s">
        <v>26</v>
      </c>
      <c r="C314">
        <v>2</v>
      </c>
      <c r="D314" t="s">
        <v>31</v>
      </c>
      <c r="E314" t="s">
        <v>18</v>
      </c>
      <c r="F314" t="str">
        <f t="shared" si="12"/>
        <v>Female</v>
      </c>
      <c r="G314">
        <v>26</v>
      </c>
      <c r="H314">
        <v>1</v>
      </c>
      <c r="I314">
        <v>1</v>
      </c>
      <c r="J314">
        <v>26</v>
      </c>
      <c r="K314" t="s">
        <v>25</v>
      </c>
      <c r="L314" t="s">
        <v>20</v>
      </c>
      <c r="M314" t="str">
        <f t="shared" si="13"/>
        <v>Woman</v>
      </c>
      <c r="N314" t="b">
        <v>0</v>
      </c>
      <c r="O314" t="s">
        <v>16</v>
      </c>
      <c r="P314" t="s">
        <v>17</v>
      </c>
      <c r="Q314" t="str">
        <f t="shared" si="14"/>
        <v>No</v>
      </c>
      <c r="R314" t="b">
        <v>0</v>
      </c>
    </row>
    <row r="315" spans="1:18" x14ac:dyDescent="0.3">
      <c r="A315">
        <v>0</v>
      </c>
      <c r="B315" t="s">
        <v>26</v>
      </c>
      <c r="C315">
        <v>3</v>
      </c>
      <c r="D315" t="s">
        <v>32</v>
      </c>
      <c r="E315" t="s">
        <v>13</v>
      </c>
      <c r="F315" t="str">
        <f t="shared" si="12"/>
        <v>Male</v>
      </c>
      <c r="G315">
        <v>28</v>
      </c>
      <c r="H315">
        <v>0</v>
      </c>
      <c r="I315">
        <v>0</v>
      </c>
      <c r="J315">
        <v>7.8958000000000004</v>
      </c>
      <c r="K315" t="s">
        <v>14</v>
      </c>
      <c r="L315" t="s">
        <v>15</v>
      </c>
      <c r="M315" t="str">
        <f t="shared" si="13"/>
        <v>Man</v>
      </c>
      <c r="N315" t="b">
        <v>1</v>
      </c>
      <c r="O315" t="s">
        <v>16</v>
      </c>
      <c r="P315" t="s">
        <v>17</v>
      </c>
      <c r="Q315" t="str">
        <f t="shared" si="14"/>
        <v>No</v>
      </c>
      <c r="R315" t="b">
        <v>1</v>
      </c>
    </row>
    <row r="316" spans="1:18" x14ac:dyDescent="0.3">
      <c r="A316">
        <v>0</v>
      </c>
      <c r="B316" t="s">
        <v>26</v>
      </c>
      <c r="C316">
        <v>2</v>
      </c>
      <c r="D316" t="s">
        <v>31</v>
      </c>
      <c r="E316" t="s">
        <v>13</v>
      </c>
      <c r="F316" t="str">
        <f t="shared" si="12"/>
        <v>Male</v>
      </c>
      <c r="G316">
        <v>43</v>
      </c>
      <c r="H316">
        <v>1</v>
      </c>
      <c r="I316">
        <v>1</v>
      </c>
      <c r="J316">
        <v>26.25</v>
      </c>
      <c r="K316" t="s">
        <v>25</v>
      </c>
      <c r="L316" t="s">
        <v>15</v>
      </c>
      <c r="M316" t="str">
        <f t="shared" si="13"/>
        <v>Man</v>
      </c>
      <c r="N316" t="b">
        <v>1</v>
      </c>
      <c r="O316" t="s">
        <v>16</v>
      </c>
      <c r="P316" t="s">
        <v>17</v>
      </c>
      <c r="Q316" t="str">
        <f t="shared" si="14"/>
        <v>No</v>
      </c>
      <c r="R316" t="b">
        <v>0</v>
      </c>
    </row>
    <row r="317" spans="1:18" x14ac:dyDescent="0.3">
      <c r="A317">
        <v>1</v>
      </c>
      <c r="B317" t="s">
        <v>27</v>
      </c>
      <c r="C317">
        <v>3</v>
      </c>
      <c r="D317" t="s">
        <v>32</v>
      </c>
      <c r="E317" t="s">
        <v>18</v>
      </c>
      <c r="F317" t="str">
        <f t="shared" si="12"/>
        <v>Female</v>
      </c>
      <c r="G317">
        <v>26</v>
      </c>
      <c r="H317">
        <v>0</v>
      </c>
      <c r="I317">
        <v>0</v>
      </c>
      <c r="J317">
        <v>7.8541999999999996</v>
      </c>
      <c r="K317" t="s">
        <v>14</v>
      </c>
      <c r="L317" t="s">
        <v>20</v>
      </c>
      <c r="M317" t="str">
        <f t="shared" si="13"/>
        <v>Woman</v>
      </c>
      <c r="N317" t="b">
        <v>0</v>
      </c>
      <c r="O317" t="s">
        <v>16</v>
      </c>
      <c r="P317" t="s">
        <v>22</v>
      </c>
      <c r="Q317" t="str">
        <f t="shared" si="14"/>
        <v>Yes</v>
      </c>
      <c r="R317" t="b">
        <v>1</v>
      </c>
    </row>
    <row r="318" spans="1:18" x14ac:dyDescent="0.3">
      <c r="A318">
        <v>1</v>
      </c>
      <c r="B318" t="s">
        <v>27</v>
      </c>
      <c r="C318">
        <v>2</v>
      </c>
      <c r="D318" t="s">
        <v>31</v>
      </c>
      <c r="E318" t="s">
        <v>18</v>
      </c>
      <c r="F318" t="str">
        <f t="shared" si="12"/>
        <v>Female</v>
      </c>
      <c r="G318">
        <v>24</v>
      </c>
      <c r="H318">
        <v>1</v>
      </c>
      <c r="I318">
        <v>0</v>
      </c>
      <c r="J318">
        <v>26</v>
      </c>
      <c r="K318" t="s">
        <v>25</v>
      </c>
      <c r="L318" t="s">
        <v>20</v>
      </c>
      <c r="M318" t="str">
        <f t="shared" si="13"/>
        <v>Woman</v>
      </c>
      <c r="N318" t="b">
        <v>0</v>
      </c>
      <c r="O318" t="s">
        <v>16</v>
      </c>
      <c r="P318" t="s">
        <v>22</v>
      </c>
      <c r="Q318" t="str">
        <f t="shared" si="14"/>
        <v>Yes</v>
      </c>
      <c r="R318" t="b">
        <v>0</v>
      </c>
    </row>
    <row r="319" spans="1:18" x14ac:dyDescent="0.3">
      <c r="A319">
        <v>0</v>
      </c>
      <c r="B319" t="s">
        <v>26</v>
      </c>
      <c r="C319">
        <v>2</v>
      </c>
      <c r="D319" t="s">
        <v>31</v>
      </c>
      <c r="E319" t="s">
        <v>13</v>
      </c>
      <c r="F319" t="str">
        <f t="shared" si="12"/>
        <v>Male</v>
      </c>
      <c r="G319">
        <v>54</v>
      </c>
      <c r="H319">
        <v>0</v>
      </c>
      <c r="I319">
        <v>0</v>
      </c>
      <c r="J319">
        <v>14</v>
      </c>
      <c r="K319" t="s">
        <v>25</v>
      </c>
      <c r="L319" t="s">
        <v>15</v>
      </c>
      <c r="M319" t="str">
        <f t="shared" si="13"/>
        <v>Man</v>
      </c>
      <c r="N319" t="b">
        <v>1</v>
      </c>
      <c r="O319" t="s">
        <v>16</v>
      </c>
      <c r="P319" t="s">
        <v>17</v>
      </c>
      <c r="Q319" t="str">
        <f t="shared" si="14"/>
        <v>No</v>
      </c>
      <c r="R319" t="b">
        <v>1</v>
      </c>
    </row>
    <row r="320" spans="1:18" x14ac:dyDescent="0.3">
      <c r="A320">
        <v>1</v>
      </c>
      <c r="B320" t="s">
        <v>27</v>
      </c>
      <c r="C320">
        <v>1</v>
      </c>
      <c r="D320" t="s">
        <v>30</v>
      </c>
      <c r="E320" t="s">
        <v>18</v>
      </c>
      <c r="F320" t="str">
        <f t="shared" si="12"/>
        <v>Female</v>
      </c>
      <c r="G320">
        <v>31</v>
      </c>
      <c r="H320">
        <v>0</v>
      </c>
      <c r="I320">
        <v>2</v>
      </c>
      <c r="J320">
        <v>164.86670000000001</v>
      </c>
      <c r="K320" t="s">
        <v>19</v>
      </c>
      <c r="L320" t="s">
        <v>20</v>
      </c>
      <c r="M320" t="str">
        <f t="shared" si="13"/>
        <v>Woman</v>
      </c>
      <c r="N320" t="b">
        <v>0</v>
      </c>
      <c r="O320" t="s">
        <v>16</v>
      </c>
      <c r="P320" t="s">
        <v>22</v>
      </c>
      <c r="Q320" t="str">
        <f t="shared" si="14"/>
        <v>Yes</v>
      </c>
      <c r="R320" t="b">
        <v>0</v>
      </c>
    </row>
    <row r="321" spans="1:18" x14ac:dyDescent="0.3">
      <c r="A321">
        <v>1</v>
      </c>
      <c r="B321" t="s">
        <v>27</v>
      </c>
      <c r="C321">
        <v>1</v>
      </c>
      <c r="D321" t="s">
        <v>30</v>
      </c>
      <c r="E321" t="s">
        <v>18</v>
      </c>
      <c r="F321" t="str">
        <f t="shared" si="12"/>
        <v>Female</v>
      </c>
      <c r="G321">
        <v>40</v>
      </c>
      <c r="H321">
        <v>1</v>
      </c>
      <c r="I321">
        <v>1</v>
      </c>
      <c r="J321">
        <v>134.5</v>
      </c>
      <c r="K321" t="s">
        <v>19</v>
      </c>
      <c r="L321" t="s">
        <v>20</v>
      </c>
      <c r="M321" t="str">
        <f t="shared" si="13"/>
        <v>Woman</v>
      </c>
      <c r="N321" t="b">
        <v>0</v>
      </c>
      <c r="O321" t="s">
        <v>21</v>
      </c>
      <c r="P321" t="s">
        <v>22</v>
      </c>
      <c r="Q321" t="str">
        <f t="shared" si="14"/>
        <v>Yes</v>
      </c>
      <c r="R321" t="b">
        <v>0</v>
      </c>
    </row>
    <row r="322" spans="1:18" x14ac:dyDescent="0.3">
      <c r="A322">
        <v>0</v>
      </c>
      <c r="B322" t="s">
        <v>26</v>
      </c>
      <c r="C322">
        <v>3</v>
      </c>
      <c r="D322" t="s">
        <v>32</v>
      </c>
      <c r="E322" t="s">
        <v>13</v>
      </c>
      <c r="F322" t="str">
        <f t="shared" si="12"/>
        <v>Male</v>
      </c>
      <c r="G322">
        <v>22</v>
      </c>
      <c r="H322">
        <v>0</v>
      </c>
      <c r="I322">
        <v>0</v>
      </c>
      <c r="J322">
        <v>7.25</v>
      </c>
      <c r="K322" t="s">
        <v>14</v>
      </c>
      <c r="L322" t="s">
        <v>15</v>
      </c>
      <c r="M322" t="str">
        <f t="shared" si="13"/>
        <v>Man</v>
      </c>
      <c r="N322" t="b">
        <v>1</v>
      </c>
      <c r="O322" t="s">
        <v>16</v>
      </c>
      <c r="P322" t="s">
        <v>17</v>
      </c>
      <c r="Q322" t="str">
        <f t="shared" si="14"/>
        <v>No</v>
      </c>
      <c r="R322" t="b">
        <v>1</v>
      </c>
    </row>
    <row r="323" spans="1:18" x14ac:dyDescent="0.3">
      <c r="A323">
        <v>0</v>
      </c>
      <c r="B323" t="s">
        <v>26</v>
      </c>
      <c r="C323">
        <v>3</v>
      </c>
      <c r="D323" t="s">
        <v>32</v>
      </c>
      <c r="E323" t="s">
        <v>13</v>
      </c>
      <c r="F323" t="str">
        <f t="shared" ref="F323:F386" si="15">PROPER(E323)</f>
        <v>Male</v>
      </c>
      <c r="G323">
        <v>27</v>
      </c>
      <c r="H323">
        <v>0</v>
      </c>
      <c r="I323">
        <v>0</v>
      </c>
      <c r="J323">
        <v>7.8958000000000004</v>
      </c>
      <c r="K323" t="s">
        <v>14</v>
      </c>
      <c r="L323" t="s">
        <v>15</v>
      </c>
      <c r="M323" t="str">
        <f t="shared" ref="M323:M386" si="16">PROPER(L323)</f>
        <v>Man</v>
      </c>
      <c r="N323" t="b">
        <v>1</v>
      </c>
      <c r="O323" t="s">
        <v>16</v>
      </c>
      <c r="P323" t="s">
        <v>17</v>
      </c>
      <c r="Q323" t="str">
        <f t="shared" ref="Q323:Q386" si="17">PROPER(P323)</f>
        <v>No</v>
      </c>
      <c r="R323" t="b">
        <v>1</v>
      </c>
    </row>
    <row r="324" spans="1:18" x14ac:dyDescent="0.3">
      <c r="A324">
        <v>1</v>
      </c>
      <c r="B324" t="s">
        <v>27</v>
      </c>
      <c r="C324">
        <v>2</v>
      </c>
      <c r="D324" t="s">
        <v>31</v>
      </c>
      <c r="E324" t="s">
        <v>18</v>
      </c>
      <c r="F324" t="str">
        <f t="shared" si="15"/>
        <v>Female</v>
      </c>
      <c r="G324">
        <v>30</v>
      </c>
      <c r="H324">
        <v>0</v>
      </c>
      <c r="I324">
        <v>0</v>
      </c>
      <c r="J324">
        <v>12.35</v>
      </c>
      <c r="K324" t="s">
        <v>25</v>
      </c>
      <c r="L324" t="s">
        <v>20</v>
      </c>
      <c r="M324" t="str">
        <f t="shared" si="16"/>
        <v>Woman</v>
      </c>
      <c r="N324" t="b">
        <v>0</v>
      </c>
      <c r="O324" t="s">
        <v>23</v>
      </c>
      <c r="P324" t="s">
        <v>22</v>
      </c>
      <c r="Q324" t="str">
        <f t="shared" si="17"/>
        <v>Yes</v>
      </c>
      <c r="R324" t="b">
        <v>1</v>
      </c>
    </row>
    <row r="325" spans="1:18" x14ac:dyDescent="0.3">
      <c r="A325">
        <v>1</v>
      </c>
      <c r="B325" t="s">
        <v>27</v>
      </c>
      <c r="C325">
        <v>2</v>
      </c>
      <c r="D325" t="s">
        <v>31</v>
      </c>
      <c r="E325" t="s">
        <v>18</v>
      </c>
      <c r="F325" t="str">
        <f t="shared" si="15"/>
        <v>Female</v>
      </c>
      <c r="G325">
        <v>22</v>
      </c>
      <c r="H325">
        <v>1</v>
      </c>
      <c r="I325">
        <v>1</v>
      </c>
      <c r="J325">
        <v>29</v>
      </c>
      <c r="K325" t="s">
        <v>25</v>
      </c>
      <c r="L325" t="s">
        <v>20</v>
      </c>
      <c r="M325" t="str">
        <f t="shared" si="16"/>
        <v>Woman</v>
      </c>
      <c r="N325" t="b">
        <v>0</v>
      </c>
      <c r="O325" t="s">
        <v>16</v>
      </c>
      <c r="P325" t="s">
        <v>22</v>
      </c>
      <c r="Q325" t="str">
        <f t="shared" si="17"/>
        <v>Yes</v>
      </c>
      <c r="R325" t="b">
        <v>0</v>
      </c>
    </row>
    <row r="326" spans="1:18" x14ac:dyDescent="0.3">
      <c r="A326">
        <v>0</v>
      </c>
      <c r="B326" t="s">
        <v>26</v>
      </c>
      <c r="C326">
        <v>3</v>
      </c>
      <c r="D326" t="s">
        <v>32</v>
      </c>
      <c r="E326" t="s">
        <v>13</v>
      </c>
      <c r="F326" t="str">
        <f t="shared" si="15"/>
        <v>Male</v>
      </c>
      <c r="G326">
        <v>30</v>
      </c>
      <c r="H326">
        <v>8</v>
      </c>
      <c r="I326">
        <v>2</v>
      </c>
      <c r="J326">
        <v>69.55</v>
      </c>
      <c r="K326" t="s">
        <v>14</v>
      </c>
      <c r="L326" t="s">
        <v>15</v>
      </c>
      <c r="M326" t="str">
        <f t="shared" si="16"/>
        <v>Man</v>
      </c>
      <c r="N326" t="b">
        <v>1</v>
      </c>
      <c r="O326" t="s">
        <v>16</v>
      </c>
      <c r="P326" t="s">
        <v>17</v>
      </c>
      <c r="Q326" t="str">
        <f t="shared" si="17"/>
        <v>No</v>
      </c>
      <c r="R326" t="b">
        <v>0</v>
      </c>
    </row>
    <row r="327" spans="1:18" x14ac:dyDescent="0.3">
      <c r="A327">
        <v>1</v>
      </c>
      <c r="B327" t="s">
        <v>27</v>
      </c>
      <c r="C327">
        <v>1</v>
      </c>
      <c r="D327" t="s">
        <v>30</v>
      </c>
      <c r="E327" t="s">
        <v>18</v>
      </c>
      <c r="F327" t="str">
        <f t="shared" si="15"/>
        <v>Female</v>
      </c>
      <c r="G327">
        <v>36</v>
      </c>
      <c r="H327">
        <v>0</v>
      </c>
      <c r="I327">
        <v>0</v>
      </c>
      <c r="J327">
        <v>135.63329999999999</v>
      </c>
      <c r="K327" t="s">
        <v>19</v>
      </c>
      <c r="L327" t="s">
        <v>20</v>
      </c>
      <c r="M327" t="str">
        <f t="shared" si="16"/>
        <v>Woman</v>
      </c>
      <c r="N327" t="b">
        <v>0</v>
      </c>
      <c r="O327" t="s">
        <v>21</v>
      </c>
      <c r="P327" t="s">
        <v>22</v>
      </c>
      <c r="Q327" t="str">
        <f t="shared" si="17"/>
        <v>Yes</v>
      </c>
      <c r="R327" t="b">
        <v>1</v>
      </c>
    </row>
    <row r="328" spans="1:18" x14ac:dyDescent="0.3">
      <c r="A328">
        <v>0</v>
      </c>
      <c r="B328" t="s">
        <v>26</v>
      </c>
      <c r="C328">
        <v>3</v>
      </c>
      <c r="D328" t="s">
        <v>32</v>
      </c>
      <c r="E328" t="s">
        <v>13</v>
      </c>
      <c r="F328" t="str">
        <f t="shared" si="15"/>
        <v>Male</v>
      </c>
      <c r="G328">
        <v>61</v>
      </c>
      <c r="H328">
        <v>0</v>
      </c>
      <c r="I328">
        <v>0</v>
      </c>
      <c r="J328">
        <v>6.2374999999999998</v>
      </c>
      <c r="K328" t="s">
        <v>14</v>
      </c>
      <c r="L328" t="s">
        <v>15</v>
      </c>
      <c r="M328" t="str">
        <f t="shared" si="16"/>
        <v>Man</v>
      </c>
      <c r="N328" t="b">
        <v>1</v>
      </c>
      <c r="O328" t="s">
        <v>16</v>
      </c>
      <c r="P328" t="s">
        <v>17</v>
      </c>
      <c r="Q328" t="str">
        <f t="shared" si="17"/>
        <v>No</v>
      </c>
      <c r="R328" t="b">
        <v>1</v>
      </c>
    </row>
    <row r="329" spans="1:18" x14ac:dyDescent="0.3">
      <c r="A329">
        <v>1</v>
      </c>
      <c r="B329" t="s">
        <v>27</v>
      </c>
      <c r="C329">
        <v>2</v>
      </c>
      <c r="D329" t="s">
        <v>31</v>
      </c>
      <c r="E329" t="s">
        <v>18</v>
      </c>
      <c r="F329" t="str">
        <f t="shared" si="15"/>
        <v>Female</v>
      </c>
      <c r="G329">
        <v>36</v>
      </c>
      <c r="H329">
        <v>0</v>
      </c>
      <c r="I329">
        <v>0</v>
      </c>
      <c r="J329">
        <v>13</v>
      </c>
      <c r="K329" t="s">
        <v>25</v>
      </c>
      <c r="L329" t="s">
        <v>20</v>
      </c>
      <c r="M329" t="str">
        <f t="shared" si="16"/>
        <v>Woman</v>
      </c>
      <c r="N329" t="b">
        <v>0</v>
      </c>
      <c r="O329" t="s">
        <v>16</v>
      </c>
      <c r="P329" t="s">
        <v>22</v>
      </c>
      <c r="Q329" t="str">
        <f t="shared" si="17"/>
        <v>Yes</v>
      </c>
      <c r="R329" t="b">
        <v>1</v>
      </c>
    </row>
    <row r="330" spans="1:18" x14ac:dyDescent="0.3">
      <c r="A330">
        <v>1</v>
      </c>
      <c r="B330" t="s">
        <v>27</v>
      </c>
      <c r="C330">
        <v>3</v>
      </c>
      <c r="D330" t="s">
        <v>32</v>
      </c>
      <c r="E330" t="s">
        <v>18</v>
      </c>
      <c r="F330" t="str">
        <f t="shared" si="15"/>
        <v>Female</v>
      </c>
      <c r="G330">
        <v>31</v>
      </c>
      <c r="H330">
        <v>1</v>
      </c>
      <c r="I330">
        <v>1</v>
      </c>
      <c r="J330">
        <v>20.524999999999999</v>
      </c>
      <c r="K330" t="s">
        <v>14</v>
      </c>
      <c r="L330" t="s">
        <v>20</v>
      </c>
      <c r="M330" t="str">
        <f t="shared" si="16"/>
        <v>Woman</v>
      </c>
      <c r="N330" t="b">
        <v>0</v>
      </c>
      <c r="O330" t="s">
        <v>16</v>
      </c>
      <c r="P330" t="s">
        <v>22</v>
      </c>
      <c r="Q330" t="str">
        <f t="shared" si="17"/>
        <v>Yes</v>
      </c>
      <c r="R330" t="b">
        <v>0</v>
      </c>
    </row>
    <row r="331" spans="1:18" x14ac:dyDescent="0.3">
      <c r="A331">
        <v>1</v>
      </c>
      <c r="B331" t="s">
        <v>27</v>
      </c>
      <c r="C331">
        <v>1</v>
      </c>
      <c r="D331" t="s">
        <v>30</v>
      </c>
      <c r="E331" t="s">
        <v>18</v>
      </c>
      <c r="F331" t="str">
        <f t="shared" si="15"/>
        <v>Female</v>
      </c>
      <c r="G331">
        <v>16</v>
      </c>
      <c r="H331">
        <v>0</v>
      </c>
      <c r="I331">
        <v>1</v>
      </c>
      <c r="J331">
        <v>57.979199999999999</v>
      </c>
      <c r="K331" t="s">
        <v>19</v>
      </c>
      <c r="L331" t="s">
        <v>20</v>
      </c>
      <c r="M331" t="str">
        <f t="shared" si="16"/>
        <v>Woman</v>
      </c>
      <c r="N331" t="b">
        <v>0</v>
      </c>
      <c r="O331" t="s">
        <v>21</v>
      </c>
      <c r="P331" t="s">
        <v>22</v>
      </c>
      <c r="Q331" t="str">
        <f t="shared" si="17"/>
        <v>Yes</v>
      </c>
      <c r="R331" t="b">
        <v>0</v>
      </c>
    </row>
    <row r="332" spans="1:18" x14ac:dyDescent="0.3">
      <c r="A332">
        <v>1</v>
      </c>
      <c r="B332" t="s">
        <v>27</v>
      </c>
      <c r="C332">
        <v>3</v>
      </c>
      <c r="D332" t="s">
        <v>32</v>
      </c>
      <c r="E332" t="s">
        <v>18</v>
      </c>
      <c r="F332" t="str">
        <f t="shared" si="15"/>
        <v>Female</v>
      </c>
      <c r="G332">
        <v>30</v>
      </c>
      <c r="H332">
        <v>2</v>
      </c>
      <c r="I332">
        <v>0</v>
      </c>
      <c r="J332">
        <v>23.25</v>
      </c>
      <c r="K332" t="s">
        <v>14</v>
      </c>
      <c r="L332" t="s">
        <v>20</v>
      </c>
      <c r="M332" t="str">
        <f t="shared" si="16"/>
        <v>Woman</v>
      </c>
      <c r="N332" t="b">
        <v>0</v>
      </c>
      <c r="O332" t="s">
        <v>23</v>
      </c>
      <c r="P332" t="s">
        <v>22</v>
      </c>
      <c r="Q332" t="str">
        <f t="shared" si="17"/>
        <v>Yes</v>
      </c>
      <c r="R332" t="b">
        <v>0</v>
      </c>
    </row>
    <row r="333" spans="1:18" x14ac:dyDescent="0.3">
      <c r="A333">
        <v>0</v>
      </c>
      <c r="B333" t="s">
        <v>26</v>
      </c>
      <c r="C333">
        <v>1</v>
      </c>
      <c r="D333" t="s">
        <v>30</v>
      </c>
      <c r="E333" t="s">
        <v>13</v>
      </c>
      <c r="F333" t="str">
        <f t="shared" si="15"/>
        <v>Male</v>
      </c>
      <c r="G333">
        <v>45.5</v>
      </c>
      <c r="H333">
        <v>0</v>
      </c>
      <c r="I333">
        <v>0</v>
      </c>
      <c r="J333">
        <v>28.5</v>
      </c>
      <c r="K333" t="s">
        <v>19</v>
      </c>
      <c r="L333" t="s">
        <v>15</v>
      </c>
      <c r="M333" t="str">
        <f t="shared" si="16"/>
        <v>Man</v>
      </c>
      <c r="N333" t="b">
        <v>1</v>
      </c>
      <c r="O333" t="s">
        <v>16</v>
      </c>
      <c r="P333" t="s">
        <v>17</v>
      </c>
      <c r="Q333" t="str">
        <f t="shared" si="17"/>
        <v>No</v>
      </c>
      <c r="R333" t="b">
        <v>1</v>
      </c>
    </row>
    <row r="334" spans="1:18" x14ac:dyDescent="0.3">
      <c r="A334">
        <v>0</v>
      </c>
      <c r="B334" t="s">
        <v>26</v>
      </c>
      <c r="C334">
        <v>1</v>
      </c>
      <c r="D334" t="s">
        <v>30</v>
      </c>
      <c r="E334" t="s">
        <v>13</v>
      </c>
      <c r="F334" t="str">
        <f t="shared" si="15"/>
        <v>Male</v>
      </c>
      <c r="G334">
        <v>38</v>
      </c>
      <c r="H334">
        <v>0</v>
      </c>
      <c r="I334">
        <v>1</v>
      </c>
      <c r="J334">
        <v>153.46250000000001</v>
      </c>
      <c r="K334" t="s">
        <v>19</v>
      </c>
      <c r="L334" t="s">
        <v>15</v>
      </c>
      <c r="M334" t="str">
        <f t="shared" si="16"/>
        <v>Man</v>
      </c>
      <c r="N334" t="b">
        <v>1</v>
      </c>
      <c r="O334" t="s">
        <v>16</v>
      </c>
      <c r="P334" t="s">
        <v>17</v>
      </c>
      <c r="Q334" t="str">
        <f t="shared" si="17"/>
        <v>No</v>
      </c>
      <c r="R334" t="b">
        <v>0</v>
      </c>
    </row>
    <row r="335" spans="1:18" x14ac:dyDescent="0.3">
      <c r="A335">
        <v>0</v>
      </c>
      <c r="B335" t="s">
        <v>26</v>
      </c>
      <c r="C335">
        <v>3</v>
      </c>
      <c r="D335" t="s">
        <v>32</v>
      </c>
      <c r="E335" t="s">
        <v>13</v>
      </c>
      <c r="F335" t="str">
        <f t="shared" si="15"/>
        <v>Male</v>
      </c>
      <c r="G335">
        <v>16</v>
      </c>
      <c r="H335">
        <v>2</v>
      </c>
      <c r="I335">
        <v>0</v>
      </c>
      <c r="J335">
        <v>18</v>
      </c>
      <c r="K335" t="s">
        <v>14</v>
      </c>
      <c r="L335" t="s">
        <v>15</v>
      </c>
      <c r="M335" t="str">
        <f t="shared" si="16"/>
        <v>Man</v>
      </c>
      <c r="N335" t="b">
        <v>1</v>
      </c>
      <c r="O335" t="s">
        <v>16</v>
      </c>
      <c r="P335" t="s">
        <v>17</v>
      </c>
      <c r="Q335" t="str">
        <f t="shared" si="17"/>
        <v>No</v>
      </c>
      <c r="R335" t="b">
        <v>0</v>
      </c>
    </row>
    <row r="336" spans="1:18" x14ac:dyDescent="0.3">
      <c r="A336">
        <v>1</v>
      </c>
      <c r="B336" t="s">
        <v>27</v>
      </c>
      <c r="C336">
        <v>1</v>
      </c>
      <c r="D336" t="s">
        <v>30</v>
      </c>
      <c r="E336" t="s">
        <v>18</v>
      </c>
      <c r="F336" t="str">
        <f t="shared" si="15"/>
        <v>Female</v>
      </c>
      <c r="G336">
        <v>30</v>
      </c>
      <c r="H336">
        <v>1</v>
      </c>
      <c r="I336">
        <v>0</v>
      </c>
      <c r="J336">
        <v>133.65</v>
      </c>
      <c r="K336" t="s">
        <v>19</v>
      </c>
      <c r="L336" t="s">
        <v>20</v>
      </c>
      <c r="M336" t="str">
        <f t="shared" si="16"/>
        <v>Woman</v>
      </c>
      <c r="N336" t="b">
        <v>0</v>
      </c>
      <c r="O336" t="s">
        <v>16</v>
      </c>
      <c r="P336" t="s">
        <v>22</v>
      </c>
      <c r="Q336" t="str">
        <f t="shared" si="17"/>
        <v>Yes</v>
      </c>
      <c r="R336" t="b">
        <v>0</v>
      </c>
    </row>
    <row r="337" spans="1:18" x14ac:dyDescent="0.3">
      <c r="A337">
        <v>0</v>
      </c>
      <c r="B337" t="s">
        <v>26</v>
      </c>
      <c r="C337">
        <v>3</v>
      </c>
      <c r="D337" t="s">
        <v>32</v>
      </c>
      <c r="E337" t="s">
        <v>13</v>
      </c>
      <c r="F337" t="str">
        <f t="shared" si="15"/>
        <v>Male</v>
      </c>
      <c r="G337">
        <v>30</v>
      </c>
      <c r="H337">
        <v>0</v>
      </c>
      <c r="I337">
        <v>0</v>
      </c>
      <c r="J337">
        <v>7.8958000000000004</v>
      </c>
      <c r="K337" t="s">
        <v>14</v>
      </c>
      <c r="L337" t="s">
        <v>15</v>
      </c>
      <c r="M337" t="str">
        <f t="shared" si="16"/>
        <v>Man</v>
      </c>
      <c r="N337" t="b">
        <v>1</v>
      </c>
      <c r="O337" t="s">
        <v>16</v>
      </c>
      <c r="P337" t="s">
        <v>17</v>
      </c>
      <c r="Q337" t="str">
        <f t="shared" si="17"/>
        <v>No</v>
      </c>
      <c r="R337" t="b">
        <v>1</v>
      </c>
    </row>
    <row r="338" spans="1:18" x14ac:dyDescent="0.3">
      <c r="A338">
        <v>0</v>
      </c>
      <c r="B338" t="s">
        <v>26</v>
      </c>
      <c r="C338">
        <v>1</v>
      </c>
      <c r="D338" t="s">
        <v>30</v>
      </c>
      <c r="E338" t="s">
        <v>13</v>
      </c>
      <c r="F338" t="str">
        <f t="shared" si="15"/>
        <v>Male</v>
      </c>
      <c r="G338">
        <v>29</v>
      </c>
      <c r="H338">
        <v>1</v>
      </c>
      <c r="I338">
        <v>0</v>
      </c>
      <c r="J338">
        <v>66.599999999999994</v>
      </c>
      <c r="K338" t="s">
        <v>19</v>
      </c>
      <c r="L338" t="s">
        <v>15</v>
      </c>
      <c r="M338" t="str">
        <f t="shared" si="16"/>
        <v>Man</v>
      </c>
      <c r="N338" t="b">
        <v>1</v>
      </c>
      <c r="O338" t="s">
        <v>16</v>
      </c>
      <c r="P338" t="s">
        <v>17</v>
      </c>
      <c r="Q338" t="str">
        <f t="shared" si="17"/>
        <v>No</v>
      </c>
      <c r="R338" t="b">
        <v>0</v>
      </c>
    </row>
    <row r="339" spans="1:18" x14ac:dyDescent="0.3">
      <c r="A339">
        <v>1</v>
      </c>
      <c r="B339" t="s">
        <v>27</v>
      </c>
      <c r="C339">
        <v>1</v>
      </c>
      <c r="D339" t="s">
        <v>30</v>
      </c>
      <c r="E339" t="s">
        <v>18</v>
      </c>
      <c r="F339" t="str">
        <f t="shared" si="15"/>
        <v>Female</v>
      </c>
      <c r="G339">
        <v>41</v>
      </c>
      <c r="H339">
        <v>0</v>
      </c>
      <c r="I339">
        <v>0</v>
      </c>
      <c r="J339">
        <v>134.5</v>
      </c>
      <c r="K339" t="s">
        <v>19</v>
      </c>
      <c r="L339" t="s">
        <v>20</v>
      </c>
      <c r="M339" t="str">
        <f t="shared" si="16"/>
        <v>Woman</v>
      </c>
      <c r="N339" t="b">
        <v>0</v>
      </c>
      <c r="O339" t="s">
        <v>21</v>
      </c>
      <c r="P339" t="s">
        <v>22</v>
      </c>
      <c r="Q339" t="str">
        <f t="shared" si="17"/>
        <v>Yes</v>
      </c>
      <c r="R339" t="b">
        <v>1</v>
      </c>
    </row>
    <row r="340" spans="1:18" x14ac:dyDescent="0.3">
      <c r="A340">
        <v>1</v>
      </c>
      <c r="B340" t="s">
        <v>27</v>
      </c>
      <c r="C340">
        <v>3</v>
      </c>
      <c r="D340" t="s">
        <v>32</v>
      </c>
      <c r="E340" t="s">
        <v>13</v>
      </c>
      <c r="F340" t="str">
        <f t="shared" si="15"/>
        <v>Male</v>
      </c>
      <c r="G340">
        <v>45</v>
      </c>
      <c r="H340">
        <v>0</v>
      </c>
      <c r="I340">
        <v>0</v>
      </c>
      <c r="J340">
        <v>8.0500000000000007</v>
      </c>
      <c r="K340" t="s">
        <v>14</v>
      </c>
      <c r="L340" t="s">
        <v>15</v>
      </c>
      <c r="M340" t="str">
        <f t="shared" si="16"/>
        <v>Man</v>
      </c>
      <c r="N340" t="b">
        <v>1</v>
      </c>
      <c r="O340" t="s">
        <v>16</v>
      </c>
      <c r="P340" t="s">
        <v>22</v>
      </c>
      <c r="Q340" t="str">
        <f t="shared" si="17"/>
        <v>Yes</v>
      </c>
      <c r="R340" t="b">
        <v>1</v>
      </c>
    </row>
    <row r="341" spans="1:18" x14ac:dyDescent="0.3">
      <c r="A341">
        <v>0</v>
      </c>
      <c r="B341" t="s">
        <v>26</v>
      </c>
      <c r="C341">
        <v>1</v>
      </c>
      <c r="D341" t="s">
        <v>30</v>
      </c>
      <c r="E341" t="s">
        <v>13</v>
      </c>
      <c r="F341" t="str">
        <f t="shared" si="15"/>
        <v>Male</v>
      </c>
      <c r="G341">
        <v>45</v>
      </c>
      <c r="H341">
        <v>0</v>
      </c>
      <c r="I341">
        <v>0</v>
      </c>
      <c r="J341">
        <v>35.5</v>
      </c>
      <c r="K341" t="s">
        <v>19</v>
      </c>
      <c r="L341" t="s">
        <v>15</v>
      </c>
      <c r="M341" t="str">
        <f t="shared" si="16"/>
        <v>Man</v>
      </c>
      <c r="N341" t="b">
        <v>1</v>
      </c>
      <c r="O341" t="s">
        <v>16</v>
      </c>
      <c r="P341" t="s">
        <v>17</v>
      </c>
      <c r="Q341" t="str">
        <f t="shared" si="17"/>
        <v>No</v>
      </c>
      <c r="R341" t="b">
        <v>1</v>
      </c>
    </row>
    <row r="342" spans="1:18" x14ac:dyDescent="0.3">
      <c r="A342">
        <v>1</v>
      </c>
      <c r="B342" t="s">
        <v>27</v>
      </c>
      <c r="C342">
        <v>2</v>
      </c>
      <c r="D342" t="s">
        <v>31</v>
      </c>
      <c r="E342" t="s">
        <v>13</v>
      </c>
      <c r="F342" t="str">
        <f t="shared" si="15"/>
        <v>Male</v>
      </c>
      <c r="G342">
        <v>2</v>
      </c>
      <c r="H342">
        <v>1</v>
      </c>
      <c r="I342">
        <v>1</v>
      </c>
      <c r="J342">
        <v>26</v>
      </c>
      <c r="K342" t="s">
        <v>25</v>
      </c>
      <c r="L342" t="s">
        <v>24</v>
      </c>
      <c r="M342" t="str">
        <f t="shared" si="16"/>
        <v>Child</v>
      </c>
      <c r="N342" t="b">
        <v>0</v>
      </c>
      <c r="O342" t="s">
        <v>16</v>
      </c>
      <c r="P342" t="s">
        <v>22</v>
      </c>
      <c r="Q342" t="str">
        <f t="shared" si="17"/>
        <v>Yes</v>
      </c>
      <c r="R342" t="b">
        <v>0</v>
      </c>
    </row>
    <row r="343" spans="1:18" x14ac:dyDescent="0.3">
      <c r="A343">
        <v>1</v>
      </c>
      <c r="B343" t="s">
        <v>27</v>
      </c>
      <c r="C343">
        <v>1</v>
      </c>
      <c r="D343" t="s">
        <v>30</v>
      </c>
      <c r="E343" t="s">
        <v>18</v>
      </c>
      <c r="F343" t="str">
        <f t="shared" si="15"/>
        <v>Female</v>
      </c>
      <c r="G343">
        <v>24</v>
      </c>
      <c r="H343">
        <v>3</v>
      </c>
      <c r="I343">
        <v>2</v>
      </c>
      <c r="J343">
        <v>263</v>
      </c>
      <c r="K343" t="s">
        <v>19</v>
      </c>
      <c r="L343" t="s">
        <v>20</v>
      </c>
      <c r="M343" t="str">
        <f t="shared" si="16"/>
        <v>Woman</v>
      </c>
      <c r="N343" t="b">
        <v>0</v>
      </c>
      <c r="O343" t="s">
        <v>16</v>
      </c>
      <c r="P343" t="s">
        <v>22</v>
      </c>
      <c r="Q343" t="str">
        <f t="shared" si="17"/>
        <v>Yes</v>
      </c>
      <c r="R343" t="b">
        <v>0</v>
      </c>
    </row>
    <row r="344" spans="1:18" x14ac:dyDescent="0.3">
      <c r="A344">
        <v>0</v>
      </c>
      <c r="B344" t="s">
        <v>26</v>
      </c>
      <c r="C344">
        <v>2</v>
      </c>
      <c r="D344" t="s">
        <v>31</v>
      </c>
      <c r="E344" t="s">
        <v>13</v>
      </c>
      <c r="F344" t="str">
        <f t="shared" si="15"/>
        <v>Male</v>
      </c>
      <c r="G344">
        <v>28</v>
      </c>
      <c r="H344">
        <v>0</v>
      </c>
      <c r="I344">
        <v>0</v>
      </c>
      <c r="J344">
        <v>13</v>
      </c>
      <c r="K344" t="s">
        <v>25</v>
      </c>
      <c r="L344" t="s">
        <v>15</v>
      </c>
      <c r="M344" t="str">
        <f t="shared" si="16"/>
        <v>Man</v>
      </c>
      <c r="N344" t="b">
        <v>1</v>
      </c>
      <c r="O344" t="s">
        <v>16</v>
      </c>
      <c r="P344" t="s">
        <v>17</v>
      </c>
      <c r="Q344" t="str">
        <f t="shared" si="17"/>
        <v>No</v>
      </c>
      <c r="R344" t="b">
        <v>1</v>
      </c>
    </row>
    <row r="345" spans="1:18" x14ac:dyDescent="0.3">
      <c r="A345">
        <v>0</v>
      </c>
      <c r="B345" t="s">
        <v>26</v>
      </c>
      <c r="C345">
        <v>2</v>
      </c>
      <c r="D345" t="s">
        <v>31</v>
      </c>
      <c r="E345" t="s">
        <v>13</v>
      </c>
      <c r="F345" t="str">
        <f t="shared" si="15"/>
        <v>Male</v>
      </c>
      <c r="G345">
        <v>25</v>
      </c>
      <c r="H345">
        <v>0</v>
      </c>
      <c r="I345">
        <v>0</v>
      </c>
      <c r="J345">
        <v>13</v>
      </c>
      <c r="K345" t="s">
        <v>25</v>
      </c>
      <c r="L345" t="s">
        <v>15</v>
      </c>
      <c r="M345" t="str">
        <f t="shared" si="16"/>
        <v>Man</v>
      </c>
      <c r="N345" t="b">
        <v>1</v>
      </c>
      <c r="O345" t="s">
        <v>16</v>
      </c>
      <c r="P345" t="s">
        <v>17</v>
      </c>
      <c r="Q345" t="str">
        <f t="shared" si="17"/>
        <v>No</v>
      </c>
      <c r="R345" t="b">
        <v>1</v>
      </c>
    </row>
    <row r="346" spans="1:18" x14ac:dyDescent="0.3">
      <c r="A346">
        <v>0</v>
      </c>
      <c r="B346" t="s">
        <v>26</v>
      </c>
      <c r="C346">
        <v>2</v>
      </c>
      <c r="D346" t="s">
        <v>31</v>
      </c>
      <c r="E346" t="s">
        <v>13</v>
      </c>
      <c r="F346" t="str">
        <f t="shared" si="15"/>
        <v>Male</v>
      </c>
      <c r="G346">
        <v>36</v>
      </c>
      <c r="H346">
        <v>0</v>
      </c>
      <c r="I346">
        <v>0</v>
      </c>
      <c r="J346">
        <v>13</v>
      </c>
      <c r="K346" t="s">
        <v>25</v>
      </c>
      <c r="L346" t="s">
        <v>15</v>
      </c>
      <c r="M346" t="str">
        <f t="shared" si="16"/>
        <v>Man</v>
      </c>
      <c r="N346" t="b">
        <v>1</v>
      </c>
      <c r="O346" t="s">
        <v>16</v>
      </c>
      <c r="P346" t="s">
        <v>17</v>
      </c>
      <c r="Q346" t="str">
        <f t="shared" si="17"/>
        <v>No</v>
      </c>
      <c r="R346" t="b">
        <v>1</v>
      </c>
    </row>
    <row r="347" spans="1:18" x14ac:dyDescent="0.3">
      <c r="A347">
        <v>1</v>
      </c>
      <c r="B347" t="s">
        <v>27</v>
      </c>
      <c r="C347">
        <v>2</v>
      </c>
      <c r="D347" t="s">
        <v>31</v>
      </c>
      <c r="E347" t="s">
        <v>18</v>
      </c>
      <c r="F347" t="str">
        <f t="shared" si="15"/>
        <v>Female</v>
      </c>
      <c r="G347">
        <v>24</v>
      </c>
      <c r="H347">
        <v>0</v>
      </c>
      <c r="I347">
        <v>0</v>
      </c>
      <c r="J347">
        <v>13</v>
      </c>
      <c r="K347" t="s">
        <v>25</v>
      </c>
      <c r="L347" t="s">
        <v>20</v>
      </c>
      <c r="M347" t="str">
        <f t="shared" si="16"/>
        <v>Woman</v>
      </c>
      <c r="N347" t="b">
        <v>0</v>
      </c>
      <c r="O347" t="s">
        <v>16</v>
      </c>
      <c r="P347" t="s">
        <v>22</v>
      </c>
      <c r="Q347" t="str">
        <f t="shared" si="17"/>
        <v>Yes</v>
      </c>
      <c r="R347" t="b">
        <v>1</v>
      </c>
    </row>
    <row r="348" spans="1:18" x14ac:dyDescent="0.3">
      <c r="A348">
        <v>1</v>
      </c>
      <c r="B348" t="s">
        <v>27</v>
      </c>
      <c r="C348">
        <v>2</v>
      </c>
      <c r="D348" t="s">
        <v>31</v>
      </c>
      <c r="E348" t="s">
        <v>18</v>
      </c>
      <c r="F348" t="str">
        <f t="shared" si="15"/>
        <v>Female</v>
      </c>
      <c r="G348">
        <v>40</v>
      </c>
      <c r="H348">
        <v>0</v>
      </c>
      <c r="I348">
        <v>0</v>
      </c>
      <c r="J348">
        <v>13</v>
      </c>
      <c r="K348" t="s">
        <v>25</v>
      </c>
      <c r="L348" t="s">
        <v>20</v>
      </c>
      <c r="M348" t="str">
        <f t="shared" si="16"/>
        <v>Woman</v>
      </c>
      <c r="N348" t="b">
        <v>0</v>
      </c>
      <c r="O348" t="s">
        <v>16</v>
      </c>
      <c r="P348" t="s">
        <v>22</v>
      </c>
      <c r="Q348" t="str">
        <f t="shared" si="17"/>
        <v>Yes</v>
      </c>
      <c r="R348" t="b">
        <v>1</v>
      </c>
    </row>
    <row r="349" spans="1:18" x14ac:dyDescent="0.3">
      <c r="A349">
        <v>1</v>
      </c>
      <c r="B349" t="s">
        <v>27</v>
      </c>
      <c r="C349">
        <v>3</v>
      </c>
      <c r="D349" t="s">
        <v>32</v>
      </c>
      <c r="E349" t="s">
        <v>18</v>
      </c>
      <c r="F349" t="str">
        <f t="shared" si="15"/>
        <v>Female</v>
      </c>
      <c r="G349">
        <v>30</v>
      </c>
      <c r="H349">
        <v>1</v>
      </c>
      <c r="I349">
        <v>0</v>
      </c>
      <c r="J349">
        <v>16.100000000000001</v>
      </c>
      <c r="K349" t="s">
        <v>14</v>
      </c>
      <c r="L349" t="s">
        <v>20</v>
      </c>
      <c r="M349" t="str">
        <f t="shared" si="16"/>
        <v>Woman</v>
      </c>
      <c r="N349" t="b">
        <v>0</v>
      </c>
      <c r="O349" t="s">
        <v>16</v>
      </c>
      <c r="P349" t="s">
        <v>22</v>
      </c>
      <c r="Q349" t="str">
        <f t="shared" si="17"/>
        <v>Yes</v>
      </c>
      <c r="R349" t="b">
        <v>0</v>
      </c>
    </row>
    <row r="350" spans="1:18" x14ac:dyDescent="0.3">
      <c r="A350">
        <v>1</v>
      </c>
      <c r="B350" t="s">
        <v>27</v>
      </c>
      <c r="C350">
        <v>3</v>
      </c>
      <c r="D350" t="s">
        <v>32</v>
      </c>
      <c r="E350" t="s">
        <v>13</v>
      </c>
      <c r="F350" t="str">
        <f t="shared" si="15"/>
        <v>Male</v>
      </c>
      <c r="G350">
        <v>3</v>
      </c>
      <c r="H350">
        <v>1</v>
      </c>
      <c r="I350">
        <v>1</v>
      </c>
      <c r="J350">
        <v>15.9</v>
      </c>
      <c r="K350" t="s">
        <v>14</v>
      </c>
      <c r="L350" t="s">
        <v>24</v>
      </c>
      <c r="M350" t="str">
        <f t="shared" si="16"/>
        <v>Child</v>
      </c>
      <c r="N350" t="b">
        <v>0</v>
      </c>
      <c r="O350" t="s">
        <v>16</v>
      </c>
      <c r="P350" t="s">
        <v>22</v>
      </c>
      <c r="Q350" t="str">
        <f t="shared" si="17"/>
        <v>Yes</v>
      </c>
      <c r="R350" t="b">
        <v>0</v>
      </c>
    </row>
    <row r="351" spans="1:18" x14ac:dyDescent="0.3">
      <c r="A351">
        <v>0</v>
      </c>
      <c r="B351" t="s">
        <v>26</v>
      </c>
      <c r="C351">
        <v>3</v>
      </c>
      <c r="D351" t="s">
        <v>32</v>
      </c>
      <c r="E351" t="s">
        <v>13</v>
      </c>
      <c r="F351" t="str">
        <f t="shared" si="15"/>
        <v>Male</v>
      </c>
      <c r="G351">
        <v>42</v>
      </c>
      <c r="H351">
        <v>0</v>
      </c>
      <c r="I351">
        <v>0</v>
      </c>
      <c r="J351">
        <v>8.6624999999999996</v>
      </c>
      <c r="K351" t="s">
        <v>14</v>
      </c>
      <c r="L351" t="s">
        <v>15</v>
      </c>
      <c r="M351" t="str">
        <f t="shared" si="16"/>
        <v>Man</v>
      </c>
      <c r="N351" t="b">
        <v>1</v>
      </c>
      <c r="O351" t="s">
        <v>16</v>
      </c>
      <c r="P351" t="s">
        <v>17</v>
      </c>
      <c r="Q351" t="str">
        <f t="shared" si="17"/>
        <v>No</v>
      </c>
      <c r="R351" t="b">
        <v>1</v>
      </c>
    </row>
    <row r="352" spans="1:18" x14ac:dyDescent="0.3">
      <c r="A352">
        <v>0</v>
      </c>
      <c r="B352" t="s">
        <v>26</v>
      </c>
      <c r="C352">
        <v>3</v>
      </c>
      <c r="D352" t="s">
        <v>32</v>
      </c>
      <c r="E352" t="s">
        <v>13</v>
      </c>
      <c r="F352" t="str">
        <f t="shared" si="15"/>
        <v>Male</v>
      </c>
      <c r="G352">
        <v>23</v>
      </c>
      <c r="H352">
        <v>0</v>
      </c>
      <c r="I352">
        <v>0</v>
      </c>
      <c r="J352">
        <v>9.2249999999999996</v>
      </c>
      <c r="K352" t="s">
        <v>14</v>
      </c>
      <c r="L352" t="s">
        <v>15</v>
      </c>
      <c r="M352" t="str">
        <f t="shared" si="16"/>
        <v>Man</v>
      </c>
      <c r="N352" t="b">
        <v>1</v>
      </c>
      <c r="O352" t="s">
        <v>16</v>
      </c>
      <c r="P352" t="s">
        <v>17</v>
      </c>
      <c r="Q352" t="str">
        <f t="shared" si="17"/>
        <v>No</v>
      </c>
      <c r="R352" t="b">
        <v>1</v>
      </c>
    </row>
    <row r="353" spans="1:18" x14ac:dyDescent="0.3">
      <c r="A353">
        <v>0</v>
      </c>
      <c r="B353" t="s">
        <v>26</v>
      </c>
      <c r="C353">
        <v>1</v>
      </c>
      <c r="D353" t="s">
        <v>30</v>
      </c>
      <c r="E353" t="s">
        <v>13</v>
      </c>
      <c r="F353" t="str">
        <f t="shared" si="15"/>
        <v>Male</v>
      </c>
      <c r="G353">
        <v>30</v>
      </c>
      <c r="H353">
        <v>0</v>
      </c>
      <c r="I353">
        <v>0</v>
      </c>
      <c r="J353">
        <v>35</v>
      </c>
      <c r="K353" t="s">
        <v>19</v>
      </c>
      <c r="L353" t="s">
        <v>15</v>
      </c>
      <c r="M353" t="str">
        <f t="shared" si="16"/>
        <v>Man</v>
      </c>
      <c r="N353" t="b">
        <v>1</v>
      </c>
      <c r="O353" t="s">
        <v>16</v>
      </c>
      <c r="P353" t="s">
        <v>17</v>
      </c>
      <c r="Q353" t="str">
        <f t="shared" si="17"/>
        <v>No</v>
      </c>
      <c r="R353" t="b">
        <v>1</v>
      </c>
    </row>
    <row r="354" spans="1:18" x14ac:dyDescent="0.3">
      <c r="A354">
        <v>0</v>
      </c>
      <c r="B354" t="s">
        <v>26</v>
      </c>
      <c r="C354">
        <v>3</v>
      </c>
      <c r="D354" t="s">
        <v>32</v>
      </c>
      <c r="E354" t="s">
        <v>13</v>
      </c>
      <c r="F354" t="str">
        <f t="shared" si="15"/>
        <v>Male</v>
      </c>
      <c r="G354">
        <v>15</v>
      </c>
      <c r="H354">
        <v>1</v>
      </c>
      <c r="I354">
        <v>1</v>
      </c>
      <c r="J354">
        <v>7.2291999999999996</v>
      </c>
      <c r="K354" t="s">
        <v>14</v>
      </c>
      <c r="L354" t="s">
        <v>24</v>
      </c>
      <c r="M354" t="str">
        <f t="shared" si="16"/>
        <v>Child</v>
      </c>
      <c r="N354" t="b">
        <v>0</v>
      </c>
      <c r="O354" t="s">
        <v>21</v>
      </c>
      <c r="P354" t="s">
        <v>17</v>
      </c>
      <c r="Q354" t="str">
        <f t="shared" si="17"/>
        <v>No</v>
      </c>
      <c r="R354" t="b">
        <v>0</v>
      </c>
    </row>
    <row r="355" spans="1:18" x14ac:dyDescent="0.3">
      <c r="A355">
        <v>0</v>
      </c>
      <c r="B355" t="s">
        <v>26</v>
      </c>
      <c r="C355">
        <v>3</v>
      </c>
      <c r="D355" t="s">
        <v>32</v>
      </c>
      <c r="E355" t="s">
        <v>13</v>
      </c>
      <c r="F355" t="str">
        <f t="shared" si="15"/>
        <v>Male</v>
      </c>
      <c r="G355">
        <v>25</v>
      </c>
      <c r="H355">
        <v>1</v>
      </c>
      <c r="I355">
        <v>0</v>
      </c>
      <c r="J355">
        <v>17.8</v>
      </c>
      <c r="K355" t="s">
        <v>14</v>
      </c>
      <c r="L355" t="s">
        <v>15</v>
      </c>
      <c r="M355" t="str">
        <f t="shared" si="16"/>
        <v>Man</v>
      </c>
      <c r="N355" t="b">
        <v>1</v>
      </c>
      <c r="O355" t="s">
        <v>16</v>
      </c>
      <c r="P355" t="s">
        <v>17</v>
      </c>
      <c r="Q355" t="str">
        <f t="shared" si="17"/>
        <v>No</v>
      </c>
      <c r="R355" t="b">
        <v>0</v>
      </c>
    </row>
    <row r="356" spans="1:18" x14ac:dyDescent="0.3">
      <c r="A356">
        <v>0</v>
      </c>
      <c r="B356" t="s">
        <v>26</v>
      </c>
      <c r="C356">
        <v>3</v>
      </c>
      <c r="D356" t="s">
        <v>32</v>
      </c>
      <c r="E356" t="s">
        <v>13</v>
      </c>
      <c r="F356" t="str">
        <f t="shared" si="15"/>
        <v>Male</v>
      </c>
      <c r="G356">
        <v>30</v>
      </c>
      <c r="H356">
        <v>0</v>
      </c>
      <c r="I356">
        <v>0</v>
      </c>
      <c r="J356">
        <v>7.2249999999999996</v>
      </c>
      <c r="K356" t="s">
        <v>14</v>
      </c>
      <c r="L356" t="s">
        <v>15</v>
      </c>
      <c r="M356" t="str">
        <f t="shared" si="16"/>
        <v>Man</v>
      </c>
      <c r="N356" t="b">
        <v>1</v>
      </c>
      <c r="O356" t="s">
        <v>21</v>
      </c>
      <c r="P356" t="s">
        <v>17</v>
      </c>
      <c r="Q356" t="str">
        <f t="shared" si="17"/>
        <v>No</v>
      </c>
      <c r="R356" t="b">
        <v>1</v>
      </c>
    </row>
    <row r="357" spans="1:18" x14ac:dyDescent="0.3">
      <c r="A357">
        <v>0</v>
      </c>
      <c r="B357" t="s">
        <v>26</v>
      </c>
      <c r="C357">
        <v>3</v>
      </c>
      <c r="D357" t="s">
        <v>32</v>
      </c>
      <c r="E357" t="s">
        <v>13</v>
      </c>
      <c r="F357" t="str">
        <f t="shared" si="15"/>
        <v>Male</v>
      </c>
      <c r="G357">
        <v>28</v>
      </c>
      <c r="H357">
        <v>0</v>
      </c>
      <c r="I357">
        <v>0</v>
      </c>
      <c r="J357">
        <v>9.5</v>
      </c>
      <c r="K357" t="s">
        <v>14</v>
      </c>
      <c r="L357" t="s">
        <v>15</v>
      </c>
      <c r="M357" t="str">
        <f t="shared" si="16"/>
        <v>Man</v>
      </c>
      <c r="N357" t="b">
        <v>1</v>
      </c>
      <c r="O357" t="s">
        <v>16</v>
      </c>
      <c r="P357" t="s">
        <v>17</v>
      </c>
      <c r="Q357" t="str">
        <f t="shared" si="17"/>
        <v>No</v>
      </c>
      <c r="R357" t="b">
        <v>1</v>
      </c>
    </row>
    <row r="358" spans="1:18" x14ac:dyDescent="0.3">
      <c r="A358">
        <v>1</v>
      </c>
      <c r="B358" t="s">
        <v>27</v>
      </c>
      <c r="C358">
        <v>1</v>
      </c>
      <c r="D358" t="s">
        <v>30</v>
      </c>
      <c r="E358" t="s">
        <v>18</v>
      </c>
      <c r="F358" t="str">
        <f t="shared" si="15"/>
        <v>Female</v>
      </c>
      <c r="G358">
        <v>22</v>
      </c>
      <c r="H358">
        <v>0</v>
      </c>
      <c r="I358">
        <v>1</v>
      </c>
      <c r="J358">
        <v>55</v>
      </c>
      <c r="K358" t="s">
        <v>19</v>
      </c>
      <c r="L358" t="s">
        <v>20</v>
      </c>
      <c r="M358" t="str">
        <f t="shared" si="16"/>
        <v>Woman</v>
      </c>
      <c r="N358" t="b">
        <v>0</v>
      </c>
      <c r="O358" t="s">
        <v>16</v>
      </c>
      <c r="P358" t="s">
        <v>22</v>
      </c>
      <c r="Q358" t="str">
        <f t="shared" si="17"/>
        <v>Yes</v>
      </c>
      <c r="R358" t="b">
        <v>0</v>
      </c>
    </row>
    <row r="359" spans="1:18" x14ac:dyDescent="0.3">
      <c r="A359">
        <v>0</v>
      </c>
      <c r="B359" t="s">
        <v>26</v>
      </c>
      <c r="C359">
        <v>2</v>
      </c>
      <c r="D359" t="s">
        <v>31</v>
      </c>
      <c r="E359" t="s">
        <v>18</v>
      </c>
      <c r="F359" t="str">
        <f t="shared" si="15"/>
        <v>Female</v>
      </c>
      <c r="G359">
        <v>38</v>
      </c>
      <c r="H359">
        <v>0</v>
      </c>
      <c r="I359">
        <v>0</v>
      </c>
      <c r="J359">
        <v>13</v>
      </c>
      <c r="K359" t="s">
        <v>25</v>
      </c>
      <c r="L359" t="s">
        <v>20</v>
      </c>
      <c r="M359" t="str">
        <f t="shared" si="16"/>
        <v>Woman</v>
      </c>
      <c r="N359" t="b">
        <v>0</v>
      </c>
      <c r="O359" t="s">
        <v>16</v>
      </c>
      <c r="P359" t="s">
        <v>17</v>
      </c>
      <c r="Q359" t="str">
        <f t="shared" si="17"/>
        <v>No</v>
      </c>
      <c r="R359" t="b">
        <v>1</v>
      </c>
    </row>
    <row r="360" spans="1:18" x14ac:dyDescent="0.3">
      <c r="A360">
        <v>1</v>
      </c>
      <c r="B360" t="s">
        <v>27</v>
      </c>
      <c r="C360">
        <v>3</v>
      </c>
      <c r="D360" t="s">
        <v>32</v>
      </c>
      <c r="E360" t="s">
        <v>18</v>
      </c>
      <c r="F360" t="str">
        <f t="shared" si="15"/>
        <v>Female</v>
      </c>
      <c r="G360">
        <v>30</v>
      </c>
      <c r="H360">
        <v>0</v>
      </c>
      <c r="I360">
        <v>0</v>
      </c>
      <c r="J360">
        <v>7.8792</v>
      </c>
      <c r="K360" t="s">
        <v>14</v>
      </c>
      <c r="L360" t="s">
        <v>20</v>
      </c>
      <c r="M360" t="str">
        <f t="shared" si="16"/>
        <v>Woman</v>
      </c>
      <c r="N360" t="b">
        <v>0</v>
      </c>
      <c r="O360" t="s">
        <v>23</v>
      </c>
      <c r="P360" t="s">
        <v>22</v>
      </c>
      <c r="Q360" t="str">
        <f t="shared" si="17"/>
        <v>Yes</v>
      </c>
      <c r="R360" t="b">
        <v>1</v>
      </c>
    </row>
    <row r="361" spans="1:18" x14ac:dyDescent="0.3">
      <c r="A361">
        <v>1</v>
      </c>
      <c r="B361" t="s">
        <v>27</v>
      </c>
      <c r="C361">
        <v>3</v>
      </c>
      <c r="D361" t="s">
        <v>32</v>
      </c>
      <c r="E361" t="s">
        <v>18</v>
      </c>
      <c r="F361" t="str">
        <f t="shared" si="15"/>
        <v>Female</v>
      </c>
      <c r="G361">
        <v>30</v>
      </c>
      <c r="H361">
        <v>0</v>
      </c>
      <c r="I361">
        <v>0</v>
      </c>
      <c r="J361">
        <v>7.8792</v>
      </c>
      <c r="K361" t="s">
        <v>14</v>
      </c>
      <c r="L361" t="s">
        <v>20</v>
      </c>
      <c r="M361" t="str">
        <f t="shared" si="16"/>
        <v>Woman</v>
      </c>
      <c r="N361" t="b">
        <v>0</v>
      </c>
      <c r="O361" t="s">
        <v>23</v>
      </c>
      <c r="P361" t="s">
        <v>22</v>
      </c>
      <c r="Q361" t="str">
        <f t="shared" si="17"/>
        <v>Yes</v>
      </c>
      <c r="R361" t="b">
        <v>1</v>
      </c>
    </row>
    <row r="362" spans="1:18" x14ac:dyDescent="0.3">
      <c r="A362">
        <v>0</v>
      </c>
      <c r="B362" t="s">
        <v>26</v>
      </c>
      <c r="C362">
        <v>3</v>
      </c>
      <c r="D362" t="s">
        <v>32</v>
      </c>
      <c r="E362" t="s">
        <v>13</v>
      </c>
      <c r="F362" t="str">
        <f t="shared" si="15"/>
        <v>Male</v>
      </c>
      <c r="G362">
        <v>40</v>
      </c>
      <c r="H362">
        <v>1</v>
      </c>
      <c r="I362">
        <v>4</v>
      </c>
      <c r="J362">
        <v>27.9</v>
      </c>
      <c r="K362" t="s">
        <v>14</v>
      </c>
      <c r="L362" t="s">
        <v>15</v>
      </c>
      <c r="M362" t="str">
        <f t="shared" si="16"/>
        <v>Man</v>
      </c>
      <c r="N362" t="b">
        <v>1</v>
      </c>
      <c r="O362" t="s">
        <v>16</v>
      </c>
      <c r="P362" t="s">
        <v>17</v>
      </c>
      <c r="Q362" t="str">
        <f t="shared" si="17"/>
        <v>No</v>
      </c>
      <c r="R362" t="b">
        <v>0</v>
      </c>
    </row>
    <row r="363" spans="1:18" x14ac:dyDescent="0.3">
      <c r="A363">
        <v>0</v>
      </c>
      <c r="B363" t="s">
        <v>26</v>
      </c>
      <c r="C363">
        <v>2</v>
      </c>
      <c r="D363" t="s">
        <v>31</v>
      </c>
      <c r="E363" t="s">
        <v>13</v>
      </c>
      <c r="F363" t="str">
        <f t="shared" si="15"/>
        <v>Male</v>
      </c>
      <c r="G363">
        <v>29</v>
      </c>
      <c r="H363">
        <v>1</v>
      </c>
      <c r="I363">
        <v>0</v>
      </c>
      <c r="J363">
        <v>27.720800000000001</v>
      </c>
      <c r="K363" t="s">
        <v>25</v>
      </c>
      <c r="L363" t="s">
        <v>15</v>
      </c>
      <c r="M363" t="str">
        <f t="shared" si="16"/>
        <v>Man</v>
      </c>
      <c r="N363" t="b">
        <v>1</v>
      </c>
      <c r="O363" t="s">
        <v>21</v>
      </c>
      <c r="P363" t="s">
        <v>17</v>
      </c>
      <c r="Q363" t="str">
        <f t="shared" si="17"/>
        <v>No</v>
      </c>
      <c r="R363" t="b">
        <v>0</v>
      </c>
    </row>
    <row r="364" spans="1:18" x14ac:dyDescent="0.3">
      <c r="A364">
        <v>0</v>
      </c>
      <c r="B364" t="s">
        <v>26</v>
      </c>
      <c r="C364">
        <v>3</v>
      </c>
      <c r="D364" t="s">
        <v>32</v>
      </c>
      <c r="E364" t="s">
        <v>18</v>
      </c>
      <c r="F364" t="str">
        <f t="shared" si="15"/>
        <v>Female</v>
      </c>
      <c r="G364">
        <v>45</v>
      </c>
      <c r="H364">
        <v>0</v>
      </c>
      <c r="I364">
        <v>1</v>
      </c>
      <c r="J364">
        <v>14.4542</v>
      </c>
      <c r="K364" t="s">
        <v>14</v>
      </c>
      <c r="L364" t="s">
        <v>20</v>
      </c>
      <c r="M364" t="str">
        <f t="shared" si="16"/>
        <v>Woman</v>
      </c>
      <c r="N364" t="b">
        <v>0</v>
      </c>
      <c r="O364" t="s">
        <v>21</v>
      </c>
      <c r="P364" t="s">
        <v>17</v>
      </c>
      <c r="Q364" t="str">
        <f t="shared" si="17"/>
        <v>No</v>
      </c>
      <c r="R364" t="b">
        <v>0</v>
      </c>
    </row>
    <row r="365" spans="1:18" x14ac:dyDescent="0.3">
      <c r="A365">
        <v>0</v>
      </c>
      <c r="B365" t="s">
        <v>26</v>
      </c>
      <c r="C365">
        <v>3</v>
      </c>
      <c r="D365" t="s">
        <v>32</v>
      </c>
      <c r="E365" t="s">
        <v>13</v>
      </c>
      <c r="F365" t="str">
        <f t="shared" si="15"/>
        <v>Male</v>
      </c>
      <c r="G365">
        <v>35</v>
      </c>
      <c r="H365">
        <v>0</v>
      </c>
      <c r="I365">
        <v>0</v>
      </c>
      <c r="J365">
        <v>7.05</v>
      </c>
      <c r="K365" t="s">
        <v>14</v>
      </c>
      <c r="L365" t="s">
        <v>15</v>
      </c>
      <c r="M365" t="str">
        <f t="shared" si="16"/>
        <v>Man</v>
      </c>
      <c r="N365" t="b">
        <v>1</v>
      </c>
      <c r="O365" t="s">
        <v>16</v>
      </c>
      <c r="P365" t="s">
        <v>17</v>
      </c>
      <c r="Q365" t="str">
        <f t="shared" si="17"/>
        <v>No</v>
      </c>
      <c r="R365" t="b">
        <v>1</v>
      </c>
    </row>
    <row r="366" spans="1:18" x14ac:dyDescent="0.3">
      <c r="A366">
        <v>0</v>
      </c>
      <c r="B366" t="s">
        <v>26</v>
      </c>
      <c r="C366">
        <v>3</v>
      </c>
      <c r="D366" t="s">
        <v>32</v>
      </c>
      <c r="E366" t="s">
        <v>13</v>
      </c>
      <c r="F366" t="str">
        <f t="shared" si="15"/>
        <v>Male</v>
      </c>
      <c r="G366">
        <v>30</v>
      </c>
      <c r="H366">
        <v>1</v>
      </c>
      <c r="I366">
        <v>0</v>
      </c>
      <c r="J366">
        <v>15.5</v>
      </c>
      <c r="K366" t="s">
        <v>14</v>
      </c>
      <c r="L366" t="s">
        <v>15</v>
      </c>
      <c r="M366" t="str">
        <f t="shared" si="16"/>
        <v>Man</v>
      </c>
      <c r="N366" t="b">
        <v>1</v>
      </c>
      <c r="O366" t="s">
        <v>23</v>
      </c>
      <c r="P366" t="s">
        <v>17</v>
      </c>
      <c r="Q366" t="str">
        <f t="shared" si="17"/>
        <v>No</v>
      </c>
      <c r="R366" t="b">
        <v>0</v>
      </c>
    </row>
    <row r="367" spans="1:18" x14ac:dyDescent="0.3">
      <c r="A367">
        <v>0</v>
      </c>
      <c r="B367" t="s">
        <v>26</v>
      </c>
      <c r="C367">
        <v>3</v>
      </c>
      <c r="D367" t="s">
        <v>32</v>
      </c>
      <c r="E367" t="s">
        <v>13</v>
      </c>
      <c r="F367" t="str">
        <f t="shared" si="15"/>
        <v>Male</v>
      </c>
      <c r="G367">
        <v>30</v>
      </c>
      <c r="H367">
        <v>0</v>
      </c>
      <c r="I367">
        <v>0</v>
      </c>
      <c r="J367">
        <v>7.25</v>
      </c>
      <c r="K367" t="s">
        <v>14</v>
      </c>
      <c r="L367" t="s">
        <v>15</v>
      </c>
      <c r="M367" t="str">
        <f t="shared" si="16"/>
        <v>Man</v>
      </c>
      <c r="N367" t="b">
        <v>1</v>
      </c>
      <c r="O367" t="s">
        <v>16</v>
      </c>
      <c r="P367" t="s">
        <v>17</v>
      </c>
      <c r="Q367" t="str">
        <f t="shared" si="17"/>
        <v>No</v>
      </c>
      <c r="R367" t="b">
        <v>1</v>
      </c>
    </row>
    <row r="368" spans="1:18" x14ac:dyDescent="0.3">
      <c r="A368">
        <v>1</v>
      </c>
      <c r="B368" t="s">
        <v>27</v>
      </c>
      <c r="C368">
        <v>1</v>
      </c>
      <c r="D368" t="s">
        <v>30</v>
      </c>
      <c r="E368" t="s">
        <v>18</v>
      </c>
      <c r="F368" t="str">
        <f t="shared" si="15"/>
        <v>Female</v>
      </c>
      <c r="G368">
        <v>60</v>
      </c>
      <c r="H368">
        <v>1</v>
      </c>
      <c r="I368">
        <v>0</v>
      </c>
      <c r="J368">
        <v>75.25</v>
      </c>
      <c r="K368" t="s">
        <v>19</v>
      </c>
      <c r="L368" t="s">
        <v>20</v>
      </c>
      <c r="M368" t="str">
        <f t="shared" si="16"/>
        <v>Woman</v>
      </c>
      <c r="N368" t="b">
        <v>0</v>
      </c>
      <c r="O368" t="s">
        <v>21</v>
      </c>
      <c r="P368" t="s">
        <v>22</v>
      </c>
      <c r="Q368" t="str">
        <f t="shared" si="17"/>
        <v>Yes</v>
      </c>
      <c r="R368" t="b">
        <v>0</v>
      </c>
    </row>
    <row r="369" spans="1:18" x14ac:dyDescent="0.3">
      <c r="A369">
        <v>1</v>
      </c>
      <c r="B369" t="s">
        <v>27</v>
      </c>
      <c r="C369">
        <v>3</v>
      </c>
      <c r="D369" t="s">
        <v>32</v>
      </c>
      <c r="E369" t="s">
        <v>18</v>
      </c>
      <c r="F369" t="str">
        <f t="shared" si="15"/>
        <v>Female</v>
      </c>
      <c r="G369">
        <v>30</v>
      </c>
      <c r="H369">
        <v>0</v>
      </c>
      <c r="I369">
        <v>0</v>
      </c>
      <c r="J369">
        <v>7.2291999999999996</v>
      </c>
      <c r="K369" t="s">
        <v>14</v>
      </c>
      <c r="L369" t="s">
        <v>20</v>
      </c>
      <c r="M369" t="str">
        <f t="shared" si="16"/>
        <v>Woman</v>
      </c>
      <c r="N369" t="b">
        <v>0</v>
      </c>
      <c r="O369" t="s">
        <v>21</v>
      </c>
      <c r="P369" t="s">
        <v>22</v>
      </c>
      <c r="Q369" t="str">
        <f t="shared" si="17"/>
        <v>Yes</v>
      </c>
      <c r="R369" t="b">
        <v>1</v>
      </c>
    </row>
    <row r="370" spans="1:18" x14ac:dyDescent="0.3">
      <c r="A370">
        <v>1</v>
      </c>
      <c r="B370" t="s">
        <v>27</v>
      </c>
      <c r="C370">
        <v>3</v>
      </c>
      <c r="D370" t="s">
        <v>32</v>
      </c>
      <c r="E370" t="s">
        <v>18</v>
      </c>
      <c r="F370" t="str">
        <f t="shared" si="15"/>
        <v>Female</v>
      </c>
      <c r="G370">
        <v>30</v>
      </c>
      <c r="H370">
        <v>0</v>
      </c>
      <c r="I370">
        <v>0</v>
      </c>
      <c r="J370">
        <v>7.75</v>
      </c>
      <c r="K370" t="s">
        <v>14</v>
      </c>
      <c r="L370" t="s">
        <v>20</v>
      </c>
      <c r="M370" t="str">
        <f t="shared" si="16"/>
        <v>Woman</v>
      </c>
      <c r="N370" t="b">
        <v>0</v>
      </c>
      <c r="O370" t="s">
        <v>23</v>
      </c>
      <c r="P370" t="s">
        <v>22</v>
      </c>
      <c r="Q370" t="str">
        <f t="shared" si="17"/>
        <v>Yes</v>
      </c>
      <c r="R370" t="b">
        <v>1</v>
      </c>
    </row>
    <row r="371" spans="1:18" x14ac:dyDescent="0.3">
      <c r="A371">
        <v>1</v>
      </c>
      <c r="B371" t="s">
        <v>27</v>
      </c>
      <c r="C371">
        <v>1</v>
      </c>
      <c r="D371" t="s">
        <v>30</v>
      </c>
      <c r="E371" t="s">
        <v>18</v>
      </c>
      <c r="F371" t="str">
        <f t="shared" si="15"/>
        <v>Female</v>
      </c>
      <c r="G371">
        <v>24</v>
      </c>
      <c r="H371">
        <v>0</v>
      </c>
      <c r="I371">
        <v>0</v>
      </c>
      <c r="J371">
        <v>69.3</v>
      </c>
      <c r="K371" t="s">
        <v>19</v>
      </c>
      <c r="L371" t="s">
        <v>20</v>
      </c>
      <c r="M371" t="str">
        <f t="shared" si="16"/>
        <v>Woman</v>
      </c>
      <c r="N371" t="b">
        <v>0</v>
      </c>
      <c r="O371" t="s">
        <v>21</v>
      </c>
      <c r="P371" t="s">
        <v>22</v>
      </c>
      <c r="Q371" t="str">
        <f t="shared" si="17"/>
        <v>Yes</v>
      </c>
      <c r="R371" t="b">
        <v>1</v>
      </c>
    </row>
    <row r="372" spans="1:18" x14ac:dyDescent="0.3">
      <c r="A372">
        <v>1</v>
      </c>
      <c r="B372" t="s">
        <v>27</v>
      </c>
      <c r="C372">
        <v>1</v>
      </c>
      <c r="D372" t="s">
        <v>30</v>
      </c>
      <c r="E372" t="s">
        <v>13</v>
      </c>
      <c r="F372" t="str">
        <f t="shared" si="15"/>
        <v>Male</v>
      </c>
      <c r="G372">
        <v>25</v>
      </c>
      <c r="H372">
        <v>1</v>
      </c>
      <c r="I372">
        <v>0</v>
      </c>
      <c r="J372">
        <v>55.441699999999997</v>
      </c>
      <c r="K372" t="s">
        <v>19</v>
      </c>
      <c r="L372" t="s">
        <v>15</v>
      </c>
      <c r="M372" t="str">
        <f t="shared" si="16"/>
        <v>Man</v>
      </c>
      <c r="N372" t="b">
        <v>1</v>
      </c>
      <c r="O372" t="s">
        <v>21</v>
      </c>
      <c r="P372" t="s">
        <v>22</v>
      </c>
      <c r="Q372" t="str">
        <f t="shared" si="17"/>
        <v>Yes</v>
      </c>
      <c r="R372" t="b">
        <v>0</v>
      </c>
    </row>
    <row r="373" spans="1:18" x14ac:dyDescent="0.3">
      <c r="A373">
        <v>0</v>
      </c>
      <c r="B373" t="s">
        <v>26</v>
      </c>
      <c r="C373">
        <v>3</v>
      </c>
      <c r="D373" t="s">
        <v>32</v>
      </c>
      <c r="E373" t="s">
        <v>13</v>
      </c>
      <c r="F373" t="str">
        <f t="shared" si="15"/>
        <v>Male</v>
      </c>
      <c r="G373">
        <v>18</v>
      </c>
      <c r="H373">
        <v>1</v>
      </c>
      <c r="I373">
        <v>0</v>
      </c>
      <c r="J373">
        <v>6.4958</v>
      </c>
      <c r="K373" t="s">
        <v>14</v>
      </c>
      <c r="L373" t="s">
        <v>15</v>
      </c>
      <c r="M373" t="str">
        <f t="shared" si="16"/>
        <v>Man</v>
      </c>
      <c r="N373" t="b">
        <v>1</v>
      </c>
      <c r="O373" t="s">
        <v>16</v>
      </c>
      <c r="P373" t="s">
        <v>17</v>
      </c>
      <c r="Q373" t="str">
        <f t="shared" si="17"/>
        <v>No</v>
      </c>
      <c r="R373" t="b">
        <v>0</v>
      </c>
    </row>
    <row r="374" spans="1:18" x14ac:dyDescent="0.3">
      <c r="A374">
        <v>0</v>
      </c>
      <c r="B374" t="s">
        <v>26</v>
      </c>
      <c r="C374">
        <v>3</v>
      </c>
      <c r="D374" t="s">
        <v>32</v>
      </c>
      <c r="E374" t="s">
        <v>13</v>
      </c>
      <c r="F374" t="str">
        <f t="shared" si="15"/>
        <v>Male</v>
      </c>
      <c r="G374">
        <v>19</v>
      </c>
      <c r="H374">
        <v>0</v>
      </c>
      <c r="I374">
        <v>0</v>
      </c>
      <c r="J374">
        <v>8.0500000000000007</v>
      </c>
      <c r="K374" t="s">
        <v>14</v>
      </c>
      <c r="L374" t="s">
        <v>15</v>
      </c>
      <c r="M374" t="str">
        <f t="shared" si="16"/>
        <v>Man</v>
      </c>
      <c r="N374" t="b">
        <v>1</v>
      </c>
      <c r="O374" t="s">
        <v>16</v>
      </c>
      <c r="P374" t="s">
        <v>17</v>
      </c>
      <c r="Q374" t="str">
        <f t="shared" si="17"/>
        <v>No</v>
      </c>
      <c r="R374" t="b">
        <v>1</v>
      </c>
    </row>
    <row r="375" spans="1:18" x14ac:dyDescent="0.3">
      <c r="A375">
        <v>0</v>
      </c>
      <c r="B375" t="s">
        <v>26</v>
      </c>
      <c r="C375">
        <v>1</v>
      </c>
      <c r="D375" t="s">
        <v>30</v>
      </c>
      <c r="E375" t="s">
        <v>13</v>
      </c>
      <c r="F375" t="str">
        <f t="shared" si="15"/>
        <v>Male</v>
      </c>
      <c r="G375">
        <v>22</v>
      </c>
      <c r="H375">
        <v>0</v>
      </c>
      <c r="I375">
        <v>0</v>
      </c>
      <c r="J375">
        <v>135.63329999999999</v>
      </c>
      <c r="K375" t="s">
        <v>19</v>
      </c>
      <c r="L375" t="s">
        <v>15</v>
      </c>
      <c r="M375" t="str">
        <f t="shared" si="16"/>
        <v>Man</v>
      </c>
      <c r="N375" t="b">
        <v>1</v>
      </c>
      <c r="O375" t="s">
        <v>21</v>
      </c>
      <c r="P375" t="s">
        <v>17</v>
      </c>
      <c r="Q375" t="str">
        <f t="shared" si="17"/>
        <v>No</v>
      </c>
      <c r="R375" t="b">
        <v>1</v>
      </c>
    </row>
    <row r="376" spans="1:18" x14ac:dyDescent="0.3">
      <c r="A376">
        <v>0</v>
      </c>
      <c r="B376" t="s">
        <v>26</v>
      </c>
      <c r="C376">
        <v>3</v>
      </c>
      <c r="D376" t="s">
        <v>32</v>
      </c>
      <c r="E376" t="s">
        <v>18</v>
      </c>
      <c r="F376" t="str">
        <f t="shared" si="15"/>
        <v>Female</v>
      </c>
      <c r="G376">
        <v>3</v>
      </c>
      <c r="H376">
        <v>3</v>
      </c>
      <c r="I376">
        <v>1</v>
      </c>
      <c r="J376">
        <v>21.074999999999999</v>
      </c>
      <c r="K376" t="s">
        <v>14</v>
      </c>
      <c r="L376" t="s">
        <v>24</v>
      </c>
      <c r="M376" t="str">
        <f t="shared" si="16"/>
        <v>Child</v>
      </c>
      <c r="N376" t="b">
        <v>0</v>
      </c>
      <c r="O376" t="s">
        <v>16</v>
      </c>
      <c r="P376" t="s">
        <v>17</v>
      </c>
      <c r="Q376" t="str">
        <f t="shared" si="17"/>
        <v>No</v>
      </c>
      <c r="R376" t="b">
        <v>0</v>
      </c>
    </row>
    <row r="377" spans="1:18" x14ac:dyDescent="0.3">
      <c r="A377">
        <v>1</v>
      </c>
      <c r="B377" t="s">
        <v>27</v>
      </c>
      <c r="C377">
        <v>1</v>
      </c>
      <c r="D377" t="s">
        <v>30</v>
      </c>
      <c r="E377" t="s">
        <v>18</v>
      </c>
      <c r="F377" t="str">
        <f t="shared" si="15"/>
        <v>Female</v>
      </c>
      <c r="G377">
        <v>30</v>
      </c>
      <c r="H377">
        <v>1</v>
      </c>
      <c r="I377">
        <v>0</v>
      </c>
      <c r="J377">
        <v>82.1708</v>
      </c>
      <c r="K377" t="s">
        <v>19</v>
      </c>
      <c r="L377" t="s">
        <v>20</v>
      </c>
      <c r="M377" t="str">
        <f t="shared" si="16"/>
        <v>Woman</v>
      </c>
      <c r="N377" t="b">
        <v>0</v>
      </c>
      <c r="O377" t="s">
        <v>21</v>
      </c>
      <c r="P377" t="s">
        <v>22</v>
      </c>
      <c r="Q377" t="str">
        <f t="shared" si="17"/>
        <v>Yes</v>
      </c>
      <c r="R377" t="b">
        <v>0</v>
      </c>
    </row>
    <row r="378" spans="1:18" x14ac:dyDescent="0.3">
      <c r="A378">
        <v>1</v>
      </c>
      <c r="B378" t="s">
        <v>27</v>
      </c>
      <c r="C378">
        <v>3</v>
      </c>
      <c r="D378" t="s">
        <v>32</v>
      </c>
      <c r="E378" t="s">
        <v>18</v>
      </c>
      <c r="F378" t="str">
        <f t="shared" si="15"/>
        <v>Female</v>
      </c>
      <c r="G378">
        <v>22</v>
      </c>
      <c r="H378">
        <v>0</v>
      </c>
      <c r="I378">
        <v>0</v>
      </c>
      <c r="J378">
        <v>7.25</v>
      </c>
      <c r="K378" t="s">
        <v>14</v>
      </c>
      <c r="L378" t="s">
        <v>20</v>
      </c>
      <c r="M378" t="str">
        <f t="shared" si="16"/>
        <v>Woman</v>
      </c>
      <c r="N378" t="b">
        <v>0</v>
      </c>
      <c r="O378" t="s">
        <v>16</v>
      </c>
      <c r="P378" t="s">
        <v>22</v>
      </c>
      <c r="Q378" t="str">
        <f t="shared" si="17"/>
        <v>Yes</v>
      </c>
      <c r="R378" t="b">
        <v>1</v>
      </c>
    </row>
    <row r="379" spans="1:18" x14ac:dyDescent="0.3">
      <c r="A379">
        <v>0</v>
      </c>
      <c r="B379" t="s">
        <v>26</v>
      </c>
      <c r="C379">
        <v>1</v>
      </c>
      <c r="D379" t="s">
        <v>30</v>
      </c>
      <c r="E379" t="s">
        <v>13</v>
      </c>
      <c r="F379" t="str">
        <f t="shared" si="15"/>
        <v>Male</v>
      </c>
      <c r="G379">
        <v>27</v>
      </c>
      <c r="H379">
        <v>0</v>
      </c>
      <c r="I379">
        <v>2</v>
      </c>
      <c r="J379">
        <v>211.5</v>
      </c>
      <c r="K379" t="s">
        <v>19</v>
      </c>
      <c r="L379" t="s">
        <v>15</v>
      </c>
      <c r="M379" t="str">
        <f t="shared" si="16"/>
        <v>Man</v>
      </c>
      <c r="N379" t="b">
        <v>1</v>
      </c>
      <c r="O379" t="s">
        <v>21</v>
      </c>
      <c r="P379" t="s">
        <v>17</v>
      </c>
      <c r="Q379" t="str">
        <f t="shared" si="17"/>
        <v>No</v>
      </c>
      <c r="R379" t="b">
        <v>0</v>
      </c>
    </row>
    <row r="380" spans="1:18" x14ac:dyDescent="0.3">
      <c r="A380">
        <v>0</v>
      </c>
      <c r="B380" t="s">
        <v>26</v>
      </c>
      <c r="C380">
        <v>3</v>
      </c>
      <c r="D380" t="s">
        <v>32</v>
      </c>
      <c r="E380" t="s">
        <v>13</v>
      </c>
      <c r="F380" t="str">
        <f t="shared" si="15"/>
        <v>Male</v>
      </c>
      <c r="G380">
        <v>20</v>
      </c>
      <c r="H380">
        <v>0</v>
      </c>
      <c r="I380">
        <v>0</v>
      </c>
      <c r="J380">
        <v>4.0125000000000002</v>
      </c>
      <c r="K380" t="s">
        <v>14</v>
      </c>
      <c r="L380" t="s">
        <v>15</v>
      </c>
      <c r="M380" t="str">
        <f t="shared" si="16"/>
        <v>Man</v>
      </c>
      <c r="N380" t="b">
        <v>1</v>
      </c>
      <c r="O380" t="s">
        <v>21</v>
      </c>
      <c r="P380" t="s">
        <v>17</v>
      </c>
      <c r="Q380" t="str">
        <f t="shared" si="17"/>
        <v>No</v>
      </c>
      <c r="R380" t="b">
        <v>1</v>
      </c>
    </row>
    <row r="381" spans="1:18" x14ac:dyDescent="0.3">
      <c r="A381">
        <v>0</v>
      </c>
      <c r="B381" t="s">
        <v>26</v>
      </c>
      <c r="C381">
        <v>3</v>
      </c>
      <c r="D381" t="s">
        <v>32</v>
      </c>
      <c r="E381" t="s">
        <v>13</v>
      </c>
      <c r="F381" t="str">
        <f t="shared" si="15"/>
        <v>Male</v>
      </c>
      <c r="G381">
        <v>19</v>
      </c>
      <c r="H381">
        <v>0</v>
      </c>
      <c r="I381">
        <v>0</v>
      </c>
      <c r="J381">
        <v>7.7750000000000004</v>
      </c>
      <c r="K381" t="s">
        <v>14</v>
      </c>
      <c r="L381" t="s">
        <v>15</v>
      </c>
      <c r="M381" t="str">
        <f t="shared" si="16"/>
        <v>Man</v>
      </c>
      <c r="N381" t="b">
        <v>1</v>
      </c>
      <c r="O381" t="s">
        <v>16</v>
      </c>
      <c r="P381" t="s">
        <v>17</v>
      </c>
      <c r="Q381" t="str">
        <f t="shared" si="17"/>
        <v>No</v>
      </c>
      <c r="R381" t="b">
        <v>1</v>
      </c>
    </row>
    <row r="382" spans="1:18" x14ac:dyDescent="0.3">
      <c r="A382">
        <v>1</v>
      </c>
      <c r="B382" t="s">
        <v>27</v>
      </c>
      <c r="C382">
        <v>1</v>
      </c>
      <c r="D382" t="s">
        <v>30</v>
      </c>
      <c r="E382" t="s">
        <v>18</v>
      </c>
      <c r="F382" t="str">
        <f t="shared" si="15"/>
        <v>Female</v>
      </c>
      <c r="G382">
        <v>42</v>
      </c>
      <c r="H382">
        <v>0</v>
      </c>
      <c r="I382">
        <v>0</v>
      </c>
      <c r="J382">
        <v>227.52500000000001</v>
      </c>
      <c r="K382" t="s">
        <v>19</v>
      </c>
      <c r="L382" t="s">
        <v>20</v>
      </c>
      <c r="M382" t="str">
        <f t="shared" si="16"/>
        <v>Woman</v>
      </c>
      <c r="N382" t="b">
        <v>0</v>
      </c>
      <c r="O382" t="s">
        <v>21</v>
      </c>
      <c r="P382" t="s">
        <v>22</v>
      </c>
      <c r="Q382" t="str">
        <f t="shared" si="17"/>
        <v>Yes</v>
      </c>
      <c r="R382" t="b">
        <v>1</v>
      </c>
    </row>
    <row r="383" spans="1:18" x14ac:dyDescent="0.3">
      <c r="A383">
        <v>1</v>
      </c>
      <c r="B383" t="s">
        <v>27</v>
      </c>
      <c r="C383">
        <v>3</v>
      </c>
      <c r="D383" t="s">
        <v>32</v>
      </c>
      <c r="E383" t="s">
        <v>18</v>
      </c>
      <c r="F383" t="str">
        <f t="shared" si="15"/>
        <v>Female</v>
      </c>
      <c r="G383">
        <v>1</v>
      </c>
      <c r="H383">
        <v>0</v>
      </c>
      <c r="I383">
        <v>2</v>
      </c>
      <c r="J383">
        <v>15.7417</v>
      </c>
      <c r="K383" t="s">
        <v>14</v>
      </c>
      <c r="L383" t="s">
        <v>24</v>
      </c>
      <c r="M383" t="str">
        <f t="shared" si="16"/>
        <v>Child</v>
      </c>
      <c r="N383" t="b">
        <v>0</v>
      </c>
      <c r="O383" t="s">
        <v>21</v>
      </c>
      <c r="P383" t="s">
        <v>22</v>
      </c>
      <c r="Q383" t="str">
        <f t="shared" si="17"/>
        <v>Yes</v>
      </c>
      <c r="R383" t="b">
        <v>0</v>
      </c>
    </row>
    <row r="384" spans="1:18" x14ac:dyDescent="0.3">
      <c r="A384">
        <v>0</v>
      </c>
      <c r="B384" t="s">
        <v>26</v>
      </c>
      <c r="C384">
        <v>3</v>
      </c>
      <c r="D384" t="s">
        <v>32</v>
      </c>
      <c r="E384" t="s">
        <v>13</v>
      </c>
      <c r="F384" t="str">
        <f t="shared" si="15"/>
        <v>Male</v>
      </c>
      <c r="G384">
        <v>32</v>
      </c>
      <c r="H384">
        <v>0</v>
      </c>
      <c r="I384">
        <v>0</v>
      </c>
      <c r="J384">
        <v>7.9249999999999998</v>
      </c>
      <c r="K384" t="s">
        <v>14</v>
      </c>
      <c r="L384" t="s">
        <v>15</v>
      </c>
      <c r="M384" t="str">
        <f t="shared" si="16"/>
        <v>Man</v>
      </c>
      <c r="N384" t="b">
        <v>1</v>
      </c>
      <c r="O384" t="s">
        <v>16</v>
      </c>
      <c r="P384" t="s">
        <v>17</v>
      </c>
      <c r="Q384" t="str">
        <f t="shared" si="17"/>
        <v>No</v>
      </c>
      <c r="R384" t="b">
        <v>1</v>
      </c>
    </row>
    <row r="385" spans="1:18" x14ac:dyDescent="0.3">
      <c r="A385">
        <v>1</v>
      </c>
      <c r="B385" t="s">
        <v>27</v>
      </c>
      <c r="C385">
        <v>1</v>
      </c>
      <c r="D385" t="s">
        <v>30</v>
      </c>
      <c r="E385" t="s">
        <v>18</v>
      </c>
      <c r="F385" t="str">
        <f t="shared" si="15"/>
        <v>Female</v>
      </c>
      <c r="G385">
        <v>35</v>
      </c>
      <c r="H385">
        <v>1</v>
      </c>
      <c r="I385">
        <v>0</v>
      </c>
      <c r="J385">
        <v>52</v>
      </c>
      <c r="K385" t="s">
        <v>19</v>
      </c>
      <c r="L385" t="s">
        <v>20</v>
      </c>
      <c r="M385" t="str">
        <f t="shared" si="16"/>
        <v>Woman</v>
      </c>
      <c r="N385" t="b">
        <v>0</v>
      </c>
      <c r="O385" t="s">
        <v>16</v>
      </c>
      <c r="P385" t="s">
        <v>22</v>
      </c>
      <c r="Q385" t="str">
        <f t="shared" si="17"/>
        <v>Yes</v>
      </c>
      <c r="R385" t="b">
        <v>0</v>
      </c>
    </row>
    <row r="386" spans="1:18" x14ac:dyDescent="0.3">
      <c r="A386">
        <v>0</v>
      </c>
      <c r="B386" t="s">
        <v>26</v>
      </c>
      <c r="C386">
        <v>3</v>
      </c>
      <c r="D386" t="s">
        <v>32</v>
      </c>
      <c r="E386" t="s">
        <v>13</v>
      </c>
      <c r="F386" t="str">
        <f t="shared" si="15"/>
        <v>Male</v>
      </c>
      <c r="G386">
        <v>30</v>
      </c>
      <c r="H386">
        <v>0</v>
      </c>
      <c r="I386">
        <v>0</v>
      </c>
      <c r="J386">
        <v>7.8958000000000004</v>
      </c>
      <c r="K386" t="s">
        <v>14</v>
      </c>
      <c r="L386" t="s">
        <v>15</v>
      </c>
      <c r="M386" t="str">
        <f t="shared" si="16"/>
        <v>Man</v>
      </c>
      <c r="N386" t="b">
        <v>1</v>
      </c>
      <c r="O386" t="s">
        <v>16</v>
      </c>
      <c r="P386" t="s">
        <v>17</v>
      </c>
      <c r="Q386" t="str">
        <f t="shared" si="17"/>
        <v>No</v>
      </c>
      <c r="R386" t="b">
        <v>1</v>
      </c>
    </row>
    <row r="387" spans="1:18" x14ac:dyDescent="0.3">
      <c r="A387">
        <v>0</v>
      </c>
      <c r="B387" t="s">
        <v>26</v>
      </c>
      <c r="C387">
        <v>2</v>
      </c>
      <c r="D387" t="s">
        <v>31</v>
      </c>
      <c r="E387" t="s">
        <v>13</v>
      </c>
      <c r="F387" t="str">
        <f t="shared" ref="F387:F450" si="18">PROPER(E387)</f>
        <v>Male</v>
      </c>
      <c r="G387">
        <v>18</v>
      </c>
      <c r="H387">
        <v>0</v>
      </c>
      <c r="I387">
        <v>0</v>
      </c>
      <c r="J387">
        <v>73.5</v>
      </c>
      <c r="K387" t="s">
        <v>25</v>
      </c>
      <c r="L387" t="s">
        <v>15</v>
      </c>
      <c r="M387" t="str">
        <f t="shared" ref="M387:M450" si="19">PROPER(L387)</f>
        <v>Man</v>
      </c>
      <c r="N387" t="b">
        <v>1</v>
      </c>
      <c r="O387" t="s">
        <v>16</v>
      </c>
      <c r="P387" t="s">
        <v>17</v>
      </c>
      <c r="Q387" t="str">
        <f t="shared" ref="Q387:Q450" si="20">PROPER(P387)</f>
        <v>No</v>
      </c>
      <c r="R387" t="b">
        <v>1</v>
      </c>
    </row>
    <row r="388" spans="1:18" x14ac:dyDescent="0.3">
      <c r="A388">
        <v>0</v>
      </c>
      <c r="B388" t="s">
        <v>26</v>
      </c>
      <c r="C388">
        <v>3</v>
      </c>
      <c r="D388" t="s">
        <v>32</v>
      </c>
      <c r="E388" t="s">
        <v>13</v>
      </c>
      <c r="F388" t="str">
        <f t="shared" si="18"/>
        <v>Male</v>
      </c>
      <c r="G388">
        <v>1</v>
      </c>
      <c r="H388">
        <v>5</v>
      </c>
      <c r="I388">
        <v>2</v>
      </c>
      <c r="J388">
        <v>46.9</v>
      </c>
      <c r="K388" t="s">
        <v>14</v>
      </c>
      <c r="L388" t="s">
        <v>24</v>
      </c>
      <c r="M388" t="str">
        <f t="shared" si="19"/>
        <v>Child</v>
      </c>
      <c r="N388" t="b">
        <v>0</v>
      </c>
      <c r="O388" t="s">
        <v>16</v>
      </c>
      <c r="P388" t="s">
        <v>17</v>
      </c>
      <c r="Q388" t="str">
        <f t="shared" si="20"/>
        <v>No</v>
      </c>
      <c r="R388" t="b">
        <v>0</v>
      </c>
    </row>
    <row r="389" spans="1:18" x14ac:dyDescent="0.3">
      <c r="A389">
        <v>1</v>
      </c>
      <c r="B389" t="s">
        <v>27</v>
      </c>
      <c r="C389">
        <v>2</v>
      </c>
      <c r="D389" t="s">
        <v>31</v>
      </c>
      <c r="E389" t="s">
        <v>18</v>
      </c>
      <c r="F389" t="str">
        <f t="shared" si="18"/>
        <v>Female</v>
      </c>
      <c r="G389">
        <v>36</v>
      </c>
      <c r="H389">
        <v>0</v>
      </c>
      <c r="I389">
        <v>0</v>
      </c>
      <c r="J389">
        <v>13</v>
      </c>
      <c r="K389" t="s">
        <v>25</v>
      </c>
      <c r="L389" t="s">
        <v>20</v>
      </c>
      <c r="M389" t="str">
        <f t="shared" si="19"/>
        <v>Woman</v>
      </c>
      <c r="N389" t="b">
        <v>0</v>
      </c>
      <c r="O389" t="s">
        <v>16</v>
      </c>
      <c r="P389" t="s">
        <v>22</v>
      </c>
      <c r="Q389" t="str">
        <f t="shared" si="20"/>
        <v>Yes</v>
      </c>
      <c r="R389" t="b">
        <v>1</v>
      </c>
    </row>
    <row r="390" spans="1:18" x14ac:dyDescent="0.3">
      <c r="A390">
        <v>0</v>
      </c>
      <c r="B390" t="s">
        <v>26</v>
      </c>
      <c r="C390">
        <v>3</v>
      </c>
      <c r="D390" t="s">
        <v>32</v>
      </c>
      <c r="E390" t="s">
        <v>13</v>
      </c>
      <c r="F390" t="str">
        <f t="shared" si="18"/>
        <v>Male</v>
      </c>
      <c r="G390">
        <v>30</v>
      </c>
      <c r="H390">
        <v>0</v>
      </c>
      <c r="I390">
        <v>0</v>
      </c>
      <c r="J390">
        <v>7.7291999999999996</v>
      </c>
      <c r="K390" t="s">
        <v>14</v>
      </c>
      <c r="L390" t="s">
        <v>15</v>
      </c>
      <c r="M390" t="str">
        <f t="shared" si="19"/>
        <v>Man</v>
      </c>
      <c r="N390" t="b">
        <v>1</v>
      </c>
      <c r="O390" t="s">
        <v>23</v>
      </c>
      <c r="P390" t="s">
        <v>17</v>
      </c>
      <c r="Q390" t="str">
        <f t="shared" si="20"/>
        <v>No</v>
      </c>
      <c r="R390" t="b">
        <v>1</v>
      </c>
    </row>
    <row r="391" spans="1:18" x14ac:dyDescent="0.3">
      <c r="A391">
        <v>1</v>
      </c>
      <c r="B391" t="s">
        <v>27</v>
      </c>
      <c r="C391">
        <v>2</v>
      </c>
      <c r="D391" t="s">
        <v>31</v>
      </c>
      <c r="E391" t="s">
        <v>18</v>
      </c>
      <c r="F391" t="str">
        <f t="shared" si="18"/>
        <v>Female</v>
      </c>
      <c r="G391">
        <v>17</v>
      </c>
      <c r="H391">
        <v>0</v>
      </c>
      <c r="I391">
        <v>0</v>
      </c>
      <c r="J391">
        <v>12</v>
      </c>
      <c r="K391" t="s">
        <v>25</v>
      </c>
      <c r="L391" t="s">
        <v>20</v>
      </c>
      <c r="M391" t="str">
        <f t="shared" si="19"/>
        <v>Woman</v>
      </c>
      <c r="N391" t="b">
        <v>0</v>
      </c>
      <c r="O391" t="s">
        <v>21</v>
      </c>
      <c r="P391" t="s">
        <v>22</v>
      </c>
      <c r="Q391" t="str">
        <f t="shared" si="20"/>
        <v>Yes</v>
      </c>
      <c r="R391" t="b">
        <v>1</v>
      </c>
    </row>
    <row r="392" spans="1:18" x14ac:dyDescent="0.3">
      <c r="A392">
        <v>1</v>
      </c>
      <c r="B392" t="s">
        <v>27</v>
      </c>
      <c r="C392">
        <v>1</v>
      </c>
      <c r="D392" t="s">
        <v>30</v>
      </c>
      <c r="E392" t="s">
        <v>13</v>
      </c>
      <c r="F392" t="str">
        <f t="shared" si="18"/>
        <v>Male</v>
      </c>
      <c r="G392">
        <v>36</v>
      </c>
      <c r="H392">
        <v>1</v>
      </c>
      <c r="I392">
        <v>2</v>
      </c>
      <c r="J392">
        <v>120</v>
      </c>
      <c r="K392" t="s">
        <v>19</v>
      </c>
      <c r="L392" t="s">
        <v>15</v>
      </c>
      <c r="M392" t="str">
        <f t="shared" si="19"/>
        <v>Man</v>
      </c>
      <c r="N392" t="b">
        <v>1</v>
      </c>
      <c r="O392" t="s">
        <v>16</v>
      </c>
      <c r="P392" t="s">
        <v>22</v>
      </c>
      <c r="Q392" t="str">
        <f t="shared" si="20"/>
        <v>Yes</v>
      </c>
      <c r="R392" t="b">
        <v>0</v>
      </c>
    </row>
    <row r="393" spans="1:18" x14ac:dyDescent="0.3">
      <c r="A393">
        <v>1</v>
      </c>
      <c r="B393" t="s">
        <v>27</v>
      </c>
      <c r="C393">
        <v>3</v>
      </c>
      <c r="D393" t="s">
        <v>32</v>
      </c>
      <c r="E393" t="s">
        <v>13</v>
      </c>
      <c r="F393" t="str">
        <f t="shared" si="18"/>
        <v>Male</v>
      </c>
      <c r="G393">
        <v>21</v>
      </c>
      <c r="H393">
        <v>0</v>
      </c>
      <c r="I393">
        <v>0</v>
      </c>
      <c r="J393">
        <v>7.7957999999999998</v>
      </c>
      <c r="K393" t="s">
        <v>14</v>
      </c>
      <c r="L393" t="s">
        <v>15</v>
      </c>
      <c r="M393" t="str">
        <f t="shared" si="19"/>
        <v>Man</v>
      </c>
      <c r="N393" t="b">
        <v>1</v>
      </c>
      <c r="O393" t="s">
        <v>16</v>
      </c>
      <c r="P393" t="s">
        <v>22</v>
      </c>
      <c r="Q393" t="str">
        <f t="shared" si="20"/>
        <v>Yes</v>
      </c>
      <c r="R393" t="b">
        <v>1</v>
      </c>
    </row>
    <row r="394" spans="1:18" x14ac:dyDescent="0.3">
      <c r="A394">
        <v>0</v>
      </c>
      <c r="B394" t="s">
        <v>26</v>
      </c>
      <c r="C394">
        <v>3</v>
      </c>
      <c r="D394" t="s">
        <v>32</v>
      </c>
      <c r="E394" t="s">
        <v>13</v>
      </c>
      <c r="F394" t="str">
        <f t="shared" si="18"/>
        <v>Male</v>
      </c>
      <c r="G394">
        <v>28</v>
      </c>
      <c r="H394">
        <v>2</v>
      </c>
      <c r="I394">
        <v>0</v>
      </c>
      <c r="J394">
        <v>7.9249999999999998</v>
      </c>
      <c r="K394" t="s">
        <v>14</v>
      </c>
      <c r="L394" t="s">
        <v>15</v>
      </c>
      <c r="M394" t="str">
        <f t="shared" si="19"/>
        <v>Man</v>
      </c>
      <c r="N394" t="b">
        <v>1</v>
      </c>
      <c r="O394" t="s">
        <v>16</v>
      </c>
      <c r="P394" t="s">
        <v>17</v>
      </c>
      <c r="Q394" t="str">
        <f t="shared" si="20"/>
        <v>No</v>
      </c>
      <c r="R394" t="b">
        <v>0</v>
      </c>
    </row>
    <row r="395" spans="1:18" x14ac:dyDescent="0.3">
      <c r="A395">
        <v>1</v>
      </c>
      <c r="B395" t="s">
        <v>27</v>
      </c>
      <c r="C395">
        <v>1</v>
      </c>
      <c r="D395" t="s">
        <v>30</v>
      </c>
      <c r="E395" t="s">
        <v>18</v>
      </c>
      <c r="F395" t="str">
        <f t="shared" si="18"/>
        <v>Female</v>
      </c>
      <c r="G395">
        <v>23</v>
      </c>
      <c r="H395">
        <v>1</v>
      </c>
      <c r="I395">
        <v>0</v>
      </c>
      <c r="J395">
        <v>113.27500000000001</v>
      </c>
      <c r="K395" t="s">
        <v>19</v>
      </c>
      <c r="L395" t="s">
        <v>20</v>
      </c>
      <c r="M395" t="str">
        <f t="shared" si="19"/>
        <v>Woman</v>
      </c>
      <c r="N395" t="b">
        <v>0</v>
      </c>
      <c r="O395" t="s">
        <v>21</v>
      </c>
      <c r="P395" t="s">
        <v>22</v>
      </c>
      <c r="Q395" t="str">
        <f t="shared" si="20"/>
        <v>Yes</v>
      </c>
      <c r="R395" t="b">
        <v>0</v>
      </c>
    </row>
    <row r="396" spans="1:18" x14ac:dyDescent="0.3">
      <c r="A396">
        <v>1</v>
      </c>
      <c r="B396" t="s">
        <v>27</v>
      </c>
      <c r="C396">
        <v>3</v>
      </c>
      <c r="D396" t="s">
        <v>32</v>
      </c>
      <c r="E396" t="s">
        <v>18</v>
      </c>
      <c r="F396" t="str">
        <f t="shared" si="18"/>
        <v>Female</v>
      </c>
      <c r="G396">
        <v>24</v>
      </c>
      <c r="H396">
        <v>0</v>
      </c>
      <c r="I396">
        <v>2</v>
      </c>
      <c r="J396">
        <v>16.7</v>
      </c>
      <c r="K396" t="s">
        <v>14</v>
      </c>
      <c r="L396" t="s">
        <v>20</v>
      </c>
      <c r="M396" t="str">
        <f t="shared" si="19"/>
        <v>Woman</v>
      </c>
      <c r="N396" t="b">
        <v>0</v>
      </c>
      <c r="O396" t="s">
        <v>16</v>
      </c>
      <c r="P396" t="s">
        <v>22</v>
      </c>
      <c r="Q396" t="str">
        <f t="shared" si="20"/>
        <v>Yes</v>
      </c>
      <c r="R396" t="b">
        <v>0</v>
      </c>
    </row>
    <row r="397" spans="1:18" x14ac:dyDescent="0.3">
      <c r="A397">
        <v>0</v>
      </c>
      <c r="B397" t="s">
        <v>26</v>
      </c>
      <c r="C397">
        <v>3</v>
      </c>
      <c r="D397" t="s">
        <v>32</v>
      </c>
      <c r="E397" t="s">
        <v>13</v>
      </c>
      <c r="F397" t="str">
        <f t="shared" si="18"/>
        <v>Male</v>
      </c>
      <c r="G397">
        <v>22</v>
      </c>
      <c r="H397">
        <v>0</v>
      </c>
      <c r="I397">
        <v>0</v>
      </c>
      <c r="J397">
        <v>7.7957999999999998</v>
      </c>
      <c r="K397" t="s">
        <v>14</v>
      </c>
      <c r="L397" t="s">
        <v>15</v>
      </c>
      <c r="M397" t="str">
        <f t="shared" si="19"/>
        <v>Man</v>
      </c>
      <c r="N397" t="b">
        <v>1</v>
      </c>
      <c r="O397" t="s">
        <v>16</v>
      </c>
      <c r="P397" t="s">
        <v>17</v>
      </c>
      <c r="Q397" t="str">
        <f t="shared" si="20"/>
        <v>No</v>
      </c>
      <c r="R397" t="b">
        <v>1</v>
      </c>
    </row>
    <row r="398" spans="1:18" x14ac:dyDescent="0.3">
      <c r="A398">
        <v>0</v>
      </c>
      <c r="B398" t="s">
        <v>26</v>
      </c>
      <c r="C398">
        <v>3</v>
      </c>
      <c r="D398" t="s">
        <v>32</v>
      </c>
      <c r="E398" t="s">
        <v>18</v>
      </c>
      <c r="F398" t="str">
        <f t="shared" si="18"/>
        <v>Female</v>
      </c>
      <c r="G398">
        <v>31</v>
      </c>
      <c r="H398">
        <v>0</v>
      </c>
      <c r="I398">
        <v>0</v>
      </c>
      <c r="J398">
        <v>7.8541999999999996</v>
      </c>
      <c r="K398" t="s">
        <v>14</v>
      </c>
      <c r="L398" t="s">
        <v>20</v>
      </c>
      <c r="M398" t="str">
        <f t="shared" si="19"/>
        <v>Woman</v>
      </c>
      <c r="N398" t="b">
        <v>0</v>
      </c>
      <c r="O398" t="s">
        <v>16</v>
      </c>
      <c r="P398" t="s">
        <v>17</v>
      </c>
      <c r="Q398" t="str">
        <f t="shared" si="20"/>
        <v>No</v>
      </c>
      <c r="R398" t="b">
        <v>1</v>
      </c>
    </row>
    <row r="399" spans="1:18" x14ac:dyDescent="0.3">
      <c r="A399">
        <v>0</v>
      </c>
      <c r="B399" t="s">
        <v>26</v>
      </c>
      <c r="C399">
        <v>2</v>
      </c>
      <c r="D399" t="s">
        <v>31</v>
      </c>
      <c r="E399" t="s">
        <v>13</v>
      </c>
      <c r="F399" t="str">
        <f t="shared" si="18"/>
        <v>Male</v>
      </c>
      <c r="G399">
        <v>46</v>
      </c>
      <c r="H399">
        <v>0</v>
      </c>
      <c r="I399">
        <v>0</v>
      </c>
      <c r="J399">
        <v>26</v>
      </c>
      <c r="K399" t="s">
        <v>25</v>
      </c>
      <c r="L399" t="s">
        <v>15</v>
      </c>
      <c r="M399" t="str">
        <f t="shared" si="19"/>
        <v>Man</v>
      </c>
      <c r="N399" t="b">
        <v>1</v>
      </c>
      <c r="O399" t="s">
        <v>16</v>
      </c>
      <c r="P399" t="s">
        <v>17</v>
      </c>
      <c r="Q399" t="str">
        <f t="shared" si="20"/>
        <v>No</v>
      </c>
      <c r="R399" t="b">
        <v>1</v>
      </c>
    </row>
    <row r="400" spans="1:18" x14ac:dyDescent="0.3">
      <c r="A400">
        <v>0</v>
      </c>
      <c r="B400" t="s">
        <v>26</v>
      </c>
      <c r="C400">
        <v>2</v>
      </c>
      <c r="D400" t="s">
        <v>31</v>
      </c>
      <c r="E400" t="s">
        <v>13</v>
      </c>
      <c r="F400" t="str">
        <f t="shared" si="18"/>
        <v>Male</v>
      </c>
      <c r="G400">
        <v>23</v>
      </c>
      <c r="H400">
        <v>0</v>
      </c>
      <c r="I400">
        <v>0</v>
      </c>
      <c r="J400">
        <v>10.5</v>
      </c>
      <c r="K400" t="s">
        <v>25</v>
      </c>
      <c r="L400" t="s">
        <v>15</v>
      </c>
      <c r="M400" t="str">
        <f t="shared" si="19"/>
        <v>Man</v>
      </c>
      <c r="N400" t="b">
        <v>1</v>
      </c>
      <c r="O400" t="s">
        <v>16</v>
      </c>
      <c r="P400" t="s">
        <v>17</v>
      </c>
      <c r="Q400" t="str">
        <f t="shared" si="20"/>
        <v>No</v>
      </c>
      <c r="R400" t="b">
        <v>1</v>
      </c>
    </row>
    <row r="401" spans="1:18" x14ac:dyDescent="0.3">
      <c r="A401">
        <v>1</v>
      </c>
      <c r="B401" t="s">
        <v>27</v>
      </c>
      <c r="C401">
        <v>2</v>
      </c>
      <c r="D401" t="s">
        <v>31</v>
      </c>
      <c r="E401" t="s">
        <v>18</v>
      </c>
      <c r="F401" t="str">
        <f t="shared" si="18"/>
        <v>Female</v>
      </c>
      <c r="G401">
        <v>28</v>
      </c>
      <c r="H401">
        <v>0</v>
      </c>
      <c r="I401">
        <v>0</v>
      </c>
      <c r="J401">
        <v>12.65</v>
      </c>
      <c r="K401" t="s">
        <v>25</v>
      </c>
      <c r="L401" t="s">
        <v>20</v>
      </c>
      <c r="M401" t="str">
        <f t="shared" si="19"/>
        <v>Woman</v>
      </c>
      <c r="N401" t="b">
        <v>0</v>
      </c>
      <c r="O401" t="s">
        <v>16</v>
      </c>
      <c r="P401" t="s">
        <v>22</v>
      </c>
      <c r="Q401" t="str">
        <f t="shared" si="20"/>
        <v>Yes</v>
      </c>
      <c r="R401" t="b">
        <v>1</v>
      </c>
    </row>
    <row r="402" spans="1:18" x14ac:dyDescent="0.3">
      <c r="A402">
        <v>1</v>
      </c>
      <c r="B402" t="s">
        <v>27</v>
      </c>
      <c r="C402">
        <v>3</v>
      </c>
      <c r="D402" t="s">
        <v>32</v>
      </c>
      <c r="E402" t="s">
        <v>13</v>
      </c>
      <c r="F402" t="str">
        <f t="shared" si="18"/>
        <v>Male</v>
      </c>
      <c r="G402">
        <v>39</v>
      </c>
      <c r="H402">
        <v>0</v>
      </c>
      <c r="I402">
        <v>0</v>
      </c>
      <c r="J402">
        <v>7.9249999999999998</v>
      </c>
      <c r="K402" t="s">
        <v>14</v>
      </c>
      <c r="L402" t="s">
        <v>15</v>
      </c>
      <c r="M402" t="str">
        <f t="shared" si="19"/>
        <v>Man</v>
      </c>
      <c r="N402" t="b">
        <v>1</v>
      </c>
      <c r="O402" t="s">
        <v>16</v>
      </c>
      <c r="P402" t="s">
        <v>22</v>
      </c>
      <c r="Q402" t="str">
        <f t="shared" si="20"/>
        <v>Yes</v>
      </c>
      <c r="R402" t="b">
        <v>1</v>
      </c>
    </row>
    <row r="403" spans="1:18" x14ac:dyDescent="0.3">
      <c r="A403">
        <v>0</v>
      </c>
      <c r="B403" t="s">
        <v>26</v>
      </c>
      <c r="C403">
        <v>3</v>
      </c>
      <c r="D403" t="s">
        <v>32</v>
      </c>
      <c r="E403" t="s">
        <v>13</v>
      </c>
      <c r="F403" t="str">
        <f t="shared" si="18"/>
        <v>Male</v>
      </c>
      <c r="G403">
        <v>26</v>
      </c>
      <c r="H403">
        <v>0</v>
      </c>
      <c r="I403">
        <v>0</v>
      </c>
      <c r="J403">
        <v>8.0500000000000007</v>
      </c>
      <c r="K403" t="s">
        <v>14</v>
      </c>
      <c r="L403" t="s">
        <v>15</v>
      </c>
      <c r="M403" t="str">
        <f t="shared" si="19"/>
        <v>Man</v>
      </c>
      <c r="N403" t="b">
        <v>1</v>
      </c>
      <c r="O403" t="s">
        <v>16</v>
      </c>
      <c r="P403" t="s">
        <v>17</v>
      </c>
      <c r="Q403" t="str">
        <f t="shared" si="20"/>
        <v>No</v>
      </c>
      <c r="R403" t="b">
        <v>1</v>
      </c>
    </row>
    <row r="404" spans="1:18" x14ac:dyDescent="0.3">
      <c r="A404">
        <v>0</v>
      </c>
      <c r="B404" t="s">
        <v>26</v>
      </c>
      <c r="C404">
        <v>3</v>
      </c>
      <c r="D404" t="s">
        <v>32</v>
      </c>
      <c r="E404" t="s">
        <v>18</v>
      </c>
      <c r="F404" t="str">
        <f t="shared" si="18"/>
        <v>Female</v>
      </c>
      <c r="G404">
        <v>21</v>
      </c>
      <c r="H404">
        <v>1</v>
      </c>
      <c r="I404">
        <v>0</v>
      </c>
      <c r="J404">
        <v>9.8249999999999993</v>
      </c>
      <c r="K404" t="s">
        <v>14</v>
      </c>
      <c r="L404" t="s">
        <v>20</v>
      </c>
      <c r="M404" t="str">
        <f t="shared" si="19"/>
        <v>Woman</v>
      </c>
      <c r="N404" t="b">
        <v>0</v>
      </c>
      <c r="O404" t="s">
        <v>16</v>
      </c>
      <c r="P404" t="s">
        <v>17</v>
      </c>
      <c r="Q404" t="str">
        <f t="shared" si="20"/>
        <v>No</v>
      </c>
      <c r="R404" t="b">
        <v>0</v>
      </c>
    </row>
    <row r="405" spans="1:18" x14ac:dyDescent="0.3">
      <c r="A405">
        <v>0</v>
      </c>
      <c r="B405" t="s">
        <v>26</v>
      </c>
      <c r="C405">
        <v>3</v>
      </c>
      <c r="D405" t="s">
        <v>32</v>
      </c>
      <c r="E405" t="s">
        <v>13</v>
      </c>
      <c r="F405" t="str">
        <f t="shared" si="18"/>
        <v>Male</v>
      </c>
      <c r="G405">
        <v>28</v>
      </c>
      <c r="H405">
        <v>1</v>
      </c>
      <c r="I405">
        <v>0</v>
      </c>
      <c r="J405">
        <v>15.85</v>
      </c>
      <c r="K405" t="s">
        <v>14</v>
      </c>
      <c r="L405" t="s">
        <v>15</v>
      </c>
      <c r="M405" t="str">
        <f t="shared" si="19"/>
        <v>Man</v>
      </c>
      <c r="N405" t="b">
        <v>1</v>
      </c>
      <c r="O405" t="s">
        <v>16</v>
      </c>
      <c r="P405" t="s">
        <v>17</v>
      </c>
      <c r="Q405" t="str">
        <f t="shared" si="20"/>
        <v>No</v>
      </c>
      <c r="R405" t="b">
        <v>0</v>
      </c>
    </row>
    <row r="406" spans="1:18" x14ac:dyDescent="0.3">
      <c r="A406">
        <v>0</v>
      </c>
      <c r="B406" t="s">
        <v>26</v>
      </c>
      <c r="C406">
        <v>3</v>
      </c>
      <c r="D406" t="s">
        <v>32</v>
      </c>
      <c r="E406" t="s">
        <v>18</v>
      </c>
      <c r="F406" t="str">
        <f t="shared" si="18"/>
        <v>Female</v>
      </c>
      <c r="G406">
        <v>20</v>
      </c>
      <c r="H406">
        <v>0</v>
      </c>
      <c r="I406">
        <v>0</v>
      </c>
      <c r="J406">
        <v>8.6624999999999996</v>
      </c>
      <c r="K406" t="s">
        <v>14</v>
      </c>
      <c r="L406" t="s">
        <v>20</v>
      </c>
      <c r="M406" t="str">
        <f t="shared" si="19"/>
        <v>Woman</v>
      </c>
      <c r="N406" t="b">
        <v>0</v>
      </c>
      <c r="O406" t="s">
        <v>16</v>
      </c>
      <c r="P406" t="s">
        <v>17</v>
      </c>
      <c r="Q406" t="str">
        <f t="shared" si="20"/>
        <v>No</v>
      </c>
      <c r="R406" t="b">
        <v>1</v>
      </c>
    </row>
    <row r="407" spans="1:18" x14ac:dyDescent="0.3">
      <c r="A407">
        <v>0</v>
      </c>
      <c r="B407" t="s">
        <v>26</v>
      </c>
      <c r="C407">
        <v>2</v>
      </c>
      <c r="D407" t="s">
        <v>31</v>
      </c>
      <c r="E407" t="s">
        <v>13</v>
      </c>
      <c r="F407" t="str">
        <f t="shared" si="18"/>
        <v>Male</v>
      </c>
      <c r="G407">
        <v>34</v>
      </c>
      <c r="H407">
        <v>1</v>
      </c>
      <c r="I407">
        <v>0</v>
      </c>
      <c r="J407">
        <v>21</v>
      </c>
      <c r="K407" t="s">
        <v>25</v>
      </c>
      <c r="L407" t="s">
        <v>15</v>
      </c>
      <c r="M407" t="str">
        <f t="shared" si="19"/>
        <v>Man</v>
      </c>
      <c r="N407" t="b">
        <v>1</v>
      </c>
      <c r="O407" t="s">
        <v>16</v>
      </c>
      <c r="P407" t="s">
        <v>17</v>
      </c>
      <c r="Q407" t="str">
        <f t="shared" si="20"/>
        <v>No</v>
      </c>
      <c r="R407" t="b">
        <v>0</v>
      </c>
    </row>
    <row r="408" spans="1:18" x14ac:dyDescent="0.3">
      <c r="A408">
        <v>0</v>
      </c>
      <c r="B408" t="s">
        <v>26</v>
      </c>
      <c r="C408">
        <v>3</v>
      </c>
      <c r="D408" t="s">
        <v>32</v>
      </c>
      <c r="E408" t="s">
        <v>13</v>
      </c>
      <c r="F408" t="str">
        <f t="shared" si="18"/>
        <v>Male</v>
      </c>
      <c r="G408">
        <v>51</v>
      </c>
      <c r="H408">
        <v>0</v>
      </c>
      <c r="I408">
        <v>0</v>
      </c>
      <c r="J408">
        <v>7.75</v>
      </c>
      <c r="K408" t="s">
        <v>14</v>
      </c>
      <c r="L408" t="s">
        <v>15</v>
      </c>
      <c r="M408" t="str">
        <f t="shared" si="19"/>
        <v>Man</v>
      </c>
      <c r="N408" t="b">
        <v>1</v>
      </c>
      <c r="O408" t="s">
        <v>16</v>
      </c>
      <c r="P408" t="s">
        <v>17</v>
      </c>
      <c r="Q408" t="str">
        <f t="shared" si="20"/>
        <v>No</v>
      </c>
      <c r="R408" t="b">
        <v>1</v>
      </c>
    </row>
    <row r="409" spans="1:18" x14ac:dyDescent="0.3">
      <c r="A409">
        <v>1</v>
      </c>
      <c r="B409" t="s">
        <v>27</v>
      </c>
      <c r="C409">
        <v>2</v>
      </c>
      <c r="D409" t="s">
        <v>31</v>
      </c>
      <c r="E409" t="s">
        <v>13</v>
      </c>
      <c r="F409" t="str">
        <f t="shared" si="18"/>
        <v>Male</v>
      </c>
      <c r="G409">
        <v>3</v>
      </c>
      <c r="H409">
        <v>1</v>
      </c>
      <c r="I409">
        <v>1</v>
      </c>
      <c r="J409">
        <v>18.75</v>
      </c>
      <c r="K409" t="s">
        <v>25</v>
      </c>
      <c r="L409" t="s">
        <v>24</v>
      </c>
      <c r="M409" t="str">
        <f t="shared" si="19"/>
        <v>Child</v>
      </c>
      <c r="N409" t="b">
        <v>0</v>
      </c>
      <c r="O409" t="s">
        <v>16</v>
      </c>
      <c r="P409" t="s">
        <v>22</v>
      </c>
      <c r="Q409" t="str">
        <f t="shared" si="20"/>
        <v>Yes</v>
      </c>
      <c r="R409" t="b">
        <v>0</v>
      </c>
    </row>
    <row r="410" spans="1:18" x14ac:dyDescent="0.3">
      <c r="A410">
        <v>0</v>
      </c>
      <c r="B410" t="s">
        <v>26</v>
      </c>
      <c r="C410">
        <v>3</v>
      </c>
      <c r="D410" t="s">
        <v>32</v>
      </c>
      <c r="E410" t="s">
        <v>13</v>
      </c>
      <c r="F410" t="str">
        <f t="shared" si="18"/>
        <v>Male</v>
      </c>
      <c r="G410">
        <v>21</v>
      </c>
      <c r="H410">
        <v>0</v>
      </c>
      <c r="I410">
        <v>0</v>
      </c>
      <c r="J410">
        <v>7.7750000000000004</v>
      </c>
      <c r="K410" t="s">
        <v>14</v>
      </c>
      <c r="L410" t="s">
        <v>15</v>
      </c>
      <c r="M410" t="str">
        <f t="shared" si="19"/>
        <v>Man</v>
      </c>
      <c r="N410" t="b">
        <v>1</v>
      </c>
      <c r="O410" t="s">
        <v>16</v>
      </c>
      <c r="P410" t="s">
        <v>17</v>
      </c>
      <c r="Q410" t="str">
        <f t="shared" si="20"/>
        <v>No</v>
      </c>
      <c r="R410" t="b">
        <v>1</v>
      </c>
    </row>
    <row r="411" spans="1:18" x14ac:dyDescent="0.3">
      <c r="A411">
        <v>0</v>
      </c>
      <c r="B411" t="s">
        <v>26</v>
      </c>
      <c r="C411">
        <v>3</v>
      </c>
      <c r="D411" t="s">
        <v>32</v>
      </c>
      <c r="E411" t="s">
        <v>18</v>
      </c>
      <c r="F411" t="str">
        <f t="shared" si="18"/>
        <v>Female</v>
      </c>
      <c r="G411">
        <v>30</v>
      </c>
      <c r="H411">
        <v>3</v>
      </c>
      <c r="I411">
        <v>1</v>
      </c>
      <c r="J411">
        <v>25.466699999999999</v>
      </c>
      <c r="K411" t="s">
        <v>14</v>
      </c>
      <c r="L411" t="s">
        <v>20</v>
      </c>
      <c r="M411" t="str">
        <f t="shared" si="19"/>
        <v>Woman</v>
      </c>
      <c r="N411" t="b">
        <v>0</v>
      </c>
      <c r="O411" t="s">
        <v>16</v>
      </c>
      <c r="P411" t="s">
        <v>17</v>
      </c>
      <c r="Q411" t="str">
        <f t="shared" si="20"/>
        <v>No</v>
      </c>
      <c r="R411" t="b">
        <v>0</v>
      </c>
    </row>
    <row r="412" spans="1:18" x14ac:dyDescent="0.3">
      <c r="A412">
        <v>0</v>
      </c>
      <c r="B412" t="s">
        <v>26</v>
      </c>
      <c r="C412">
        <v>3</v>
      </c>
      <c r="D412" t="s">
        <v>32</v>
      </c>
      <c r="E412" t="s">
        <v>13</v>
      </c>
      <c r="F412" t="str">
        <f t="shared" si="18"/>
        <v>Male</v>
      </c>
      <c r="G412">
        <v>30</v>
      </c>
      <c r="H412">
        <v>0</v>
      </c>
      <c r="I412">
        <v>0</v>
      </c>
      <c r="J412">
        <v>7.8958000000000004</v>
      </c>
      <c r="K412" t="s">
        <v>14</v>
      </c>
      <c r="L412" t="s">
        <v>15</v>
      </c>
      <c r="M412" t="str">
        <f t="shared" si="19"/>
        <v>Man</v>
      </c>
      <c r="N412" t="b">
        <v>1</v>
      </c>
      <c r="O412" t="s">
        <v>16</v>
      </c>
      <c r="P412" t="s">
        <v>17</v>
      </c>
      <c r="Q412" t="str">
        <f t="shared" si="20"/>
        <v>No</v>
      </c>
      <c r="R412" t="b">
        <v>1</v>
      </c>
    </row>
    <row r="413" spans="1:18" x14ac:dyDescent="0.3">
      <c r="A413">
        <v>0</v>
      </c>
      <c r="B413" t="s">
        <v>26</v>
      </c>
      <c r="C413">
        <v>3</v>
      </c>
      <c r="D413" t="s">
        <v>32</v>
      </c>
      <c r="E413" t="s">
        <v>13</v>
      </c>
      <c r="F413" t="str">
        <f t="shared" si="18"/>
        <v>Male</v>
      </c>
      <c r="G413">
        <v>30</v>
      </c>
      <c r="H413">
        <v>0</v>
      </c>
      <c r="I413">
        <v>0</v>
      </c>
      <c r="J413">
        <v>6.8582999999999998</v>
      </c>
      <c r="K413" t="s">
        <v>14</v>
      </c>
      <c r="L413" t="s">
        <v>15</v>
      </c>
      <c r="M413" t="str">
        <f t="shared" si="19"/>
        <v>Man</v>
      </c>
      <c r="N413" t="b">
        <v>1</v>
      </c>
      <c r="O413" t="s">
        <v>23</v>
      </c>
      <c r="P413" t="s">
        <v>17</v>
      </c>
      <c r="Q413" t="str">
        <f t="shared" si="20"/>
        <v>No</v>
      </c>
      <c r="R413" t="b">
        <v>1</v>
      </c>
    </row>
    <row r="414" spans="1:18" x14ac:dyDescent="0.3">
      <c r="A414">
        <v>1</v>
      </c>
      <c r="B414" t="s">
        <v>27</v>
      </c>
      <c r="C414">
        <v>1</v>
      </c>
      <c r="D414" t="s">
        <v>30</v>
      </c>
      <c r="E414" t="s">
        <v>18</v>
      </c>
      <c r="F414" t="str">
        <f t="shared" si="18"/>
        <v>Female</v>
      </c>
      <c r="G414">
        <v>33</v>
      </c>
      <c r="H414">
        <v>1</v>
      </c>
      <c r="I414">
        <v>0</v>
      </c>
      <c r="J414">
        <v>90</v>
      </c>
      <c r="K414" t="s">
        <v>19</v>
      </c>
      <c r="L414" t="s">
        <v>20</v>
      </c>
      <c r="M414" t="str">
        <f t="shared" si="19"/>
        <v>Woman</v>
      </c>
      <c r="N414" t="b">
        <v>0</v>
      </c>
      <c r="O414" t="s">
        <v>23</v>
      </c>
      <c r="P414" t="s">
        <v>22</v>
      </c>
      <c r="Q414" t="str">
        <f t="shared" si="20"/>
        <v>Yes</v>
      </c>
      <c r="R414" t="b">
        <v>0</v>
      </c>
    </row>
    <row r="415" spans="1:18" x14ac:dyDescent="0.3">
      <c r="A415">
        <v>0</v>
      </c>
      <c r="B415" t="s">
        <v>26</v>
      </c>
      <c r="C415">
        <v>2</v>
      </c>
      <c r="D415" t="s">
        <v>31</v>
      </c>
      <c r="E415" t="s">
        <v>13</v>
      </c>
      <c r="F415" t="str">
        <f t="shared" si="18"/>
        <v>Male</v>
      </c>
      <c r="G415">
        <v>30</v>
      </c>
      <c r="H415">
        <v>0</v>
      </c>
      <c r="I415">
        <v>0</v>
      </c>
      <c r="J415">
        <v>0</v>
      </c>
      <c r="K415" t="s">
        <v>25</v>
      </c>
      <c r="L415" t="s">
        <v>15</v>
      </c>
      <c r="M415" t="str">
        <f t="shared" si="19"/>
        <v>Man</v>
      </c>
      <c r="N415" t="b">
        <v>1</v>
      </c>
      <c r="O415" t="s">
        <v>16</v>
      </c>
      <c r="P415" t="s">
        <v>17</v>
      </c>
      <c r="Q415" t="str">
        <f t="shared" si="20"/>
        <v>No</v>
      </c>
      <c r="R415" t="b">
        <v>1</v>
      </c>
    </row>
    <row r="416" spans="1:18" x14ac:dyDescent="0.3">
      <c r="A416">
        <v>1</v>
      </c>
      <c r="B416" t="s">
        <v>27</v>
      </c>
      <c r="C416">
        <v>3</v>
      </c>
      <c r="D416" t="s">
        <v>32</v>
      </c>
      <c r="E416" t="s">
        <v>13</v>
      </c>
      <c r="F416" t="str">
        <f t="shared" si="18"/>
        <v>Male</v>
      </c>
      <c r="G416">
        <v>44</v>
      </c>
      <c r="H416">
        <v>0</v>
      </c>
      <c r="I416">
        <v>0</v>
      </c>
      <c r="J416">
        <v>7.9249999999999998</v>
      </c>
      <c r="K416" t="s">
        <v>14</v>
      </c>
      <c r="L416" t="s">
        <v>15</v>
      </c>
      <c r="M416" t="str">
        <f t="shared" si="19"/>
        <v>Man</v>
      </c>
      <c r="N416" t="b">
        <v>1</v>
      </c>
      <c r="O416" t="s">
        <v>16</v>
      </c>
      <c r="P416" t="s">
        <v>22</v>
      </c>
      <c r="Q416" t="str">
        <f t="shared" si="20"/>
        <v>Yes</v>
      </c>
      <c r="R416" t="b">
        <v>1</v>
      </c>
    </row>
    <row r="417" spans="1:18" x14ac:dyDescent="0.3">
      <c r="A417">
        <v>0</v>
      </c>
      <c r="B417" t="s">
        <v>26</v>
      </c>
      <c r="C417">
        <v>3</v>
      </c>
      <c r="D417" t="s">
        <v>32</v>
      </c>
      <c r="E417" t="s">
        <v>18</v>
      </c>
      <c r="F417" t="str">
        <f t="shared" si="18"/>
        <v>Female</v>
      </c>
      <c r="G417">
        <v>30</v>
      </c>
      <c r="H417">
        <v>0</v>
      </c>
      <c r="I417">
        <v>0</v>
      </c>
      <c r="J417">
        <v>8.0500000000000007</v>
      </c>
      <c r="K417" t="s">
        <v>14</v>
      </c>
      <c r="L417" t="s">
        <v>20</v>
      </c>
      <c r="M417" t="str">
        <f t="shared" si="19"/>
        <v>Woman</v>
      </c>
      <c r="N417" t="b">
        <v>0</v>
      </c>
      <c r="O417" t="s">
        <v>16</v>
      </c>
      <c r="P417" t="s">
        <v>17</v>
      </c>
      <c r="Q417" t="str">
        <f t="shared" si="20"/>
        <v>No</v>
      </c>
      <c r="R417" t="b">
        <v>1</v>
      </c>
    </row>
    <row r="418" spans="1:18" x14ac:dyDescent="0.3">
      <c r="A418">
        <v>1</v>
      </c>
      <c r="B418" t="s">
        <v>27</v>
      </c>
      <c r="C418">
        <v>2</v>
      </c>
      <c r="D418" t="s">
        <v>31</v>
      </c>
      <c r="E418" t="s">
        <v>18</v>
      </c>
      <c r="F418" t="str">
        <f t="shared" si="18"/>
        <v>Female</v>
      </c>
      <c r="G418">
        <v>34</v>
      </c>
      <c r="H418">
        <v>1</v>
      </c>
      <c r="I418">
        <v>1</v>
      </c>
      <c r="J418">
        <v>32.5</v>
      </c>
      <c r="K418" t="s">
        <v>25</v>
      </c>
      <c r="L418" t="s">
        <v>20</v>
      </c>
      <c r="M418" t="str">
        <f t="shared" si="19"/>
        <v>Woman</v>
      </c>
      <c r="N418" t="b">
        <v>0</v>
      </c>
      <c r="O418" t="s">
        <v>16</v>
      </c>
      <c r="P418" t="s">
        <v>22</v>
      </c>
      <c r="Q418" t="str">
        <f t="shared" si="20"/>
        <v>Yes</v>
      </c>
      <c r="R418" t="b">
        <v>0</v>
      </c>
    </row>
    <row r="419" spans="1:18" x14ac:dyDescent="0.3">
      <c r="A419">
        <v>1</v>
      </c>
      <c r="B419" t="s">
        <v>27</v>
      </c>
      <c r="C419">
        <v>2</v>
      </c>
      <c r="D419" t="s">
        <v>31</v>
      </c>
      <c r="E419" t="s">
        <v>18</v>
      </c>
      <c r="F419" t="str">
        <f t="shared" si="18"/>
        <v>Female</v>
      </c>
      <c r="G419">
        <v>18</v>
      </c>
      <c r="H419">
        <v>0</v>
      </c>
      <c r="I419">
        <v>2</v>
      </c>
      <c r="J419">
        <v>13</v>
      </c>
      <c r="K419" t="s">
        <v>25</v>
      </c>
      <c r="L419" t="s">
        <v>20</v>
      </c>
      <c r="M419" t="str">
        <f t="shared" si="19"/>
        <v>Woman</v>
      </c>
      <c r="N419" t="b">
        <v>0</v>
      </c>
      <c r="O419" t="s">
        <v>16</v>
      </c>
      <c r="P419" t="s">
        <v>22</v>
      </c>
      <c r="Q419" t="str">
        <f t="shared" si="20"/>
        <v>Yes</v>
      </c>
      <c r="R419" t="b">
        <v>0</v>
      </c>
    </row>
    <row r="420" spans="1:18" x14ac:dyDescent="0.3">
      <c r="A420">
        <v>0</v>
      </c>
      <c r="B420" t="s">
        <v>26</v>
      </c>
      <c r="C420">
        <v>2</v>
      </c>
      <c r="D420" t="s">
        <v>31</v>
      </c>
      <c r="E420" t="s">
        <v>13</v>
      </c>
      <c r="F420" t="str">
        <f t="shared" si="18"/>
        <v>Male</v>
      </c>
      <c r="G420">
        <v>30</v>
      </c>
      <c r="H420">
        <v>0</v>
      </c>
      <c r="I420">
        <v>0</v>
      </c>
      <c r="J420">
        <v>13</v>
      </c>
      <c r="K420" t="s">
        <v>25</v>
      </c>
      <c r="L420" t="s">
        <v>15</v>
      </c>
      <c r="M420" t="str">
        <f t="shared" si="19"/>
        <v>Man</v>
      </c>
      <c r="N420" t="b">
        <v>1</v>
      </c>
      <c r="O420" t="s">
        <v>16</v>
      </c>
      <c r="P420" t="s">
        <v>17</v>
      </c>
      <c r="Q420" t="str">
        <f t="shared" si="20"/>
        <v>No</v>
      </c>
      <c r="R420" t="b">
        <v>1</v>
      </c>
    </row>
    <row r="421" spans="1:18" x14ac:dyDescent="0.3">
      <c r="A421">
        <v>0</v>
      </c>
      <c r="B421" t="s">
        <v>26</v>
      </c>
      <c r="C421">
        <v>3</v>
      </c>
      <c r="D421" t="s">
        <v>32</v>
      </c>
      <c r="E421" t="s">
        <v>18</v>
      </c>
      <c r="F421" t="str">
        <f t="shared" si="18"/>
        <v>Female</v>
      </c>
      <c r="G421">
        <v>10</v>
      </c>
      <c r="H421">
        <v>0</v>
      </c>
      <c r="I421">
        <v>2</v>
      </c>
      <c r="J421">
        <v>24.15</v>
      </c>
      <c r="K421" t="s">
        <v>14</v>
      </c>
      <c r="L421" t="s">
        <v>24</v>
      </c>
      <c r="M421" t="str">
        <f t="shared" si="19"/>
        <v>Child</v>
      </c>
      <c r="N421" t="b">
        <v>0</v>
      </c>
      <c r="O421" t="s">
        <v>16</v>
      </c>
      <c r="P421" t="s">
        <v>17</v>
      </c>
      <c r="Q421" t="str">
        <f t="shared" si="20"/>
        <v>No</v>
      </c>
      <c r="R421" t="b">
        <v>0</v>
      </c>
    </row>
    <row r="422" spans="1:18" x14ac:dyDescent="0.3">
      <c r="A422">
        <v>0</v>
      </c>
      <c r="B422" t="s">
        <v>26</v>
      </c>
      <c r="C422">
        <v>3</v>
      </c>
      <c r="D422" t="s">
        <v>32</v>
      </c>
      <c r="E422" t="s">
        <v>13</v>
      </c>
      <c r="F422" t="str">
        <f t="shared" si="18"/>
        <v>Male</v>
      </c>
      <c r="G422">
        <v>30</v>
      </c>
      <c r="H422">
        <v>0</v>
      </c>
      <c r="I422">
        <v>0</v>
      </c>
      <c r="J422">
        <v>7.8958000000000004</v>
      </c>
      <c r="K422" t="s">
        <v>14</v>
      </c>
      <c r="L422" t="s">
        <v>15</v>
      </c>
      <c r="M422" t="str">
        <f t="shared" si="19"/>
        <v>Man</v>
      </c>
      <c r="N422" t="b">
        <v>1</v>
      </c>
      <c r="O422" t="s">
        <v>21</v>
      </c>
      <c r="P422" t="s">
        <v>17</v>
      </c>
      <c r="Q422" t="str">
        <f t="shared" si="20"/>
        <v>No</v>
      </c>
      <c r="R422" t="b">
        <v>1</v>
      </c>
    </row>
    <row r="423" spans="1:18" x14ac:dyDescent="0.3">
      <c r="A423">
        <v>0</v>
      </c>
      <c r="B423" t="s">
        <v>26</v>
      </c>
      <c r="C423">
        <v>3</v>
      </c>
      <c r="D423" t="s">
        <v>32</v>
      </c>
      <c r="E423" t="s">
        <v>13</v>
      </c>
      <c r="F423" t="str">
        <f t="shared" si="18"/>
        <v>Male</v>
      </c>
      <c r="G423">
        <v>21</v>
      </c>
      <c r="H423">
        <v>0</v>
      </c>
      <c r="I423">
        <v>0</v>
      </c>
      <c r="J423">
        <v>7.7332999999999998</v>
      </c>
      <c r="K423" t="s">
        <v>14</v>
      </c>
      <c r="L423" t="s">
        <v>15</v>
      </c>
      <c r="M423" t="str">
        <f t="shared" si="19"/>
        <v>Man</v>
      </c>
      <c r="N423" t="b">
        <v>1</v>
      </c>
      <c r="O423" t="s">
        <v>23</v>
      </c>
      <c r="P423" t="s">
        <v>17</v>
      </c>
      <c r="Q423" t="str">
        <f t="shared" si="20"/>
        <v>No</v>
      </c>
      <c r="R423" t="b">
        <v>1</v>
      </c>
    </row>
    <row r="424" spans="1:18" x14ac:dyDescent="0.3">
      <c r="A424">
        <v>0</v>
      </c>
      <c r="B424" t="s">
        <v>26</v>
      </c>
      <c r="C424">
        <v>3</v>
      </c>
      <c r="D424" t="s">
        <v>32</v>
      </c>
      <c r="E424" t="s">
        <v>13</v>
      </c>
      <c r="F424" t="str">
        <f t="shared" si="18"/>
        <v>Male</v>
      </c>
      <c r="G424">
        <v>29</v>
      </c>
      <c r="H424">
        <v>0</v>
      </c>
      <c r="I424">
        <v>0</v>
      </c>
      <c r="J424">
        <v>7.875</v>
      </c>
      <c r="K424" t="s">
        <v>14</v>
      </c>
      <c r="L424" t="s">
        <v>15</v>
      </c>
      <c r="M424" t="str">
        <f t="shared" si="19"/>
        <v>Man</v>
      </c>
      <c r="N424" t="b">
        <v>1</v>
      </c>
      <c r="O424" t="s">
        <v>16</v>
      </c>
      <c r="P424" t="s">
        <v>17</v>
      </c>
      <c r="Q424" t="str">
        <f t="shared" si="20"/>
        <v>No</v>
      </c>
      <c r="R424" t="b">
        <v>1</v>
      </c>
    </row>
    <row r="425" spans="1:18" x14ac:dyDescent="0.3">
      <c r="A425">
        <v>0</v>
      </c>
      <c r="B425" t="s">
        <v>26</v>
      </c>
      <c r="C425">
        <v>3</v>
      </c>
      <c r="D425" t="s">
        <v>32</v>
      </c>
      <c r="E425" t="s">
        <v>18</v>
      </c>
      <c r="F425" t="str">
        <f t="shared" si="18"/>
        <v>Female</v>
      </c>
      <c r="G425">
        <v>28</v>
      </c>
      <c r="H425">
        <v>1</v>
      </c>
      <c r="I425">
        <v>1</v>
      </c>
      <c r="J425">
        <v>14.4</v>
      </c>
      <c r="K425" t="s">
        <v>14</v>
      </c>
      <c r="L425" t="s">
        <v>20</v>
      </c>
      <c r="M425" t="str">
        <f t="shared" si="19"/>
        <v>Woman</v>
      </c>
      <c r="N425" t="b">
        <v>0</v>
      </c>
      <c r="O425" t="s">
        <v>16</v>
      </c>
      <c r="P425" t="s">
        <v>17</v>
      </c>
      <c r="Q425" t="str">
        <f t="shared" si="20"/>
        <v>No</v>
      </c>
      <c r="R425" t="b">
        <v>0</v>
      </c>
    </row>
    <row r="426" spans="1:18" x14ac:dyDescent="0.3">
      <c r="A426">
        <v>0</v>
      </c>
      <c r="B426" t="s">
        <v>26</v>
      </c>
      <c r="C426">
        <v>3</v>
      </c>
      <c r="D426" t="s">
        <v>32</v>
      </c>
      <c r="E426" t="s">
        <v>13</v>
      </c>
      <c r="F426" t="str">
        <f t="shared" si="18"/>
        <v>Male</v>
      </c>
      <c r="G426">
        <v>18</v>
      </c>
      <c r="H426">
        <v>1</v>
      </c>
      <c r="I426">
        <v>1</v>
      </c>
      <c r="J426">
        <v>20.212499999999999</v>
      </c>
      <c r="K426" t="s">
        <v>14</v>
      </c>
      <c r="L426" t="s">
        <v>15</v>
      </c>
      <c r="M426" t="str">
        <f t="shared" si="19"/>
        <v>Man</v>
      </c>
      <c r="N426" t="b">
        <v>1</v>
      </c>
      <c r="O426" t="s">
        <v>16</v>
      </c>
      <c r="P426" t="s">
        <v>17</v>
      </c>
      <c r="Q426" t="str">
        <f t="shared" si="20"/>
        <v>No</v>
      </c>
      <c r="R426" t="b">
        <v>0</v>
      </c>
    </row>
    <row r="427" spans="1:18" x14ac:dyDescent="0.3">
      <c r="A427">
        <v>0</v>
      </c>
      <c r="B427" t="s">
        <v>26</v>
      </c>
      <c r="C427">
        <v>3</v>
      </c>
      <c r="D427" t="s">
        <v>32</v>
      </c>
      <c r="E427" t="s">
        <v>13</v>
      </c>
      <c r="F427" t="str">
        <f t="shared" si="18"/>
        <v>Male</v>
      </c>
      <c r="G427">
        <v>30</v>
      </c>
      <c r="H427">
        <v>0</v>
      </c>
      <c r="I427">
        <v>0</v>
      </c>
      <c r="J427">
        <v>7.25</v>
      </c>
      <c r="K427" t="s">
        <v>14</v>
      </c>
      <c r="L427" t="s">
        <v>15</v>
      </c>
      <c r="M427" t="str">
        <f t="shared" si="19"/>
        <v>Man</v>
      </c>
      <c r="N427" t="b">
        <v>1</v>
      </c>
      <c r="O427" t="s">
        <v>16</v>
      </c>
      <c r="P427" t="s">
        <v>17</v>
      </c>
      <c r="Q427" t="str">
        <f t="shared" si="20"/>
        <v>No</v>
      </c>
      <c r="R427" t="b">
        <v>1</v>
      </c>
    </row>
    <row r="428" spans="1:18" x14ac:dyDescent="0.3">
      <c r="A428">
        <v>1</v>
      </c>
      <c r="B428" t="s">
        <v>27</v>
      </c>
      <c r="C428">
        <v>2</v>
      </c>
      <c r="D428" t="s">
        <v>31</v>
      </c>
      <c r="E428" t="s">
        <v>18</v>
      </c>
      <c r="F428" t="str">
        <f t="shared" si="18"/>
        <v>Female</v>
      </c>
      <c r="G428">
        <v>28</v>
      </c>
      <c r="H428">
        <v>1</v>
      </c>
      <c r="I428">
        <v>0</v>
      </c>
      <c r="J428">
        <v>26</v>
      </c>
      <c r="K428" t="s">
        <v>25</v>
      </c>
      <c r="L428" t="s">
        <v>20</v>
      </c>
      <c r="M428" t="str">
        <f t="shared" si="19"/>
        <v>Woman</v>
      </c>
      <c r="N428" t="b">
        <v>0</v>
      </c>
      <c r="O428" t="s">
        <v>16</v>
      </c>
      <c r="P428" t="s">
        <v>22</v>
      </c>
      <c r="Q428" t="str">
        <f t="shared" si="20"/>
        <v>Yes</v>
      </c>
      <c r="R428" t="b">
        <v>0</v>
      </c>
    </row>
    <row r="429" spans="1:18" x14ac:dyDescent="0.3">
      <c r="A429">
        <v>1</v>
      </c>
      <c r="B429" t="s">
        <v>27</v>
      </c>
      <c r="C429">
        <v>2</v>
      </c>
      <c r="D429" t="s">
        <v>31</v>
      </c>
      <c r="E429" t="s">
        <v>18</v>
      </c>
      <c r="F429" t="str">
        <f t="shared" si="18"/>
        <v>Female</v>
      </c>
      <c r="G429">
        <v>19</v>
      </c>
      <c r="H429">
        <v>0</v>
      </c>
      <c r="I429">
        <v>0</v>
      </c>
      <c r="J429">
        <v>26</v>
      </c>
      <c r="K429" t="s">
        <v>25</v>
      </c>
      <c r="L429" t="s">
        <v>20</v>
      </c>
      <c r="M429" t="str">
        <f t="shared" si="19"/>
        <v>Woman</v>
      </c>
      <c r="N429" t="b">
        <v>0</v>
      </c>
      <c r="O429" t="s">
        <v>16</v>
      </c>
      <c r="P429" t="s">
        <v>22</v>
      </c>
      <c r="Q429" t="str">
        <f t="shared" si="20"/>
        <v>Yes</v>
      </c>
      <c r="R429" t="b">
        <v>1</v>
      </c>
    </row>
    <row r="430" spans="1:18" x14ac:dyDescent="0.3">
      <c r="A430">
        <v>0</v>
      </c>
      <c r="B430" t="s">
        <v>26</v>
      </c>
      <c r="C430">
        <v>3</v>
      </c>
      <c r="D430" t="s">
        <v>32</v>
      </c>
      <c r="E430" t="s">
        <v>13</v>
      </c>
      <c r="F430" t="str">
        <f t="shared" si="18"/>
        <v>Male</v>
      </c>
      <c r="G430">
        <v>30</v>
      </c>
      <c r="H430">
        <v>0</v>
      </c>
      <c r="I430">
        <v>0</v>
      </c>
      <c r="J430">
        <v>7.75</v>
      </c>
      <c r="K430" t="s">
        <v>14</v>
      </c>
      <c r="L430" t="s">
        <v>15</v>
      </c>
      <c r="M430" t="str">
        <f t="shared" si="19"/>
        <v>Man</v>
      </c>
      <c r="N430" t="b">
        <v>1</v>
      </c>
      <c r="O430" t="s">
        <v>23</v>
      </c>
      <c r="P430" t="s">
        <v>17</v>
      </c>
      <c r="Q430" t="str">
        <f t="shared" si="20"/>
        <v>No</v>
      </c>
      <c r="R430" t="b">
        <v>1</v>
      </c>
    </row>
    <row r="431" spans="1:18" x14ac:dyDescent="0.3">
      <c r="A431">
        <v>1</v>
      </c>
      <c r="B431" t="s">
        <v>27</v>
      </c>
      <c r="C431">
        <v>3</v>
      </c>
      <c r="D431" t="s">
        <v>32</v>
      </c>
      <c r="E431" t="s">
        <v>13</v>
      </c>
      <c r="F431" t="str">
        <f t="shared" si="18"/>
        <v>Male</v>
      </c>
      <c r="G431">
        <v>32</v>
      </c>
      <c r="H431">
        <v>0</v>
      </c>
      <c r="I431">
        <v>0</v>
      </c>
      <c r="J431">
        <v>8.0500000000000007</v>
      </c>
      <c r="K431" t="s">
        <v>14</v>
      </c>
      <c r="L431" t="s">
        <v>15</v>
      </c>
      <c r="M431" t="str">
        <f t="shared" si="19"/>
        <v>Man</v>
      </c>
      <c r="N431" t="b">
        <v>1</v>
      </c>
      <c r="O431" t="s">
        <v>16</v>
      </c>
      <c r="P431" t="s">
        <v>22</v>
      </c>
      <c r="Q431" t="str">
        <f t="shared" si="20"/>
        <v>Yes</v>
      </c>
      <c r="R431" t="b">
        <v>1</v>
      </c>
    </row>
    <row r="432" spans="1:18" x14ac:dyDescent="0.3">
      <c r="A432">
        <v>1</v>
      </c>
      <c r="B432" t="s">
        <v>27</v>
      </c>
      <c r="C432">
        <v>1</v>
      </c>
      <c r="D432" t="s">
        <v>30</v>
      </c>
      <c r="E432" t="s">
        <v>13</v>
      </c>
      <c r="F432" t="str">
        <f t="shared" si="18"/>
        <v>Male</v>
      </c>
      <c r="G432">
        <v>28</v>
      </c>
      <c r="H432">
        <v>0</v>
      </c>
      <c r="I432">
        <v>0</v>
      </c>
      <c r="J432">
        <v>26.55</v>
      </c>
      <c r="K432" t="s">
        <v>19</v>
      </c>
      <c r="L432" t="s">
        <v>15</v>
      </c>
      <c r="M432" t="str">
        <f t="shared" si="19"/>
        <v>Man</v>
      </c>
      <c r="N432" t="b">
        <v>1</v>
      </c>
      <c r="O432" t="s">
        <v>16</v>
      </c>
      <c r="P432" t="s">
        <v>22</v>
      </c>
      <c r="Q432" t="str">
        <f t="shared" si="20"/>
        <v>Yes</v>
      </c>
      <c r="R432" t="b">
        <v>1</v>
      </c>
    </row>
    <row r="433" spans="1:18" x14ac:dyDescent="0.3">
      <c r="A433">
        <v>1</v>
      </c>
      <c r="B433" t="s">
        <v>27</v>
      </c>
      <c r="C433">
        <v>3</v>
      </c>
      <c r="D433" t="s">
        <v>32</v>
      </c>
      <c r="E433" t="s">
        <v>18</v>
      </c>
      <c r="F433" t="str">
        <f t="shared" si="18"/>
        <v>Female</v>
      </c>
      <c r="G433">
        <v>30</v>
      </c>
      <c r="H433">
        <v>1</v>
      </c>
      <c r="I433">
        <v>0</v>
      </c>
      <c r="J433">
        <v>16.100000000000001</v>
      </c>
      <c r="K433" t="s">
        <v>14</v>
      </c>
      <c r="L433" t="s">
        <v>20</v>
      </c>
      <c r="M433" t="str">
        <f t="shared" si="19"/>
        <v>Woman</v>
      </c>
      <c r="N433" t="b">
        <v>0</v>
      </c>
      <c r="O433" t="s">
        <v>16</v>
      </c>
      <c r="P433" t="s">
        <v>22</v>
      </c>
      <c r="Q433" t="str">
        <f t="shared" si="20"/>
        <v>Yes</v>
      </c>
      <c r="R433" t="b">
        <v>0</v>
      </c>
    </row>
    <row r="434" spans="1:18" x14ac:dyDescent="0.3">
      <c r="A434">
        <v>1</v>
      </c>
      <c r="B434" t="s">
        <v>27</v>
      </c>
      <c r="C434">
        <v>2</v>
      </c>
      <c r="D434" t="s">
        <v>31</v>
      </c>
      <c r="E434" t="s">
        <v>18</v>
      </c>
      <c r="F434" t="str">
        <f t="shared" si="18"/>
        <v>Female</v>
      </c>
      <c r="G434">
        <v>42</v>
      </c>
      <c r="H434">
        <v>1</v>
      </c>
      <c r="I434">
        <v>0</v>
      </c>
      <c r="J434">
        <v>26</v>
      </c>
      <c r="K434" t="s">
        <v>25</v>
      </c>
      <c r="L434" t="s">
        <v>20</v>
      </c>
      <c r="M434" t="str">
        <f t="shared" si="19"/>
        <v>Woman</v>
      </c>
      <c r="N434" t="b">
        <v>0</v>
      </c>
      <c r="O434" t="s">
        <v>16</v>
      </c>
      <c r="P434" t="s">
        <v>22</v>
      </c>
      <c r="Q434" t="str">
        <f t="shared" si="20"/>
        <v>Yes</v>
      </c>
      <c r="R434" t="b">
        <v>0</v>
      </c>
    </row>
    <row r="435" spans="1:18" x14ac:dyDescent="0.3">
      <c r="A435">
        <v>0</v>
      </c>
      <c r="B435" t="s">
        <v>26</v>
      </c>
      <c r="C435">
        <v>3</v>
      </c>
      <c r="D435" t="s">
        <v>32</v>
      </c>
      <c r="E435" t="s">
        <v>13</v>
      </c>
      <c r="F435" t="str">
        <f t="shared" si="18"/>
        <v>Male</v>
      </c>
      <c r="G435">
        <v>17</v>
      </c>
      <c r="H435">
        <v>0</v>
      </c>
      <c r="I435">
        <v>0</v>
      </c>
      <c r="J435">
        <v>7.125</v>
      </c>
      <c r="K435" t="s">
        <v>14</v>
      </c>
      <c r="L435" t="s">
        <v>15</v>
      </c>
      <c r="M435" t="str">
        <f t="shared" si="19"/>
        <v>Man</v>
      </c>
      <c r="N435" t="b">
        <v>1</v>
      </c>
      <c r="O435" t="s">
        <v>16</v>
      </c>
      <c r="P435" t="s">
        <v>17</v>
      </c>
      <c r="Q435" t="str">
        <f t="shared" si="20"/>
        <v>No</v>
      </c>
      <c r="R435" t="b">
        <v>1</v>
      </c>
    </row>
    <row r="436" spans="1:18" x14ac:dyDescent="0.3">
      <c r="A436">
        <v>0</v>
      </c>
      <c r="B436" t="s">
        <v>26</v>
      </c>
      <c r="C436">
        <v>1</v>
      </c>
      <c r="D436" t="s">
        <v>30</v>
      </c>
      <c r="E436" t="s">
        <v>13</v>
      </c>
      <c r="F436" t="str">
        <f t="shared" si="18"/>
        <v>Male</v>
      </c>
      <c r="G436">
        <v>50</v>
      </c>
      <c r="H436">
        <v>1</v>
      </c>
      <c r="I436">
        <v>0</v>
      </c>
      <c r="J436">
        <v>55.9</v>
      </c>
      <c r="K436" t="s">
        <v>19</v>
      </c>
      <c r="L436" t="s">
        <v>15</v>
      </c>
      <c r="M436" t="str">
        <f t="shared" si="19"/>
        <v>Man</v>
      </c>
      <c r="N436" t="b">
        <v>1</v>
      </c>
      <c r="O436" t="s">
        <v>16</v>
      </c>
      <c r="P436" t="s">
        <v>17</v>
      </c>
      <c r="Q436" t="str">
        <f t="shared" si="20"/>
        <v>No</v>
      </c>
      <c r="R436" t="b">
        <v>0</v>
      </c>
    </row>
    <row r="437" spans="1:18" x14ac:dyDescent="0.3">
      <c r="A437">
        <v>1</v>
      </c>
      <c r="B437" t="s">
        <v>27</v>
      </c>
      <c r="C437">
        <v>1</v>
      </c>
      <c r="D437" t="s">
        <v>30</v>
      </c>
      <c r="E437" t="s">
        <v>18</v>
      </c>
      <c r="F437" t="str">
        <f t="shared" si="18"/>
        <v>Female</v>
      </c>
      <c r="G437">
        <v>14</v>
      </c>
      <c r="H437">
        <v>1</v>
      </c>
      <c r="I437">
        <v>2</v>
      </c>
      <c r="J437">
        <v>120</v>
      </c>
      <c r="K437" t="s">
        <v>19</v>
      </c>
      <c r="L437" t="s">
        <v>24</v>
      </c>
      <c r="M437" t="str">
        <f t="shared" si="19"/>
        <v>Child</v>
      </c>
      <c r="N437" t="b">
        <v>0</v>
      </c>
      <c r="O437" t="s">
        <v>16</v>
      </c>
      <c r="P437" t="s">
        <v>22</v>
      </c>
      <c r="Q437" t="str">
        <f t="shared" si="20"/>
        <v>Yes</v>
      </c>
      <c r="R437" t="b">
        <v>0</v>
      </c>
    </row>
    <row r="438" spans="1:18" x14ac:dyDescent="0.3">
      <c r="A438">
        <v>0</v>
      </c>
      <c r="B438" t="s">
        <v>26</v>
      </c>
      <c r="C438">
        <v>3</v>
      </c>
      <c r="D438" t="s">
        <v>32</v>
      </c>
      <c r="E438" t="s">
        <v>18</v>
      </c>
      <c r="F438" t="str">
        <f t="shared" si="18"/>
        <v>Female</v>
      </c>
      <c r="G438">
        <v>21</v>
      </c>
      <c r="H438">
        <v>2</v>
      </c>
      <c r="I438">
        <v>2</v>
      </c>
      <c r="J438">
        <v>34.375</v>
      </c>
      <c r="K438" t="s">
        <v>14</v>
      </c>
      <c r="L438" t="s">
        <v>20</v>
      </c>
      <c r="M438" t="str">
        <f t="shared" si="19"/>
        <v>Woman</v>
      </c>
      <c r="N438" t="b">
        <v>0</v>
      </c>
      <c r="O438" t="s">
        <v>16</v>
      </c>
      <c r="P438" t="s">
        <v>17</v>
      </c>
      <c r="Q438" t="str">
        <f t="shared" si="20"/>
        <v>No</v>
      </c>
      <c r="R438" t="b">
        <v>0</v>
      </c>
    </row>
    <row r="439" spans="1:18" x14ac:dyDescent="0.3">
      <c r="A439">
        <v>1</v>
      </c>
      <c r="B439" t="s">
        <v>27</v>
      </c>
      <c r="C439">
        <v>2</v>
      </c>
      <c r="D439" t="s">
        <v>31</v>
      </c>
      <c r="E439" t="s">
        <v>18</v>
      </c>
      <c r="F439" t="str">
        <f t="shared" si="18"/>
        <v>Female</v>
      </c>
      <c r="G439">
        <v>24</v>
      </c>
      <c r="H439">
        <v>2</v>
      </c>
      <c r="I439">
        <v>3</v>
      </c>
      <c r="J439">
        <v>18.75</v>
      </c>
      <c r="K439" t="s">
        <v>25</v>
      </c>
      <c r="L439" t="s">
        <v>20</v>
      </c>
      <c r="M439" t="str">
        <f t="shared" si="19"/>
        <v>Woman</v>
      </c>
      <c r="N439" t="b">
        <v>0</v>
      </c>
      <c r="O439" t="s">
        <v>16</v>
      </c>
      <c r="P439" t="s">
        <v>22</v>
      </c>
      <c r="Q439" t="str">
        <f t="shared" si="20"/>
        <v>Yes</v>
      </c>
      <c r="R439" t="b">
        <v>0</v>
      </c>
    </row>
    <row r="440" spans="1:18" x14ac:dyDescent="0.3">
      <c r="A440">
        <v>0</v>
      </c>
      <c r="B440" t="s">
        <v>26</v>
      </c>
      <c r="C440">
        <v>1</v>
      </c>
      <c r="D440" t="s">
        <v>30</v>
      </c>
      <c r="E440" t="s">
        <v>13</v>
      </c>
      <c r="F440" t="str">
        <f t="shared" si="18"/>
        <v>Male</v>
      </c>
      <c r="G440">
        <v>64</v>
      </c>
      <c r="H440">
        <v>1</v>
      </c>
      <c r="I440">
        <v>4</v>
      </c>
      <c r="J440">
        <v>263</v>
      </c>
      <c r="K440" t="s">
        <v>19</v>
      </c>
      <c r="L440" t="s">
        <v>15</v>
      </c>
      <c r="M440" t="str">
        <f t="shared" si="19"/>
        <v>Man</v>
      </c>
      <c r="N440" t="b">
        <v>1</v>
      </c>
      <c r="O440" t="s">
        <v>16</v>
      </c>
      <c r="P440" t="s">
        <v>17</v>
      </c>
      <c r="Q440" t="str">
        <f t="shared" si="20"/>
        <v>No</v>
      </c>
      <c r="R440" t="b">
        <v>0</v>
      </c>
    </row>
    <row r="441" spans="1:18" x14ac:dyDescent="0.3">
      <c r="A441">
        <v>0</v>
      </c>
      <c r="B441" t="s">
        <v>26</v>
      </c>
      <c r="C441">
        <v>2</v>
      </c>
      <c r="D441" t="s">
        <v>31</v>
      </c>
      <c r="E441" t="s">
        <v>13</v>
      </c>
      <c r="F441" t="str">
        <f t="shared" si="18"/>
        <v>Male</v>
      </c>
      <c r="G441">
        <v>31</v>
      </c>
      <c r="H441">
        <v>0</v>
      </c>
      <c r="I441">
        <v>0</v>
      </c>
      <c r="J441">
        <v>10.5</v>
      </c>
      <c r="K441" t="s">
        <v>25</v>
      </c>
      <c r="L441" t="s">
        <v>15</v>
      </c>
      <c r="M441" t="str">
        <f t="shared" si="19"/>
        <v>Man</v>
      </c>
      <c r="N441" t="b">
        <v>1</v>
      </c>
      <c r="O441" t="s">
        <v>16</v>
      </c>
      <c r="P441" t="s">
        <v>17</v>
      </c>
      <c r="Q441" t="str">
        <f t="shared" si="20"/>
        <v>No</v>
      </c>
      <c r="R441" t="b">
        <v>1</v>
      </c>
    </row>
    <row r="442" spans="1:18" x14ac:dyDescent="0.3">
      <c r="A442">
        <v>1</v>
      </c>
      <c r="B442" t="s">
        <v>27</v>
      </c>
      <c r="C442">
        <v>2</v>
      </c>
      <c r="D442" t="s">
        <v>31</v>
      </c>
      <c r="E442" t="s">
        <v>18</v>
      </c>
      <c r="F442" t="str">
        <f t="shared" si="18"/>
        <v>Female</v>
      </c>
      <c r="G442">
        <v>45</v>
      </c>
      <c r="H442">
        <v>1</v>
      </c>
      <c r="I442">
        <v>1</v>
      </c>
      <c r="J442">
        <v>26.25</v>
      </c>
      <c r="K442" t="s">
        <v>25</v>
      </c>
      <c r="L442" t="s">
        <v>20</v>
      </c>
      <c r="M442" t="str">
        <f t="shared" si="19"/>
        <v>Woman</v>
      </c>
      <c r="N442" t="b">
        <v>0</v>
      </c>
      <c r="O442" t="s">
        <v>16</v>
      </c>
      <c r="P442" t="s">
        <v>22</v>
      </c>
      <c r="Q442" t="str">
        <f t="shared" si="20"/>
        <v>Yes</v>
      </c>
      <c r="R442" t="b">
        <v>0</v>
      </c>
    </row>
    <row r="443" spans="1:18" x14ac:dyDescent="0.3">
      <c r="A443">
        <v>0</v>
      </c>
      <c r="B443" t="s">
        <v>26</v>
      </c>
      <c r="C443">
        <v>3</v>
      </c>
      <c r="D443" t="s">
        <v>32</v>
      </c>
      <c r="E443" t="s">
        <v>13</v>
      </c>
      <c r="F443" t="str">
        <f t="shared" si="18"/>
        <v>Male</v>
      </c>
      <c r="G443">
        <v>20</v>
      </c>
      <c r="H443">
        <v>0</v>
      </c>
      <c r="I443">
        <v>0</v>
      </c>
      <c r="J443">
        <v>9.5</v>
      </c>
      <c r="K443" t="s">
        <v>14</v>
      </c>
      <c r="L443" t="s">
        <v>15</v>
      </c>
      <c r="M443" t="str">
        <f t="shared" si="19"/>
        <v>Man</v>
      </c>
      <c r="N443" t="b">
        <v>1</v>
      </c>
      <c r="O443" t="s">
        <v>16</v>
      </c>
      <c r="P443" t="s">
        <v>17</v>
      </c>
      <c r="Q443" t="str">
        <f t="shared" si="20"/>
        <v>No</v>
      </c>
      <c r="R443" t="b">
        <v>1</v>
      </c>
    </row>
    <row r="444" spans="1:18" x14ac:dyDescent="0.3">
      <c r="A444">
        <v>0</v>
      </c>
      <c r="B444" t="s">
        <v>26</v>
      </c>
      <c r="C444">
        <v>3</v>
      </c>
      <c r="D444" t="s">
        <v>32</v>
      </c>
      <c r="E444" t="s">
        <v>13</v>
      </c>
      <c r="F444" t="str">
        <f t="shared" si="18"/>
        <v>Male</v>
      </c>
      <c r="G444">
        <v>25</v>
      </c>
      <c r="H444">
        <v>1</v>
      </c>
      <c r="I444">
        <v>0</v>
      </c>
      <c r="J444">
        <v>7.7750000000000004</v>
      </c>
      <c r="K444" t="s">
        <v>14</v>
      </c>
      <c r="L444" t="s">
        <v>15</v>
      </c>
      <c r="M444" t="str">
        <f t="shared" si="19"/>
        <v>Man</v>
      </c>
      <c r="N444" t="b">
        <v>1</v>
      </c>
      <c r="O444" t="s">
        <v>16</v>
      </c>
      <c r="P444" t="s">
        <v>17</v>
      </c>
      <c r="Q444" t="str">
        <f t="shared" si="20"/>
        <v>No</v>
      </c>
      <c r="R444" t="b">
        <v>0</v>
      </c>
    </row>
    <row r="445" spans="1:18" x14ac:dyDescent="0.3">
      <c r="A445">
        <v>1</v>
      </c>
      <c r="B445" t="s">
        <v>27</v>
      </c>
      <c r="C445">
        <v>2</v>
      </c>
      <c r="D445" t="s">
        <v>31</v>
      </c>
      <c r="E445" t="s">
        <v>18</v>
      </c>
      <c r="F445" t="str">
        <f t="shared" si="18"/>
        <v>Female</v>
      </c>
      <c r="G445">
        <v>28</v>
      </c>
      <c r="H445">
        <v>0</v>
      </c>
      <c r="I445">
        <v>0</v>
      </c>
      <c r="J445">
        <v>13</v>
      </c>
      <c r="K445" t="s">
        <v>25</v>
      </c>
      <c r="L445" t="s">
        <v>20</v>
      </c>
      <c r="M445" t="str">
        <f t="shared" si="19"/>
        <v>Woman</v>
      </c>
      <c r="N445" t="b">
        <v>0</v>
      </c>
      <c r="O445" t="s">
        <v>16</v>
      </c>
      <c r="P445" t="s">
        <v>22</v>
      </c>
      <c r="Q445" t="str">
        <f t="shared" si="20"/>
        <v>Yes</v>
      </c>
      <c r="R445" t="b">
        <v>1</v>
      </c>
    </row>
    <row r="446" spans="1:18" x14ac:dyDescent="0.3">
      <c r="A446">
        <v>1</v>
      </c>
      <c r="B446" t="s">
        <v>27</v>
      </c>
      <c r="C446">
        <v>3</v>
      </c>
      <c r="D446" t="s">
        <v>32</v>
      </c>
      <c r="E446" t="s">
        <v>13</v>
      </c>
      <c r="F446" t="str">
        <f t="shared" si="18"/>
        <v>Male</v>
      </c>
      <c r="G446">
        <v>30</v>
      </c>
      <c r="H446">
        <v>0</v>
      </c>
      <c r="I446">
        <v>0</v>
      </c>
      <c r="J446">
        <v>8.1125000000000007</v>
      </c>
      <c r="K446" t="s">
        <v>14</v>
      </c>
      <c r="L446" t="s">
        <v>15</v>
      </c>
      <c r="M446" t="str">
        <f t="shared" si="19"/>
        <v>Man</v>
      </c>
      <c r="N446" t="b">
        <v>1</v>
      </c>
      <c r="O446" t="s">
        <v>16</v>
      </c>
      <c r="P446" t="s">
        <v>22</v>
      </c>
      <c r="Q446" t="str">
        <f t="shared" si="20"/>
        <v>Yes</v>
      </c>
      <c r="R446" t="b">
        <v>1</v>
      </c>
    </row>
    <row r="447" spans="1:18" x14ac:dyDescent="0.3">
      <c r="A447">
        <v>1</v>
      </c>
      <c r="B447" t="s">
        <v>27</v>
      </c>
      <c r="C447">
        <v>1</v>
      </c>
      <c r="D447" t="s">
        <v>30</v>
      </c>
      <c r="E447" t="s">
        <v>13</v>
      </c>
      <c r="F447" t="str">
        <f t="shared" si="18"/>
        <v>Male</v>
      </c>
      <c r="G447">
        <v>4</v>
      </c>
      <c r="H447">
        <v>0</v>
      </c>
      <c r="I447">
        <v>2</v>
      </c>
      <c r="J447">
        <v>81.8583</v>
      </c>
      <c r="K447" t="s">
        <v>19</v>
      </c>
      <c r="L447" t="s">
        <v>24</v>
      </c>
      <c r="M447" t="str">
        <f t="shared" si="19"/>
        <v>Child</v>
      </c>
      <c r="N447" t="b">
        <v>0</v>
      </c>
      <c r="O447" t="s">
        <v>16</v>
      </c>
      <c r="P447" t="s">
        <v>22</v>
      </c>
      <c r="Q447" t="str">
        <f t="shared" si="20"/>
        <v>Yes</v>
      </c>
      <c r="R447" t="b">
        <v>0</v>
      </c>
    </row>
    <row r="448" spans="1:18" x14ac:dyDescent="0.3">
      <c r="A448">
        <v>1</v>
      </c>
      <c r="B448" t="s">
        <v>27</v>
      </c>
      <c r="C448">
        <v>2</v>
      </c>
      <c r="D448" t="s">
        <v>31</v>
      </c>
      <c r="E448" t="s">
        <v>18</v>
      </c>
      <c r="F448" t="str">
        <f t="shared" si="18"/>
        <v>Female</v>
      </c>
      <c r="G448">
        <v>13</v>
      </c>
      <c r="H448">
        <v>0</v>
      </c>
      <c r="I448">
        <v>1</v>
      </c>
      <c r="J448">
        <v>19.5</v>
      </c>
      <c r="K448" t="s">
        <v>25</v>
      </c>
      <c r="L448" t="s">
        <v>24</v>
      </c>
      <c r="M448" t="str">
        <f t="shared" si="19"/>
        <v>Child</v>
      </c>
      <c r="N448" t="b">
        <v>0</v>
      </c>
      <c r="O448" t="s">
        <v>16</v>
      </c>
      <c r="P448" t="s">
        <v>22</v>
      </c>
      <c r="Q448" t="str">
        <f t="shared" si="20"/>
        <v>Yes</v>
      </c>
      <c r="R448" t="b">
        <v>0</v>
      </c>
    </row>
    <row r="449" spans="1:18" x14ac:dyDescent="0.3">
      <c r="A449">
        <v>1</v>
      </c>
      <c r="B449" t="s">
        <v>27</v>
      </c>
      <c r="C449">
        <v>1</v>
      </c>
      <c r="D449" t="s">
        <v>30</v>
      </c>
      <c r="E449" t="s">
        <v>13</v>
      </c>
      <c r="F449" t="str">
        <f t="shared" si="18"/>
        <v>Male</v>
      </c>
      <c r="G449">
        <v>34</v>
      </c>
      <c r="H449">
        <v>0</v>
      </c>
      <c r="I449">
        <v>0</v>
      </c>
      <c r="J449">
        <v>26.55</v>
      </c>
      <c r="K449" t="s">
        <v>19</v>
      </c>
      <c r="L449" t="s">
        <v>15</v>
      </c>
      <c r="M449" t="str">
        <f t="shared" si="19"/>
        <v>Man</v>
      </c>
      <c r="N449" t="b">
        <v>1</v>
      </c>
      <c r="O449" t="s">
        <v>16</v>
      </c>
      <c r="P449" t="s">
        <v>22</v>
      </c>
      <c r="Q449" t="str">
        <f t="shared" si="20"/>
        <v>Yes</v>
      </c>
      <c r="R449" t="b">
        <v>1</v>
      </c>
    </row>
    <row r="450" spans="1:18" x14ac:dyDescent="0.3">
      <c r="A450">
        <v>1</v>
      </c>
      <c r="B450" t="s">
        <v>27</v>
      </c>
      <c r="C450">
        <v>3</v>
      </c>
      <c r="D450" t="s">
        <v>32</v>
      </c>
      <c r="E450" t="s">
        <v>18</v>
      </c>
      <c r="F450" t="str">
        <f t="shared" si="18"/>
        <v>Female</v>
      </c>
      <c r="G450">
        <v>5</v>
      </c>
      <c r="H450">
        <v>2</v>
      </c>
      <c r="I450">
        <v>1</v>
      </c>
      <c r="J450">
        <v>19.258299999999998</v>
      </c>
      <c r="K450" t="s">
        <v>14</v>
      </c>
      <c r="L450" t="s">
        <v>24</v>
      </c>
      <c r="M450" t="str">
        <f t="shared" si="19"/>
        <v>Child</v>
      </c>
      <c r="N450" t="b">
        <v>0</v>
      </c>
      <c r="O450" t="s">
        <v>21</v>
      </c>
      <c r="P450" t="s">
        <v>22</v>
      </c>
      <c r="Q450" t="str">
        <f t="shared" si="20"/>
        <v>Yes</v>
      </c>
      <c r="R450" t="b">
        <v>0</v>
      </c>
    </row>
    <row r="451" spans="1:18" x14ac:dyDescent="0.3">
      <c r="A451">
        <v>1</v>
      </c>
      <c r="B451" t="s">
        <v>27</v>
      </c>
      <c r="C451">
        <v>1</v>
      </c>
      <c r="D451" t="s">
        <v>30</v>
      </c>
      <c r="E451" t="s">
        <v>13</v>
      </c>
      <c r="F451" t="str">
        <f t="shared" ref="F451:F514" si="21">PROPER(E451)</f>
        <v>Male</v>
      </c>
      <c r="G451">
        <v>52</v>
      </c>
      <c r="H451">
        <v>0</v>
      </c>
      <c r="I451">
        <v>0</v>
      </c>
      <c r="J451">
        <v>30.5</v>
      </c>
      <c r="K451" t="s">
        <v>19</v>
      </c>
      <c r="L451" t="s">
        <v>15</v>
      </c>
      <c r="M451" t="str">
        <f t="shared" ref="M451:M514" si="22">PROPER(L451)</f>
        <v>Man</v>
      </c>
      <c r="N451" t="b">
        <v>1</v>
      </c>
      <c r="O451" t="s">
        <v>16</v>
      </c>
      <c r="P451" t="s">
        <v>22</v>
      </c>
      <c r="Q451" t="str">
        <f t="shared" ref="Q451:Q514" si="23">PROPER(P451)</f>
        <v>Yes</v>
      </c>
      <c r="R451" t="b">
        <v>1</v>
      </c>
    </row>
    <row r="452" spans="1:18" x14ac:dyDescent="0.3">
      <c r="A452">
        <v>0</v>
      </c>
      <c r="B452" t="s">
        <v>26</v>
      </c>
      <c r="C452">
        <v>2</v>
      </c>
      <c r="D452" t="s">
        <v>31</v>
      </c>
      <c r="E452" t="s">
        <v>13</v>
      </c>
      <c r="F452" t="str">
        <f t="shared" si="21"/>
        <v>Male</v>
      </c>
      <c r="G452">
        <v>36</v>
      </c>
      <c r="H452">
        <v>1</v>
      </c>
      <c r="I452">
        <v>2</v>
      </c>
      <c r="J452">
        <v>27.75</v>
      </c>
      <c r="K452" t="s">
        <v>25</v>
      </c>
      <c r="L452" t="s">
        <v>15</v>
      </c>
      <c r="M452" t="str">
        <f t="shared" si="22"/>
        <v>Man</v>
      </c>
      <c r="N452" t="b">
        <v>1</v>
      </c>
      <c r="O452" t="s">
        <v>16</v>
      </c>
      <c r="P452" t="s">
        <v>17</v>
      </c>
      <c r="Q452" t="str">
        <f t="shared" si="23"/>
        <v>No</v>
      </c>
      <c r="R452" t="b">
        <v>0</v>
      </c>
    </row>
    <row r="453" spans="1:18" x14ac:dyDescent="0.3">
      <c r="A453">
        <v>0</v>
      </c>
      <c r="B453" t="s">
        <v>26</v>
      </c>
      <c r="C453">
        <v>3</v>
      </c>
      <c r="D453" t="s">
        <v>32</v>
      </c>
      <c r="E453" t="s">
        <v>13</v>
      </c>
      <c r="F453" t="str">
        <f t="shared" si="21"/>
        <v>Male</v>
      </c>
      <c r="G453">
        <v>30</v>
      </c>
      <c r="H453">
        <v>1</v>
      </c>
      <c r="I453">
        <v>0</v>
      </c>
      <c r="J453">
        <v>19.966699999999999</v>
      </c>
      <c r="K453" t="s">
        <v>14</v>
      </c>
      <c r="L453" t="s">
        <v>15</v>
      </c>
      <c r="M453" t="str">
        <f t="shared" si="22"/>
        <v>Man</v>
      </c>
      <c r="N453" t="b">
        <v>1</v>
      </c>
      <c r="O453" t="s">
        <v>16</v>
      </c>
      <c r="P453" t="s">
        <v>17</v>
      </c>
      <c r="Q453" t="str">
        <f t="shared" si="23"/>
        <v>No</v>
      </c>
      <c r="R453" t="b">
        <v>0</v>
      </c>
    </row>
    <row r="454" spans="1:18" x14ac:dyDescent="0.3">
      <c r="A454">
        <v>0</v>
      </c>
      <c r="B454" t="s">
        <v>26</v>
      </c>
      <c r="C454">
        <v>1</v>
      </c>
      <c r="D454" t="s">
        <v>30</v>
      </c>
      <c r="E454" t="s">
        <v>13</v>
      </c>
      <c r="F454" t="str">
        <f t="shared" si="21"/>
        <v>Male</v>
      </c>
      <c r="G454">
        <v>30</v>
      </c>
      <c r="H454">
        <v>0</v>
      </c>
      <c r="I454">
        <v>0</v>
      </c>
      <c r="J454">
        <v>27.75</v>
      </c>
      <c r="K454" t="s">
        <v>19</v>
      </c>
      <c r="L454" t="s">
        <v>15</v>
      </c>
      <c r="M454" t="str">
        <f t="shared" si="22"/>
        <v>Man</v>
      </c>
      <c r="N454" t="b">
        <v>1</v>
      </c>
      <c r="O454" t="s">
        <v>21</v>
      </c>
      <c r="P454" t="s">
        <v>17</v>
      </c>
      <c r="Q454" t="str">
        <f t="shared" si="23"/>
        <v>No</v>
      </c>
      <c r="R454" t="b">
        <v>1</v>
      </c>
    </row>
    <row r="455" spans="1:18" x14ac:dyDescent="0.3">
      <c r="A455">
        <v>1</v>
      </c>
      <c r="B455" t="s">
        <v>27</v>
      </c>
      <c r="C455">
        <v>1</v>
      </c>
      <c r="D455" t="s">
        <v>30</v>
      </c>
      <c r="E455" t="s">
        <v>13</v>
      </c>
      <c r="F455" t="str">
        <f t="shared" si="21"/>
        <v>Male</v>
      </c>
      <c r="G455">
        <v>49</v>
      </c>
      <c r="H455">
        <v>1</v>
      </c>
      <c r="I455">
        <v>0</v>
      </c>
      <c r="J455">
        <v>89.104200000000006</v>
      </c>
      <c r="K455" t="s">
        <v>19</v>
      </c>
      <c r="L455" t="s">
        <v>15</v>
      </c>
      <c r="M455" t="str">
        <f t="shared" si="22"/>
        <v>Man</v>
      </c>
      <c r="N455" t="b">
        <v>1</v>
      </c>
      <c r="O455" t="s">
        <v>21</v>
      </c>
      <c r="P455" t="s">
        <v>22</v>
      </c>
      <c r="Q455" t="str">
        <f t="shared" si="23"/>
        <v>Yes</v>
      </c>
      <c r="R455" t="b">
        <v>0</v>
      </c>
    </row>
    <row r="456" spans="1:18" x14ac:dyDescent="0.3">
      <c r="A456">
        <v>0</v>
      </c>
      <c r="B456" t="s">
        <v>26</v>
      </c>
      <c r="C456">
        <v>3</v>
      </c>
      <c r="D456" t="s">
        <v>32</v>
      </c>
      <c r="E456" t="s">
        <v>13</v>
      </c>
      <c r="F456" t="str">
        <f t="shared" si="21"/>
        <v>Male</v>
      </c>
      <c r="G456">
        <v>30</v>
      </c>
      <c r="H456">
        <v>0</v>
      </c>
      <c r="I456">
        <v>0</v>
      </c>
      <c r="J456">
        <v>8.0500000000000007</v>
      </c>
      <c r="K456" t="s">
        <v>14</v>
      </c>
      <c r="L456" t="s">
        <v>15</v>
      </c>
      <c r="M456" t="str">
        <f t="shared" si="22"/>
        <v>Man</v>
      </c>
      <c r="N456" t="b">
        <v>1</v>
      </c>
      <c r="O456" t="s">
        <v>16</v>
      </c>
      <c r="P456" t="s">
        <v>17</v>
      </c>
      <c r="Q456" t="str">
        <f t="shared" si="23"/>
        <v>No</v>
      </c>
      <c r="R456" t="b">
        <v>1</v>
      </c>
    </row>
    <row r="457" spans="1:18" x14ac:dyDescent="0.3">
      <c r="A457">
        <v>1</v>
      </c>
      <c r="B457" t="s">
        <v>27</v>
      </c>
      <c r="C457">
        <v>3</v>
      </c>
      <c r="D457" t="s">
        <v>32</v>
      </c>
      <c r="E457" t="s">
        <v>13</v>
      </c>
      <c r="F457" t="str">
        <f t="shared" si="21"/>
        <v>Male</v>
      </c>
      <c r="G457">
        <v>29</v>
      </c>
      <c r="H457">
        <v>0</v>
      </c>
      <c r="I457">
        <v>0</v>
      </c>
      <c r="J457">
        <v>7.8958000000000004</v>
      </c>
      <c r="K457" t="s">
        <v>14</v>
      </c>
      <c r="L457" t="s">
        <v>15</v>
      </c>
      <c r="M457" t="str">
        <f t="shared" si="22"/>
        <v>Man</v>
      </c>
      <c r="N457" t="b">
        <v>1</v>
      </c>
      <c r="O457" t="s">
        <v>21</v>
      </c>
      <c r="P457" t="s">
        <v>22</v>
      </c>
      <c r="Q457" t="str">
        <f t="shared" si="23"/>
        <v>Yes</v>
      </c>
      <c r="R457" t="b">
        <v>1</v>
      </c>
    </row>
    <row r="458" spans="1:18" x14ac:dyDescent="0.3">
      <c r="A458">
        <v>0</v>
      </c>
      <c r="B458" t="s">
        <v>26</v>
      </c>
      <c r="C458">
        <v>1</v>
      </c>
      <c r="D458" t="s">
        <v>30</v>
      </c>
      <c r="E458" t="s">
        <v>13</v>
      </c>
      <c r="F458" t="str">
        <f t="shared" si="21"/>
        <v>Male</v>
      </c>
      <c r="G458">
        <v>65</v>
      </c>
      <c r="H458">
        <v>0</v>
      </c>
      <c r="I458">
        <v>0</v>
      </c>
      <c r="J458">
        <v>26.55</v>
      </c>
      <c r="K458" t="s">
        <v>19</v>
      </c>
      <c r="L458" t="s">
        <v>15</v>
      </c>
      <c r="M458" t="str">
        <f t="shared" si="22"/>
        <v>Man</v>
      </c>
      <c r="N458" t="b">
        <v>1</v>
      </c>
      <c r="O458" t="s">
        <v>16</v>
      </c>
      <c r="P458" t="s">
        <v>17</v>
      </c>
      <c r="Q458" t="str">
        <f t="shared" si="23"/>
        <v>No</v>
      </c>
      <c r="R458" t="b">
        <v>1</v>
      </c>
    </row>
    <row r="459" spans="1:18" x14ac:dyDescent="0.3">
      <c r="A459">
        <v>1</v>
      </c>
      <c r="B459" t="s">
        <v>27</v>
      </c>
      <c r="C459">
        <v>1</v>
      </c>
      <c r="D459" t="s">
        <v>30</v>
      </c>
      <c r="E459" t="s">
        <v>18</v>
      </c>
      <c r="F459" t="str">
        <f t="shared" si="21"/>
        <v>Female</v>
      </c>
      <c r="G459">
        <v>30</v>
      </c>
      <c r="H459">
        <v>1</v>
      </c>
      <c r="I459">
        <v>0</v>
      </c>
      <c r="J459">
        <v>51.862499999999997</v>
      </c>
      <c r="K459" t="s">
        <v>19</v>
      </c>
      <c r="L459" t="s">
        <v>20</v>
      </c>
      <c r="M459" t="str">
        <f t="shared" si="22"/>
        <v>Woman</v>
      </c>
      <c r="N459" t="b">
        <v>0</v>
      </c>
      <c r="O459" t="s">
        <v>16</v>
      </c>
      <c r="P459" t="s">
        <v>22</v>
      </c>
      <c r="Q459" t="str">
        <f t="shared" si="23"/>
        <v>Yes</v>
      </c>
      <c r="R459" t="b">
        <v>0</v>
      </c>
    </row>
    <row r="460" spans="1:18" x14ac:dyDescent="0.3">
      <c r="A460">
        <v>1</v>
      </c>
      <c r="B460" t="s">
        <v>27</v>
      </c>
      <c r="C460">
        <v>2</v>
      </c>
      <c r="D460" t="s">
        <v>31</v>
      </c>
      <c r="E460" t="s">
        <v>18</v>
      </c>
      <c r="F460" t="str">
        <f t="shared" si="21"/>
        <v>Female</v>
      </c>
      <c r="G460">
        <v>50</v>
      </c>
      <c r="H460">
        <v>0</v>
      </c>
      <c r="I460">
        <v>0</v>
      </c>
      <c r="J460">
        <v>10.5</v>
      </c>
      <c r="K460" t="s">
        <v>25</v>
      </c>
      <c r="L460" t="s">
        <v>20</v>
      </c>
      <c r="M460" t="str">
        <f t="shared" si="22"/>
        <v>Woman</v>
      </c>
      <c r="N460" t="b">
        <v>0</v>
      </c>
      <c r="O460" t="s">
        <v>16</v>
      </c>
      <c r="P460" t="s">
        <v>22</v>
      </c>
      <c r="Q460" t="str">
        <f t="shared" si="23"/>
        <v>Yes</v>
      </c>
      <c r="R460" t="b">
        <v>1</v>
      </c>
    </row>
    <row r="461" spans="1:18" x14ac:dyDescent="0.3">
      <c r="A461">
        <v>0</v>
      </c>
      <c r="B461" t="s">
        <v>26</v>
      </c>
      <c r="C461">
        <v>3</v>
      </c>
      <c r="D461" t="s">
        <v>32</v>
      </c>
      <c r="E461" t="s">
        <v>13</v>
      </c>
      <c r="F461" t="str">
        <f t="shared" si="21"/>
        <v>Male</v>
      </c>
      <c r="G461">
        <v>30</v>
      </c>
      <c r="H461">
        <v>0</v>
      </c>
      <c r="I461">
        <v>0</v>
      </c>
      <c r="J461">
        <v>7.75</v>
      </c>
      <c r="K461" t="s">
        <v>14</v>
      </c>
      <c r="L461" t="s">
        <v>15</v>
      </c>
      <c r="M461" t="str">
        <f t="shared" si="22"/>
        <v>Man</v>
      </c>
      <c r="N461" t="b">
        <v>1</v>
      </c>
      <c r="O461" t="s">
        <v>23</v>
      </c>
      <c r="P461" t="s">
        <v>17</v>
      </c>
      <c r="Q461" t="str">
        <f t="shared" si="23"/>
        <v>No</v>
      </c>
      <c r="R461" t="b">
        <v>1</v>
      </c>
    </row>
    <row r="462" spans="1:18" x14ac:dyDescent="0.3">
      <c r="A462">
        <v>1</v>
      </c>
      <c r="B462" t="s">
        <v>27</v>
      </c>
      <c r="C462">
        <v>1</v>
      </c>
      <c r="D462" t="s">
        <v>30</v>
      </c>
      <c r="E462" t="s">
        <v>13</v>
      </c>
      <c r="F462" t="str">
        <f t="shared" si="21"/>
        <v>Male</v>
      </c>
      <c r="G462">
        <v>48</v>
      </c>
      <c r="H462">
        <v>0</v>
      </c>
      <c r="I462">
        <v>0</v>
      </c>
      <c r="J462">
        <v>26.55</v>
      </c>
      <c r="K462" t="s">
        <v>19</v>
      </c>
      <c r="L462" t="s">
        <v>15</v>
      </c>
      <c r="M462" t="str">
        <f t="shared" si="22"/>
        <v>Man</v>
      </c>
      <c r="N462" t="b">
        <v>1</v>
      </c>
      <c r="O462" t="s">
        <v>16</v>
      </c>
      <c r="P462" t="s">
        <v>22</v>
      </c>
      <c r="Q462" t="str">
        <f t="shared" si="23"/>
        <v>Yes</v>
      </c>
      <c r="R462" t="b">
        <v>1</v>
      </c>
    </row>
    <row r="463" spans="1:18" x14ac:dyDescent="0.3">
      <c r="A463">
        <v>0</v>
      </c>
      <c r="B463" t="s">
        <v>26</v>
      </c>
      <c r="C463">
        <v>3</v>
      </c>
      <c r="D463" t="s">
        <v>32</v>
      </c>
      <c r="E463" t="s">
        <v>13</v>
      </c>
      <c r="F463" t="str">
        <f t="shared" si="21"/>
        <v>Male</v>
      </c>
      <c r="G463">
        <v>34</v>
      </c>
      <c r="H463">
        <v>0</v>
      </c>
      <c r="I463">
        <v>0</v>
      </c>
      <c r="J463">
        <v>8.0500000000000007</v>
      </c>
      <c r="K463" t="s">
        <v>14</v>
      </c>
      <c r="L463" t="s">
        <v>15</v>
      </c>
      <c r="M463" t="str">
        <f t="shared" si="22"/>
        <v>Man</v>
      </c>
      <c r="N463" t="b">
        <v>1</v>
      </c>
      <c r="O463" t="s">
        <v>16</v>
      </c>
      <c r="P463" t="s">
        <v>17</v>
      </c>
      <c r="Q463" t="str">
        <f t="shared" si="23"/>
        <v>No</v>
      </c>
      <c r="R463" t="b">
        <v>1</v>
      </c>
    </row>
    <row r="464" spans="1:18" x14ac:dyDescent="0.3">
      <c r="A464">
        <v>0</v>
      </c>
      <c r="B464" t="s">
        <v>26</v>
      </c>
      <c r="C464">
        <v>1</v>
      </c>
      <c r="D464" t="s">
        <v>30</v>
      </c>
      <c r="E464" t="s">
        <v>13</v>
      </c>
      <c r="F464" t="str">
        <f t="shared" si="21"/>
        <v>Male</v>
      </c>
      <c r="G464">
        <v>47</v>
      </c>
      <c r="H464">
        <v>0</v>
      </c>
      <c r="I464">
        <v>0</v>
      </c>
      <c r="J464">
        <v>38.5</v>
      </c>
      <c r="K464" t="s">
        <v>19</v>
      </c>
      <c r="L464" t="s">
        <v>15</v>
      </c>
      <c r="M464" t="str">
        <f t="shared" si="22"/>
        <v>Man</v>
      </c>
      <c r="N464" t="b">
        <v>1</v>
      </c>
      <c r="O464" t="s">
        <v>16</v>
      </c>
      <c r="P464" t="s">
        <v>17</v>
      </c>
      <c r="Q464" t="str">
        <f t="shared" si="23"/>
        <v>No</v>
      </c>
      <c r="R464" t="b">
        <v>1</v>
      </c>
    </row>
    <row r="465" spans="1:18" x14ac:dyDescent="0.3">
      <c r="A465">
        <v>0</v>
      </c>
      <c r="B465" t="s">
        <v>26</v>
      </c>
      <c r="C465">
        <v>2</v>
      </c>
      <c r="D465" t="s">
        <v>31</v>
      </c>
      <c r="E465" t="s">
        <v>13</v>
      </c>
      <c r="F465" t="str">
        <f t="shared" si="21"/>
        <v>Male</v>
      </c>
      <c r="G465">
        <v>48</v>
      </c>
      <c r="H465">
        <v>0</v>
      </c>
      <c r="I465">
        <v>0</v>
      </c>
      <c r="J465">
        <v>13</v>
      </c>
      <c r="K465" t="s">
        <v>25</v>
      </c>
      <c r="L465" t="s">
        <v>15</v>
      </c>
      <c r="M465" t="str">
        <f t="shared" si="22"/>
        <v>Man</v>
      </c>
      <c r="N465" t="b">
        <v>1</v>
      </c>
      <c r="O465" t="s">
        <v>16</v>
      </c>
      <c r="P465" t="s">
        <v>17</v>
      </c>
      <c r="Q465" t="str">
        <f t="shared" si="23"/>
        <v>No</v>
      </c>
      <c r="R465" t="b">
        <v>1</v>
      </c>
    </row>
    <row r="466" spans="1:18" x14ac:dyDescent="0.3">
      <c r="A466">
        <v>0</v>
      </c>
      <c r="B466" t="s">
        <v>26</v>
      </c>
      <c r="C466">
        <v>3</v>
      </c>
      <c r="D466" t="s">
        <v>32</v>
      </c>
      <c r="E466" t="s">
        <v>13</v>
      </c>
      <c r="F466" t="str">
        <f t="shared" si="21"/>
        <v>Male</v>
      </c>
      <c r="G466">
        <v>30</v>
      </c>
      <c r="H466">
        <v>0</v>
      </c>
      <c r="I466">
        <v>0</v>
      </c>
      <c r="J466">
        <v>8.0500000000000007</v>
      </c>
      <c r="K466" t="s">
        <v>14</v>
      </c>
      <c r="L466" t="s">
        <v>15</v>
      </c>
      <c r="M466" t="str">
        <f t="shared" si="22"/>
        <v>Man</v>
      </c>
      <c r="N466" t="b">
        <v>1</v>
      </c>
      <c r="O466" t="s">
        <v>16</v>
      </c>
      <c r="P466" t="s">
        <v>17</v>
      </c>
      <c r="Q466" t="str">
        <f t="shared" si="23"/>
        <v>No</v>
      </c>
      <c r="R466" t="b">
        <v>1</v>
      </c>
    </row>
    <row r="467" spans="1:18" x14ac:dyDescent="0.3">
      <c r="A467">
        <v>0</v>
      </c>
      <c r="B467" t="s">
        <v>26</v>
      </c>
      <c r="C467">
        <v>3</v>
      </c>
      <c r="D467" t="s">
        <v>32</v>
      </c>
      <c r="E467" t="s">
        <v>13</v>
      </c>
      <c r="F467" t="str">
        <f t="shared" si="21"/>
        <v>Male</v>
      </c>
      <c r="G467">
        <v>38</v>
      </c>
      <c r="H467">
        <v>0</v>
      </c>
      <c r="I467">
        <v>0</v>
      </c>
      <c r="J467">
        <v>7.05</v>
      </c>
      <c r="K467" t="s">
        <v>14</v>
      </c>
      <c r="L467" t="s">
        <v>15</v>
      </c>
      <c r="M467" t="str">
        <f t="shared" si="22"/>
        <v>Man</v>
      </c>
      <c r="N467" t="b">
        <v>1</v>
      </c>
      <c r="O467" t="s">
        <v>16</v>
      </c>
      <c r="P467" t="s">
        <v>17</v>
      </c>
      <c r="Q467" t="str">
        <f t="shared" si="23"/>
        <v>No</v>
      </c>
      <c r="R467" t="b">
        <v>1</v>
      </c>
    </row>
    <row r="468" spans="1:18" x14ac:dyDescent="0.3">
      <c r="A468">
        <v>0</v>
      </c>
      <c r="B468" t="s">
        <v>26</v>
      </c>
      <c r="C468">
        <v>2</v>
      </c>
      <c r="D468" t="s">
        <v>31</v>
      </c>
      <c r="E468" t="s">
        <v>13</v>
      </c>
      <c r="F468" t="str">
        <f t="shared" si="21"/>
        <v>Male</v>
      </c>
      <c r="G468">
        <v>30</v>
      </c>
      <c r="H468">
        <v>0</v>
      </c>
      <c r="I468">
        <v>0</v>
      </c>
      <c r="J468">
        <v>0</v>
      </c>
      <c r="K468" t="s">
        <v>25</v>
      </c>
      <c r="L468" t="s">
        <v>15</v>
      </c>
      <c r="M468" t="str">
        <f t="shared" si="22"/>
        <v>Man</v>
      </c>
      <c r="N468" t="b">
        <v>1</v>
      </c>
      <c r="O468" t="s">
        <v>16</v>
      </c>
      <c r="P468" t="s">
        <v>17</v>
      </c>
      <c r="Q468" t="str">
        <f t="shared" si="23"/>
        <v>No</v>
      </c>
      <c r="R468" t="b">
        <v>1</v>
      </c>
    </row>
    <row r="469" spans="1:18" x14ac:dyDescent="0.3">
      <c r="A469">
        <v>0</v>
      </c>
      <c r="B469" t="s">
        <v>26</v>
      </c>
      <c r="C469">
        <v>1</v>
      </c>
      <c r="D469" t="s">
        <v>30</v>
      </c>
      <c r="E469" t="s">
        <v>13</v>
      </c>
      <c r="F469" t="str">
        <f t="shared" si="21"/>
        <v>Male</v>
      </c>
      <c r="G469">
        <v>56</v>
      </c>
      <c r="H469">
        <v>0</v>
      </c>
      <c r="I469">
        <v>0</v>
      </c>
      <c r="J469">
        <v>26.55</v>
      </c>
      <c r="K469" t="s">
        <v>19</v>
      </c>
      <c r="L469" t="s">
        <v>15</v>
      </c>
      <c r="M469" t="str">
        <f t="shared" si="22"/>
        <v>Man</v>
      </c>
      <c r="N469" t="b">
        <v>1</v>
      </c>
      <c r="O469" t="s">
        <v>16</v>
      </c>
      <c r="P469" t="s">
        <v>17</v>
      </c>
      <c r="Q469" t="str">
        <f t="shared" si="23"/>
        <v>No</v>
      </c>
      <c r="R469" t="b">
        <v>1</v>
      </c>
    </row>
    <row r="470" spans="1:18" x14ac:dyDescent="0.3">
      <c r="A470">
        <v>0</v>
      </c>
      <c r="B470" t="s">
        <v>26</v>
      </c>
      <c r="C470">
        <v>3</v>
      </c>
      <c r="D470" t="s">
        <v>32</v>
      </c>
      <c r="E470" t="s">
        <v>13</v>
      </c>
      <c r="F470" t="str">
        <f t="shared" si="21"/>
        <v>Male</v>
      </c>
      <c r="G470">
        <v>30</v>
      </c>
      <c r="H470">
        <v>0</v>
      </c>
      <c r="I470">
        <v>0</v>
      </c>
      <c r="J470">
        <v>7.7249999999999996</v>
      </c>
      <c r="K470" t="s">
        <v>14</v>
      </c>
      <c r="L470" t="s">
        <v>15</v>
      </c>
      <c r="M470" t="str">
        <f t="shared" si="22"/>
        <v>Man</v>
      </c>
      <c r="N470" t="b">
        <v>1</v>
      </c>
      <c r="O470" t="s">
        <v>23</v>
      </c>
      <c r="P470" t="s">
        <v>17</v>
      </c>
      <c r="Q470" t="str">
        <f t="shared" si="23"/>
        <v>No</v>
      </c>
      <c r="R470" t="b">
        <v>1</v>
      </c>
    </row>
    <row r="471" spans="1:18" x14ac:dyDescent="0.3">
      <c r="A471">
        <v>1</v>
      </c>
      <c r="B471" t="s">
        <v>27</v>
      </c>
      <c r="C471">
        <v>3</v>
      </c>
      <c r="D471" t="s">
        <v>32</v>
      </c>
      <c r="E471" t="s">
        <v>18</v>
      </c>
      <c r="F471" t="str">
        <f t="shared" si="21"/>
        <v>Female</v>
      </c>
      <c r="G471">
        <v>0.75</v>
      </c>
      <c r="H471">
        <v>2</v>
      </c>
      <c r="I471">
        <v>1</v>
      </c>
      <c r="J471">
        <v>19.258299999999998</v>
      </c>
      <c r="K471" t="s">
        <v>14</v>
      </c>
      <c r="L471" t="s">
        <v>24</v>
      </c>
      <c r="M471" t="str">
        <f t="shared" si="22"/>
        <v>Child</v>
      </c>
      <c r="N471" t="b">
        <v>0</v>
      </c>
      <c r="O471" t="s">
        <v>21</v>
      </c>
      <c r="P471" t="s">
        <v>22</v>
      </c>
      <c r="Q471" t="str">
        <f t="shared" si="23"/>
        <v>Yes</v>
      </c>
      <c r="R471" t="b">
        <v>0</v>
      </c>
    </row>
    <row r="472" spans="1:18" x14ac:dyDescent="0.3">
      <c r="A472">
        <v>0</v>
      </c>
      <c r="B472" t="s">
        <v>26</v>
      </c>
      <c r="C472">
        <v>3</v>
      </c>
      <c r="D472" t="s">
        <v>32</v>
      </c>
      <c r="E472" t="s">
        <v>13</v>
      </c>
      <c r="F472" t="str">
        <f t="shared" si="21"/>
        <v>Male</v>
      </c>
      <c r="G472">
        <v>30</v>
      </c>
      <c r="H472">
        <v>0</v>
      </c>
      <c r="I472">
        <v>0</v>
      </c>
      <c r="J472">
        <v>7.25</v>
      </c>
      <c r="K472" t="s">
        <v>14</v>
      </c>
      <c r="L472" t="s">
        <v>15</v>
      </c>
      <c r="M472" t="str">
        <f t="shared" si="22"/>
        <v>Man</v>
      </c>
      <c r="N472" t="b">
        <v>1</v>
      </c>
      <c r="O472" t="s">
        <v>16</v>
      </c>
      <c r="P472" t="s">
        <v>17</v>
      </c>
      <c r="Q472" t="str">
        <f t="shared" si="23"/>
        <v>No</v>
      </c>
      <c r="R472" t="b">
        <v>1</v>
      </c>
    </row>
    <row r="473" spans="1:18" x14ac:dyDescent="0.3">
      <c r="A473">
        <v>0</v>
      </c>
      <c r="B473" t="s">
        <v>26</v>
      </c>
      <c r="C473">
        <v>3</v>
      </c>
      <c r="D473" t="s">
        <v>32</v>
      </c>
      <c r="E473" t="s">
        <v>13</v>
      </c>
      <c r="F473" t="str">
        <f t="shared" si="21"/>
        <v>Male</v>
      </c>
      <c r="G473">
        <v>38</v>
      </c>
      <c r="H473">
        <v>0</v>
      </c>
      <c r="I473">
        <v>0</v>
      </c>
      <c r="J473">
        <v>8.6624999999999996</v>
      </c>
      <c r="K473" t="s">
        <v>14</v>
      </c>
      <c r="L473" t="s">
        <v>15</v>
      </c>
      <c r="M473" t="str">
        <f t="shared" si="22"/>
        <v>Man</v>
      </c>
      <c r="N473" t="b">
        <v>1</v>
      </c>
      <c r="O473" t="s">
        <v>16</v>
      </c>
      <c r="P473" t="s">
        <v>17</v>
      </c>
      <c r="Q473" t="str">
        <f t="shared" si="23"/>
        <v>No</v>
      </c>
      <c r="R473" t="b">
        <v>1</v>
      </c>
    </row>
    <row r="474" spans="1:18" x14ac:dyDescent="0.3">
      <c r="A474">
        <v>1</v>
      </c>
      <c r="B474" t="s">
        <v>27</v>
      </c>
      <c r="C474">
        <v>2</v>
      </c>
      <c r="D474" t="s">
        <v>31</v>
      </c>
      <c r="E474" t="s">
        <v>18</v>
      </c>
      <c r="F474" t="str">
        <f t="shared" si="21"/>
        <v>Female</v>
      </c>
      <c r="G474">
        <v>33</v>
      </c>
      <c r="H474">
        <v>1</v>
      </c>
      <c r="I474">
        <v>2</v>
      </c>
      <c r="J474">
        <v>27.75</v>
      </c>
      <c r="K474" t="s">
        <v>25</v>
      </c>
      <c r="L474" t="s">
        <v>20</v>
      </c>
      <c r="M474" t="str">
        <f t="shared" si="22"/>
        <v>Woman</v>
      </c>
      <c r="N474" t="b">
        <v>0</v>
      </c>
      <c r="O474" t="s">
        <v>16</v>
      </c>
      <c r="P474" t="s">
        <v>22</v>
      </c>
      <c r="Q474" t="str">
        <f t="shared" si="23"/>
        <v>Yes</v>
      </c>
      <c r="R474" t="b">
        <v>0</v>
      </c>
    </row>
    <row r="475" spans="1:18" x14ac:dyDescent="0.3">
      <c r="A475">
        <v>1</v>
      </c>
      <c r="B475" t="s">
        <v>27</v>
      </c>
      <c r="C475">
        <v>2</v>
      </c>
      <c r="D475" t="s">
        <v>31</v>
      </c>
      <c r="E475" t="s">
        <v>18</v>
      </c>
      <c r="F475" t="str">
        <f t="shared" si="21"/>
        <v>Female</v>
      </c>
      <c r="G475">
        <v>23</v>
      </c>
      <c r="H475">
        <v>0</v>
      </c>
      <c r="I475">
        <v>0</v>
      </c>
      <c r="J475">
        <v>13.791700000000001</v>
      </c>
      <c r="K475" t="s">
        <v>25</v>
      </c>
      <c r="L475" t="s">
        <v>20</v>
      </c>
      <c r="M475" t="str">
        <f t="shared" si="22"/>
        <v>Woman</v>
      </c>
      <c r="N475" t="b">
        <v>0</v>
      </c>
      <c r="O475" t="s">
        <v>21</v>
      </c>
      <c r="P475" t="s">
        <v>22</v>
      </c>
      <c r="Q475" t="str">
        <f t="shared" si="23"/>
        <v>Yes</v>
      </c>
      <c r="R475" t="b">
        <v>1</v>
      </c>
    </row>
    <row r="476" spans="1:18" x14ac:dyDescent="0.3">
      <c r="A476">
        <v>0</v>
      </c>
      <c r="B476" t="s">
        <v>26</v>
      </c>
      <c r="C476">
        <v>3</v>
      </c>
      <c r="D476" t="s">
        <v>32</v>
      </c>
      <c r="E476" t="s">
        <v>18</v>
      </c>
      <c r="F476" t="str">
        <f t="shared" si="21"/>
        <v>Female</v>
      </c>
      <c r="G476">
        <v>22</v>
      </c>
      <c r="H476">
        <v>0</v>
      </c>
      <c r="I476">
        <v>0</v>
      </c>
      <c r="J476">
        <v>9.8375000000000004</v>
      </c>
      <c r="K476" t="s">
        <v>14</v>
      </c>
      <c r="L476" t="s">
        <v>20</v>
      </c>
      <c r="M476" t="str">
        <f t="shared" si="22"/>
        <v>Woman</v>
      </c>
      <c r="N476" t="b">
        <v>0</v>
      </c>
      <c r="O476" t="s">
        <v>16</v>
      </c>
      <c r="P476" t="s">
        <v>17</v>
      </c>
      <c r="Q476" t="str">
        <f t="shared" si="23"/>
        <v>No</v>
      </c>
      <c r="R476" t="b">
        <v>1</v>
      </c>
    </row>
    <row r="477" spans="1:18" x14ac:dyDescent="0.3">
      <c r="A477">
        <v>0</v>
      </c>
      <c r="B477" t="s">
        <v>26</v>
      </c>
      <c r="C477">
        <v>1</v>
      </c>
      <c r="D477" t="s">
        <v>30</v>
      </c>
      <c r="E477" t="s">
        <v>13</v>
      </c>
      <c r="F477" t="str">
        <f t="shared" si="21"/>
        <v>Male</v>
      </c>
      <c r="G477">
        <v>30</v>
      </c>
      <c r="H477">
        <v>0</v>
      </c>
      <c r="I477">
        <v>0</v>
      </c>
      <c r="J477">
        <v>52</v>
      </c>
      <c r="K477" t="s">
        <v>19</v>
      </c>
      <c r="L477" t="s">
        <v>15</v>
      </c>
      <c r="M477" t="str">
        <f t="shared" si="22"/>
        <v>Man</v>
      </c>
      <c r="N477" t="b">
        <v>1</v>
      </c>
      <c r="O477" t="s">
        <v>16</v>
      </c>
      <c r="P477" t="s">
        <v>17</v>
      </c>
      <c r="Q477" t="str">
        <f t="shared" si="23"/>
        <v>No</v>
      </c>
      <c r="R477" t="b">
        <v>1</v>
      </c>
    </row>
    <row r="478" spans="1:18" x14ac:dyDescent="0.3">
      <c r="A478">
        <v>0</v>
      </c>
      <c r="B478" t="s">
        <v>26</v>
      </c>
      <c r="C478">
        <v>2</v>
      </c>
      <c r="D478" t="s">
        <v>31</v>
      </c>
      <c r="E478" t="s">
        <v>13</v>
      </c>
      <c r="F478" t="str">
        <f t="shared" si="21"/>
        <v>Male</v>
      </c>
      <c r="G478">
        <v>34</v>
      </c>
      <c r="H478">
        <v>1</v>
      </c>
      <c r="I478">
        <v>0</v>
      </c>
      <c r="J478">
        <v>21</v>
      </c>
      <c r="K478" t="s">
        <v>25</v>
      </c>
      <c r="L478" t="s">
        <v>15</v>
      </c>
      <c r="M478" t="str">
        <f t="shared" si="22"/>
        <v>Man</v>
      </c>
      <c r="N478" t="b">
        <v>1</v>
      </c>
      <c r="O478" t="s">
        <v>16</v>
      </c>
      <c r="P478" t="s">
        <v>17</v>
      </c>
      <c r="Q478" t="str">
        <f t="shared" si="23"/>
        <v>No</v>
      </c>
      <c r="R478" t="b">
        <v>0</v>
      </c>
    </row>
    <row r="479" spans="1:18" x14ac:dyDescent="0.3">
      <c r="A479">
        <v>0</v>
      </c>
      <c r="B479" t="s">
        <v>26</v>
      </c>
      <c r="C479">
        <v>3</v>
      </c>
      <c r="D479" t="s">
        <v>32</v>
      </c>
      <c r="E479" t="s">
        <v>13</v>
      </c>
      <c r="F479" t="str">
        <f t="shared" si="21"/>
        <v>Male</v>
      </c>
      <c r="G479">
        <v>29</v>
      </c>
      <c r="H479">
        <v>1</v>
      </c>
      <c r="I479">
        <v>0</v>
      </c>
      <c r="J479">
        <v>7.0457999999999998</v>
      </c>
      <c r="K479" t="s">
        <v>14</v>
      </c>
      <c r="L479" t="s">
        <v>15</v>
      </c>
      <c r="M479" t="str">
        <f t="shared" si="22"/>
        <v>Man</v>
      </c>
      <c r="N479" t="b">
        <v>1</v>
      </c>
      <c r="O479" t="s">
        <v>16</v>
      </c>
      <c r="P479" t="s">
        <v>17</v>
      </c>
      <c r="Q479" t="str">
        <f t="shared" si="23"/>
        <v>No</v>
      </c>
      <c r="R479" t="b">
        <v>0</v>
      </c>
    </row>
    <row r="480" spans="1:18" x14ac:dyDescent="0.3">
      <c r="A480">
        <v>0</v>
      </c>
      <c r="B480" t="s">
        <v>26</v>
      </c>
      <c r="C480">
        <v>3</v>
      </c>
      <c r="D480" t="s">
        <v>32</v>
      </c>
      <c r="E480" t="s">
        <v>13</v>
      </c>
      <c r="F480" t="str">
        <f t="shared" si="21"/>
        <v>Male</v>
      </c>
      <c r="G480">
        <v>22</v>
      </c>
      <c r="H480">
        <v>0</v>
      </c>
      <c r="I480">
        <v>0</v>
      </c>
      <c r="J480">
        <v>7.5208000000000004</v>
      </c>
      <c r="K480" t="s">
        <v>14</v>
      </c>
      <c r="L480" t="s">
        <v>15</v>
      </c>
      <c r="M480" t="str">
        <f t="shared" si="22"/>
        <v>Man</v>
      </c>
      <c r="N480" t="b">
        <v>1</v>
      </c>
      <c r="O480" t="s">
        <v>16</v>
      </c>
      <c r="P480" t="s">
        <v>17</v>
      </c>
      <c r="Q480" t="str">
        <f t="shared" si="23"/>
        <v>No</v>
      </c>
      <c r="R480" t="b">
        <v>1</v>
      </c>
    </row>
    <row r="481" spans="1:18" x14ac:dyDescent="0.3">
      <c r="A481">
        <v>1</v>
      </c>
      <c r="B481" t="s">
        <v>27</v>
      </c>
      <c r="C481">
        <v>3</v>
      </c>
      <c r="D481" t="s">
        <v>32</v>
      </c>
      <c r="E481" t="s">
        <v>18</v>
      </c>
      <c r="F481" t="str">
        <f t="shared" si="21"/>
        <v>Female</v>
      </c>
      <c r="G481">
        <v>2</v>
      </c>
      <c r="H481">
        <v>0</v>
      </c>
      <c r="I481">
        <v>1</v>
      </c>
      <c r="J481">
        <v>12.2875</v>
      </c>
      <c r="K481" t="s">
        <v>14</v>
      </c>
      <c r="L481" t="s">
        <v>24</v>
      </c>
      <c r="M481" t="str">
        <f t="shared" si="22"/>
        <v>Child</v>
      </c>
      <c r="N481" t="b">
        <v>0</v>
      </c>
      <c r="O481" t="s">
        <v>16</v>
      </c>
      <c r="P481" t="s">
        <v>22</v>
      </c>
      <c r="Q481" t="str">
        <f t="shared" si="23"/>
        <v>Yes</v>
      </c>
      <c r="R481" t="b">
        <v>0</v>
      </c>
    </row>
    <row r="482" spans="1:18" x14ac:dyDescent="0.3">
      <c r="A482">
        <v>0</v>
      </c>
      <c r="B482" t="s">
        <v>26</v>
      </c>
      <c r="C482">
        <v>3</v>
      </c>
      <c r="D482" t="s">
        <v>32</v>
      </c>
      <c r="E482" t="s">
        <v>13</v>
      </c>
      <c r="F482" t="str">
        <f t="shared" si="21"/>
        <v>Male</v>
      </c>
      <c r="G482">
        <v>9</v>
      </c>
      <c r="H482">
        <v>5</v>
      </c>
      <c r="I482">
        <v>2</v>
      </c>
      <c r="J482">
        <v>46.9</v>
      </c>
      <c r="K482" t="s">
        <v>14</v>
      </c>
      <c r="L482" t="s">
        <v>24</v>
      </c>
      <c r="M482" t="str">
        <f t="shared" si="22"/>
        <v>Child</v>
      </c>
      <c r="N482" t="b">
        <v>0</v>
      </c>
      <c r="O482" t="s">
        <v>16</v>
      </c>
      <c r="P482" t="s">
        <v>17</v>
      </c>
      <c r="Q482" t="str">
        <f t="shared" si="23"/>
        <v>No</v>
      </c>
      <c r="R482" t="b">
        <v>0</v>
      </c>
    </row>
    <row r="483" spans="1:18" x14ac:dyDescent="0.3">
      <c r="A483">
        <v>0</v>
      </c>
      <c r="B483" t="s">
        <v>26</v>
      </c>
      <c r="C483">
        <v>2</v>
      </c>
      <c r="D483" t="s">
        <v>31</v>
      </c>
      <c r="E483" t="s">
        <v>13</v>
      </c>
      <c r="F483" t="str">
        <f t="shared" si="21"/>
        <v>Male</v>
      </c>
      <c r="G483">
        <v>30</v>
      </c>
      <c r="H483">
        <v>0</v>
      </c>
      <c r="I483">
        <v>0</v>
      </c>
      <c r="J483">
        <v>0</v>
      </c>
      <c r="K483" t="s">
        <v>25</v>
      </c>
      <c r="L483" t="s">
        <v>15</v>
      </c>
      <c r="M483" t="str">
        <f t="shared" si="22"/>
        <v>Man</v>
      </c>
      <c r="N483" t="b">
        <v>1</v>
      </c>
      <c r="O483" t="s">
        <v>16</v>
      </c>
      <c r="P483" t="s">
        <v>17</v>
      </c>
      <c r="Q483" t="str">
        <f t="shared" si="23"/>
        <v>No</v>
      </c>
      <c r="R483" t="b">
        <v>1</v>
      </c>
    </row>
    <row r="484" spans="1:18" x14ac:dyDescent="0.3">
      <c r="A484">
        <v>0</v>
      </c>
      <c r="B484" t="s">
        <v>26</v>
      </c>
      <c r="C484">
        <v>3</v>
      </c>
      <c r="D484" t="s">
        <v>32</v>
      </c>
      <c r="E484" t="s">
        <v>13</v>
      </c>
      <c r="F484" t="str">
        <f t="shared" si="21"/>
        <v>Male</v>
      </c>
      <c r="G484">
        <v>50</v>
      </c>
      <c r="H484">
        <v>0</v>
      </c>
      <c r="I484">
        <v>0</v>
      </c>
      <c r="J484">
        <v>8.0500000000000007</v>
      </c>
      <c r="K484" t="s">
        <v>14</v>
      </c>
      <c r="L484" t="s">
        <v>15</v>
      </c>
      <c r="M484" t="str">
        <f t="shared" si="22"/>
        <v>Man</v>
      </c>
      <c r="N484" t="b">
        <v>1</v>
      </c>
      <c r="O484" t="s">
        <v>16</v>
      </c>
      <c r="P484" t="s">
        <v>17</v>
      </c>
      <c r="Q484" t="str">
        <f t="shared" si="23"/>
        <v>No</v>
      </c>
      <c r="R484" t="b">
        <v>1</v>
      </c>
    </row>
    <row r="485" spans="1:18" x14ac:dyDescent="0.3">
      <c r="A485">
        <v>1</v>
      </c>
      <c r="B485" t="s">
        <v>27</v>
      </c>
      <c r="C485">
        <v>3</v>
      </c>
      <c r="D485" t="s">
        <v>32</v>
      </c>
      <c r="E485" t="s">
        <v>18</v>
      </c>
      <c r="F485" t="str">
        <f t="shared" si="21"/>
        <v>Female</v>
      </c>
      <c r="G485">
        <v>63</v>
      </c>
      <c r="H485">
        <v>0</v>
      </c>
      <c r="I485">
        <v>0</v>
      </c>
      <c r="J485">
        <v>9.5875000000000004</v>
      </c>
      <c r="K485" t="s">
        <v>14</v>
      </c>
      <c r="L485" t="s">
        <v>20</v>
      </c>
      <c r="M485" t="str">
        <f t="shared" si="22"/>
        <v>Woman</v>
      </c>
      <c r="N485" t="b">
        <v>0</v>
      </c>
      <c r="O485" t="s">
        <v>16</v>
      </c>
      <c r="P485" t="s">
        <v>22</v>
      </c>
      <c r="Q485" t="str">
        <f t="shared" si="23"/>
        <v>Yes</v>
      </c>
      <c r="R485" t="b">
        <v>1</v>
      </c>
    </row>
    <row r="486" spans="1:18" x14ac:dyDescent="0.3">
      <c r="A486">
        <v>1</v>
      </c>
      <c r="B486" t="s">
        <v>27</v>
      </c>
      <c r="C486">
        <v>1</v>
      </c>
      <c r="D486" t="s">
        <v>30</v>
      </c>
      <c r="E486" t="s">
        <v>13</v>
      </c>
      <c r="F486" t="str">
        <f t="shared" si="21"/>
        <v>Male</v>
      </c>
      <c r="G486">
        <v>25</v>
      </c>
      <c r="H486">
        <v>1</v>
      </c>
      <c r="I486">
        <v>0</v>
      </c>
      <c r="J486">
        <v>91.0792</v>
      </c>
      <c r="K486" t="s">
        <v>19</v>
      </c>
      <c r="L486" t="s">
        <v>15</v>
      </c>
      <c r="M486" t="str">
        <f t="shared" si="22"/>
        <v>Man</v>
      </c>
      <c r="N486" t="b">
        <v>1</v>
      </c>
      <c r="O486" t="s">
        <v>21</v>
      </c>
      <c r="P486" t="s">
        <v>22</v>
      </c>
      <c r="Q486" t="str">
        <f t="shared" si="23"/>
        <v>Yes</v>
      </c>
      <c r="R486" t="b">
        <v>0</v>
      </c>
    </row>
    <row r="487" spans="1:18" x14ac:dyDescent="0.3">
      <c r="A487">
        <v>0</v>
      </c>
      <c r="B487" t="s">
        <v>26</v>
      </c>
      <c r="C487">
        <v>3</v>
      </c>
      <c r="D487" t="s">
        <v>32</v>
      </c>
      <c r="E487" t="s">
        <v>18</v>
      </c>
      <c r="F487" t="str">
        <f t="shared" si="21"/>
        <v>Female</v>
      </c>
      <c r="G487">
        <v>30</v>
      </c>
      <c r="H487">
        <v>3</v>
      </c>
      <c r="I487">
        <v>1</v>
      </c>
      <c r="J487">
        <v>25.466699999999999</v>
      </c>
      <c r="K487" t="s">
        <v>14</v>
      </c>
      <c r="L487" t="s">
        <v>20</v>
      </c>
      <c r="M487" t="str">
        <f t="shared" si="22"/>
        <v>Woman</v>
      </c>
      <c r="N487" t="b">
        <v>0</v>
      </c>
      <c r="O487" t="s">
        <v>16</v>
      </c>
      <c r="P487" t="s">
        <v>17</v>
      </c>
      <c r="Q487" t="str">
        <f t="shared" si="23"/>
        <v>No</v>
      </c>
      <c r="R487" t="b">
        <v>0</v>
      </c>
    </row>
    <row r="488" spans="1:18" x14ac:dyDescent="0.3">
      <c r="A488">
        <v>1</v>
      </c>
      <c r="B488" t="s">
        <v>27</v>
      </c>
      <c r="C488">
        <v>1</v>
      </c>
      <c r="D488" t="s">
        <v>30</v>
      </c>
      <c r="E488" t="s">
        <v>18</v>
      </c>
      <c r="F488" t="str">
        <f t="shared" si="21"/>
        <v>Female</v>
      </c>
      <c r="G488">
        <v>35</v>
      </c>
      <c r="H488">
        <v>1</v>
      </c>
      <c r="I488">
        <v>0</v>
      </c>
      <c r="J488">
        <v>90</v>
      </c>
      <c r="K488" t="s">
        <v>19</v>
      </c>
      <c r="L488" t="s">
        <v>20</v>
      </c>
      <c r="M488" t="str">
        <f t="shared" si="22"/>
        <v>Woman</v>
      </c>
      <c r="N488" t="b">
        <v>0</v>
      </c>
      <c r="O488" t="s">
        <v>16</v>
      </c>
      <c r="P488" t="s">
        <v>22</v>
      </c>
      <c r="Q488" t="str">
        <f t="shared" si="23"/>
        <v>Yes</v>
      </c>
      <c r="R488" t="b">
        <v>0</v>
      </c>
    </row>
    <row r="489" spans="1:18" x14ac:dyDescent="0.3">
      <c r="A489">
        <v>0</v>
      </c>
      <c r="B489" t="s">
        <v>26</v>
      </c>
      <c r="C489">
        <v>1</v>
      </c>
      <c r="D489" t="s">
        <v>30</v>
      </c>
      <c r="E489" t="s">
        <v>13</v>
      </c>
      <c r="F489" t="str">
        <f t="shared" si="21"/>
        <v>Male</v>
      </c>
      <c r="G489">
        <v>58</v>
      </c>
      <c r="H489">
        <v>0</v>
      </c>
      <c r="I489">
        <v>0</v>
      </c>
      <c r="J489">
        <v>29.7</v>
      </c>
      <c r="K489" t="s">
        <v>19</v>
      </c>
      <c r="L489" t="s">
        <v>15</v>
      </c>
      <c r="M489" t="str">
        <f t="shared" si="22"/>
        <v>Man</v>
      </c>
      <c r="N489" t="b">
        <v>1</v>
      </c>
      <c r="O489" t="s">
        <v>21</v>
      </c>
      <c r="P489" t="s">
        <v>17</v>
      </c>
      <c r="Q489" t="str">
        <f t="shared" si="23"/>
        <v>No</v>
      </c>
      <c r="R489" t="b">
        <v>1</v>
      </c>
    </row>
    <row r="490" spans="1:18" x14ac:dyDescent="0.3">
      <c r="A490">
        <v>0</v>
      </c>
      <c r="B490" t="s">
        <v>26</v>
      </c>
      <c r="C490">
        <v>3</v>
      </c>
      <c r="D490" t="s">
        <v>32</v>
      </c>
      <c r="E490" t="s">
        <v>13</v>
      </c>
      <c r="F490" t="str">
        <f t="shared" si="21"/>
        <v>Male</v>
      </c>
      <c r="G490">
        <v>30</v>
      </c>
      <c r="H490">
        <v>0</v>
      </c>
      <c r="I490">
        <v>0</v>
      </c>
      <c r="J490">
        <v>8.0500000000000007</v>
      </c>
      <c r="K490" t="s">
        <v>14</v>
      </c>
      <c r="L490" t="s">
        <v>15</v>
      </c>
      <c r="M490" t="str">
        <f t="shared" si="22"/>
        <v>Man</v>
      </c>
      <c r="N490" t="b">
        <v>1</v>
      </c>
      <c r="O490" t="s">
        <v>16</v>
      </c>
      <c r="P490" t="s">
        <v>17</v>
      </c>
      <c r="Q490" t="str">
        <f t="shared" si="23"/>
        <v>No</v>
      </c>
      <c r="R490" t="b">
        <v>1</v>
      </c>
    </row>
    <row r="491" spans="1:18" x14ac:dyDescent="0.3">
      <c r="A491">
        <v>1</v>
      </c>
      <c r="B491" t="s">
        <v>27</v>
      </c>
      <c r="C491">
        <v>3</v>
      </c>
      <c r="D491" t="s">
        <v>32</v>
      </c>
      <c r="E491" t="s">
        <v>13</v>
      </c>
      <c r="F491" t="str">
        <f t="shared" si="21"/>
        <v>Male</v>
      </c>
      <c r="G491">
        <v>9</v>
      </c>
      <c r="H491">
        <v>1</v>
      </c>
      <c r="I491">
        <v>1</v>
      </c>
      <c r="J491">
        <v>15.9</v>
      </c>
      <c r="K491" t="s">
        <v>14</v>
      </c>
      <c r="L491" t="s">
        <v>24</v>
      </c>
      <c r="M491" t="str">
        <f t="shared" si="22"/>
        <v>Child</v>
      </c>
      <c r="N491" t="b">
        <v>0</v>
      </c>
      <c r="O491" t="s">
        <v>16</v>
      </c>
      <c r="P491" t="s">
        <v>22</v>
      </c>
      <c r="Q491" t="str">
        <f t="shared" si="23"/>
        <v>Yes</v>
      </c>
      <c r="R491" t="b">
        <v>0</v>
      </c>
    </row>
    <row r="492" spans="1:18" x14ac:dyDescent="0.3">
      <c r="A492">
        <v>0</v>
      </c>
      <c r="B492" t="s">
        <v>26</v>
      </c>
      <c r="C492">
        <v>3</v>
      </c>
      <c r="D492" t="s">
        <v>32</v>
      </c>
      <c r="E492" t="s">
        <v>13</v>
      </c>
      <c r="F492" t="str">
        <f t="shared" si="21"/>
        <v>Male</v>
      </c>
      <c r="G492">
        <v>30</v>
      </c>
      <c r="H492">
        <v>1</v>
      </c>
      <c r="I492">
        <v>0</v>
      </c>
      <c r="J492">
        <v>19.966699999999999</v>
      </c>
      <c r="K492" t="s">
        <v>14</v>
      </c>
      <c r="L492" t="s">
        <v>15</v>
      </c>
      <c r="M492" t="str">
        <f t="shared" si="22"/>
        <v>Man</v>
      </c>
      <c r="N492" t="b">
        <v>1</v>
      </c>
      <c r="O492" t="s">
        <v>16</v>
      </c>
      <c r="P492" t="s">
        <v>17</v>
      </c>
      <c r="Q492" t="str">
        <f t="shared" si="23"/>
        <v>No</v>
      </c>
      <c r="R492" t="b">
        <v>0</v>
      </c>
    </row>
    <row r="493" spans="1:18" x14ac:dyDescent="0.3">
      <c r="A493">
        <v>0</v>
      </c>
      <c r="B493" t="s">
        <v>26</v>
      </c>
      <c r="C493">
        <v>3</v>
      </c>
      <c r="D493" t="s">
        <v>32</v>
      </c>
      <c r="E493" t="s">
        <v>13</v>
      </c>
      <c r="F493" t="str">
        <f t="shared" si="21"/>
        <v>Male</v>
      </c>
      <c r="G493">
        <v>21</v>
      </c>
      <c r="H493">
        <v>0</v>
      </c>
      <c r="I493">
        <v>0</v>
      </c>
      <c r="J493">
        <v>7.25</v>
      </c>
      <c r="K493" t="s">
        <v>14</v>
      </c>
      <c r="L493" t="s">
        <v>15</v>
      </c>
      <c r="M493" t="str">
        <f t="shared" si="22"/>
        <v>Man</v>
      </c>
      <c r="N493" t="b">
        <v>1</v>
      </c>
      <c r="O493" t="s">
        <v>16</v>
      </c>
      <c r="P493" t="s">
        <v>17</v>
      </c>
      <c r="Q493" t="str">
        <f t="shared" si="23"/>
        <v>No</v>
      </c>
      <c r="R493" t="b">
        <v>1</v>
      </c>
    </row>
    <row r="494" spans="1:18" x14ac:dyDescent="0.3">
      <c r="A494">
        <v>0</v>
      </c>
      <c r="B494" t="s">
        <v>26</v>
      </c>
      <c r="C494">
        <v>1</v>
      </c>
      <c r="D494" t="s">
        <v>30</v>
      </c>
      <c r="E494" t="s">
        <v>13</v>
      </c>
      <c r="F494" t="str">
        <f t="shared" si="21"/>
        <v>Male</v>
      </c>
      <c r="G494">
        <v>55</v>
      </c>
      <c r="H494">
        <v>0</v>
      </c>
      <c r="I494">
        <v>0</v>
      </c>
      <c r="J494">
        <v>30.5</v>
      </c>
      <c r="K494" t="s">
        <v>19</v>
      </c>
      <c r="L494" t="s">
        <v>15</v>
      </c>
      <c r="M494" t="str">
        <f t="shared" si="22"/>
        <v>Man</v>
      </c>
      <c r="N494" t="b">
        <v>1</v>
      </c>
      <c r="O494" t="s">
        <v>16</v>
      </c>
      <c r="P494" t="s">
        <v>17</v>
      </c>
      <c r="Q494" t="str">
        <f t="shared" si="23"/>
        <v>No</v>
      </c>
      <c r="R494" t="b">
        <v>1</v>
      </c>
    </row>
    <row r="495" spans="1:18" x14ac:dyDescent="0.3">
      <c r="A495">
        <v>0</v>
      </c>
      <c r="B495" t="s">
        <v>26</v>
      </c>
      <c r="C495">
        <v>1</v>
      </c>
      <c r="D495" t="s">
        <v>30</v>
      </c>
      <c r="E495" t="s">
        <v>13</v>
      </c>
      <c r="F495" t="str">
        <f t="shared" si="21"/>
        <v>Male</v>
      </c>
      <c r="G495">
        <v>71</v>
      </c>
      <c r="H495">
        <v>0</v>
      </c>
      <c r="I495">
        <v>0</v>
      </c>
      <c r="J495">
        <v>49.504199999999997</v>
      </c>
      <c r="K495" t="s">
        <v>19</v>
      </c>
      <c r="L495" t="s">
        <v>15</v>
      </c>
      <c r="M495" t="str">
        <f t="shared" si="22"/>
        <v>Man</v>
      </c>
      <c r="N495" t="b">
        <v>1</v>
      </c>
      <c r="O495" t="s">
        <v>21</v>
      </c>
      <c r="P495" t="s">
        <v>17</v>
      </c>
      <c r="Q495" t="str">
        <f t="shared" si="23"/>
        <v>No</v>
      </c>
      <c r="R495" t="b">
        <v>1</v>
      </c>
    </row>
    <row r="496" spans="1:18" x14ac:dyDescent="0.3">
      <c r="A496">
        <v>0</v>
      </c>
      <c r="B496" t="s">
        <v>26</v>
      </c>
      <c r="C496">
        <v>3</v>
      </c>
      <c r="D496" t="s">
        <v>32</v>
      </c>
      <c r="E496" t="s">
        <v>13</v>
      </c>
      <c r="F496" t="str">
        <f t="shared" si="21"/>
        <v>Male</v>
      </c>
      <c r="G496">
        <v>21</v>
      </c>
      <c r="H496">
        <v>0</v>
      </c>
      <c r="I496">
        <v>0</v>
      </c>
      <c r="J496">
        <v>8.0500000000000007</v>
      </c>
      <c r="K496" t="s">
        <v>14</v>
      </c>
      <c r="L496" t="s">
        <v>15</v>
      </c>
      <c r="M496" t="str">
        <f t="shared" si="22"/>
        <v>Man</v>
      </c>
      <c r="N496" t="b">
        <v>1</v>
      </c>
      <c r="O496" t="s">
        <v>16</v>
      </c>
      <c r="P496" t="s">
        <v>17</v>
      </c>
      <c r="Q496" t="str">
        <f t="shared" si="23"/>
        <v>No</v>
      </c>
      <c r="R496" t="b">
        <v>1</v>
      </c>
    </row>
    <row r="497" spans="1:18" x14ac:dyDescent="0.3">
      <c r="A497">
        <v>0</v>
      </c>
      <c r="B497" t="s">
        <v>26</v>
      </c>
      <c r="C497">
        <v>3</v>
      </c>
      <c r="D497" t="s">
        <v>32</v>
      </c>
      <c r="E497" t="s">
        <v>13</v>
      </c>
      <c r="F497" t="str">
        <f t="shared" si="21"/>
        <v>Male</v>
      </c>
      <c r="G497">
        <v>30</v>
      </c>
      <c r="H497">
        <v>0</v>
      </c>
      <c r="I497">
        <v>0</v>
      </c>
      <c r="J497">
        <v>14.458299999999999</v>
      </c>
      <c r="K497" t="s">
        <v>14</v>
      </c>
      <c r="L497" t="s">
        <v>15</v>
      </c>
      <c r="M497" t="str">
        <f t="shared" si="22"/>
        <v>Man</v>
      </c>
      <c r="N497" t="b">
        <v>1</v>
      </c>
      <c r="O497" t="s">
        <v>21</v>
      </c>
      <c r="P497" t="s">
        <v>17</v>
      </c>
      <c r="Q497" t="str">
        <f t="shared" si="23"/>
        <v>No</v>
      </c>
      <c r="R497" t="b">
        <v>1</v>
      </c>
    </row>
    <row r="498" spans="1:18" x14ac:dyDescent="0.3">
      <c r="A498">
        <v>1</v>
      </c>
      <c r="B498" t="s">
        <v>27</v>
      </c>
      <c r="C498">
        <v>1</v>
      </c>
      <c r="D498" t="s">
        <v>30</v>
      </c>
      <c r="E498" t="s">
        <v>18</v>
      </c>
      <c r="F498" t="str">
        <f t="shared" si="21"/>
        <v>Female</v>
      </c>
      <c r="G498">
        <v>54</v>
      </c>
      <c r="H498">
        <v>1</v>
      </c>
      <c r="I498">
        <v>0</v>
      </c>
      <c r="J498">
        <v>78.2667</v>
      </c>
      <c r="K498" t="s">
        <v>19</v>
      </c>
      <c r="L498" t="s">
        <v>20</v>
      </c>
      <c r="M498" t="str">
        <f t="shared" si="22"/>
        <v>Woman</v>
      </c>
      <c r="N498" t="b">
        <v>0</v>
      </c>
      <c r="O498" t="s">
        <v>21</v>
      </c>
      <c r="P498" t="s">
        <v>22</v>
      </c>
      <c r="Q498" t="str">
        <f t="shared" si="23"/>
        <v>Yes</v>
      </c>
      <c r="R498" t="b">
        <v>0</v>
      </c>
    </row>
    <row r="499" spans="1:18" x14ac:dyDescent="0.3">
      <c r="A499">
        <v>0</v>
      </c>
      <c r="B499" t="s">
        <v>26</v>
      </c>
      <c r="C499">
        <v>3</v>
      </c>
      <c r="D499" t="s">
        <v>32</v>
      </c>
      <c r="E499" t="s">
        <v>13</v>
      </c>
      <c r="F499" t="str">
        <f t="shared" si="21"/>
        <v>Male</v>
      </c>
      <c r="G499">
        <v>30</v>
      </c>
      <c r="H499">
        <v>0</v>
      </c>
      <c r="I499">
        <v>0</v>
      </c>
      <c r="J499">
        <v>15.1</v>
      </c>
      <c r="K499" t="s">
        <v>14</v>
      </c>
      <c r="L499" t="s">
        <v>15</v>
      </c>
      <c r="M499" t="str">
        <f t="shared" si="22"/>
        <v>Man</v>
      </c>
      <c r="N499" t="b">
        <v>1</v>
      </c>
      <c r="O499" t="s">
        <v>16</v>
      </c>
      <c r="P499" t="s">
        <v>17</v>
      </c>
      <c r="Q499" t="str">
        <f t="shared" si="23"/>
        <v>No</v>
      </c>
      <c r="R499" t="b">
        <v>1</v>
      </c>
    </row>
    <row r="500" spans="1:18" x14ac:dyDescent="0.3">
      <c r="A500">
        <v>0</v>
      </c>
      <c r="B500" t="s">
        <v>26</v>
      </c>
      <c r="C500">
        <v>1</v>
      </c>
      <c r="D500" t="s">
        <v>30</v>
      </c>
      <c r="E500" t="s">
        <v>18</v>
      </c>
      <c r="F500" t="str">
        <f t="shared" si="21"/>
        <v>Female</v>
      </c>
      <c r="G500">
        <v>25</v>
      </c>
      <c r="H500">
        <v>1</v>
      </c>
      <c r="I500">
        <v>2</v>
      </c>
      <c r="J500">
        <v>151.55000000000001</v>
      </c>
      <c r="K500" t="s">
        <v>19</v>
      </c>
      <c r="L500" t="s">
        <v>20</v>
      </c>
      <c r="M500" t="str">
        <f t="shared" si="22"/>
        <v>Woman</v>
      </c>
      <c r="N500" t="b">
        <v>0</v>
      </c>
      <c r="O500" t="s">
        <v>16</v>
      </c>
      <c r="P500" t="s">
        <v>17</v>
      </c>
      <c r="Q500" t="str">
        <f t="shared" si="23"/>
        <v>No</v>
      </c>
      <c r="R500" t="b">
        <v>0</v>
      </c>
    </row>
    <row r="501" spans="1:18" x14ac:dyDescent="0.3">
      <c r="A501">
        <v>0</v>
      </c>
      <c r="B501" t="s">
        <v>26</v>
      </c>
      <c r="C501">
        <v>3</v>
      </c>
      <c r="D501" t="s">
        <v>32</v>
      </c>
      <c r="E501" t="s">
        <v>13</v>
      </c>
      <c r="F501" t="str">
        <f t="shared" si="21"/>
        <v>Male</v>
      </c>
      <c r="G501">
        <v>24</v>
      </c>
      <c r="H501">
        <v>0</v>
      </c>
      <c r="I501">
        <v>0</v>
      </c>
      <c r="J501">
        <v>7.7957999999999998</v>
      </c>
      <c r="K501" t="s">
        <v>14</v>
      </c>
      <c r="L501" t="s">
        <v>15</v>
      </c>
      <c r="M501" t="str">
        <f t="shared" si="22"/>
        <v>Man</v>
      </c>
      <c r="N501" t="b">
        <v>1</v>
      </c>
      <c r="O501" t="s">
        <v>16</v>
      </c>
      <c r="P501" t="s">
        <v>17</v>
      </c>
      <c r="Q501" t="str">
        <f t="shared" si="23"/>
        <v>No</v>
      </c>
      <c r="R501" t="b">
        <v>1</v>
      </c>
    </row>
    <row r="502" spans="1:18" x14ac:dyDescent="0.3">
      <c r="A502">
        <v>0</v>
      </c>
      <c r="B502" t="s">
        <v>26</v>
      </c>
      <c r="C502">
        <v>3</v>
      </c>
      <c r="D502" t="s">
        <v>32</v>
      </c>
      <c r="E502" t="s">
        <v>13</v>
      </c>
      <c r="F502" t="str">
        <f t="shared" si="21"/>
        <v>Male</v>
      </c>
      <c r="G502">
        <v>17</v>
      </c>
      <c r="H502">
        <v>0</v>
      </c>
      <c r="I502">
        <v>0</v>
      </c>
      <c r="J502">
        <v>8.6624999999999996</v>
      </c>
      <c r="K502" t="s">
        <v>14</v>
      </c>
      <c r="L502" t="s">
        <v>15</v>
      </c>
      <c r="M502" t="str">
        <f t="shared" si="22"/>
        <v>Man</v>
      </c>
      <c r="N502" t="b">
        <v>1</v>
      </c>
      <c r="O502" t="s">
        <v>16</v>
      </c>
      <c r="P502" t="s">
        <v>17</v>
      </c>
      <c r="Q502" t="str">
        <f t="shared" si="23"/>
        <v>No</v>
      </c>
      <c r="R502" t="b">
        <v>1</v>
      </c>
    </row>
    <row r="503" spans="1:18" x14ac:dyDescent="0.3">
      <c r="A503">
        <v>0</v>
      </c>
      <c r="B503" t="s">
        <v>26</v>
      </c>
      <c r="C503">
        <v>3</v>
      </c>
      <c r="D503" t="s">
        <v>32</v>
      </c>
      <c r="E503" t="s">
        <v>18</v>
      </c>
      <c r="F503" t="str">
        <f t="shared" si="21"/>
        <v>Female</v>
      </c>
      <c r="G503">
        <v>21</v>
      </c>
      <c r="H503">
        <v>0</v>
      </c>
      <c r="I503">
        <v>0</v>
      </c>
      <c r="J503">
        <v>7.75</v>
      </c>
      <c r="K503" t="s">
        <v>14</v>
      </c>
      <c r="L503" t="s">
        <v>20</v>
      </c>
      <c r="M503" t="str">
        <f t="shared" si="22"/>
        <v>Woman</v>
      </c>
      <c r="N503" t="b">
        <v>0</v>
      </c>
      <c r="O503" t="s">
        <v>23</v>
      </c>
      <c r="P503" t="s">
        <v>17</v>
      </c>
      <c r="Q503" t="str">
        <f t="shared" si="23"/>
        <v>No</v>
      </c>
      <c r="R503" t="b">
        <v>1</v>
      </c>
    </row>
    <row r="504" spans="1:18" x14ac:dyDescent="0.3">
      <c r="A504">
        <v>0</v>
      </c>
      <c r="B504" t="s">
        <v>26</v>
      </c>
      <c r="C504">
        <v>3</v>
      </c>
      <c r="D504" t="s">
        <v>32</v>
      </c>
      <c r="E504" t="s">
        <v>18</v>
      </c>
      <c r="F504" t="str">
        <f t="shared" si="21"/>
        <v>Female</v>
      </c>
      <c r="G504">
        <v>30</v>
      </c>
      <c r="H504">
        <v>0</v>
      </c>
      <c r="I504">
        <v>0</v>
      </c>
      <c r="J504">
        <v>7.6292</v>
      </c>
      <c r="K504" t="s">
        <v>14</v>
      </c>
      <c r="L504" t="s">
        <v>20</v>
      </c>
      <c r="M504" t="str">
        <f t="shared" si="22"/>
        <v>Woman</v>
      </c>
      <c r="N504" t="b">
        <v>0</v>
      </c>
      <c r="O504" t="s">
        <v>23</v>
      </c>
      <c r="P504" t="s">
        <v>17</v>
      </c>
      <c r="Q504" t="str">
        <f t="shared" si="23"/>
        <v>No</v>
      </c>
      <c r="R504" t="b">
        <v>1</v>
      </c>
    </row>
    <row r="505" spans="1:18" x14ac:dyDescent="0.3">
      <c r="A505">
        <v>0</v>
      </c>
      <c r="B505" t="s">
        <v>26</v>
      </c>
      <c r="C505">
        <v>3</v>
      </c>
      <c r="D505" t="s">
        <v>32</v>
      </c>
      <c r="E505" t="s">
        <v>18</v>
      </c>
      <c r="F505" t="str">
        <f t="shared" si="21"/>
        <v>Female</v>
      </c>
      <c r="G505">
        <v>37</v>
      </c>
      <c r="H505">
        <v>0</v>
      </c>
      <c r="I505">
        <v>0</v>
      </c>
      <c r="J505">
        <v>9.5875000000000004</v>
      </c>
      <c r="K505" t="s">
        <v>14</v>
      </c>
      <c r="L505" t="s">
        <v>20</v>
      </c>
      <c r="M505" t="str">
        <f t="shared" si="22"/>
        <v>Woman</v>
      </c>
      <c r="N505" t="b">
        <v>0</v>
      </c>
      <c r="O505" t="s">
        <v>16</v>
      </c>
      <c r="P505" t="s">
        <v>17</v>
      </c>
      <c r="Q505" t="str">
        <f t="shared" si="23"/>
        <v>No</v>
      </c>
      <c r="R505" t="b">
        <v>1</v>
      </c>
    </row>
    <row r="506" spans="1:18" x14ac:dyDescent="0.3">
      <c r="A506">
        <v>1</v>
      </c>
      <c r="B506" t="s">
        <v>27</v>
      </c>
      <c r="C506">
        <v>1</v>
      </c>
      <c r="D506" t="s">
        <v>30</v>
      </c>
      <c r="E506" t="s">
        <v>18</v>
      </c>
      <c r="F506" t="str">
        <f t="shared" si="21"/>
        <v>Female</v>
      </c>
      <c r="G506">
        <v>16</v>
      </c>
      <c r="H506">
        <v>0</v>
      </c>
      <c r="I506">
        <v>0</v>
      </c>
      <c r="J506">
        <v>86.5</v>
      </c>
      <c r="K506" t="s">
        <v>19</v>
      </c>
      <c r="L506" t="s">
        <v>20</v>
      </c>
      <c r="M506" t="str">
        <f t="shared" si="22"/>
        <v>Woman</v>
      </c>
      <c r="N506" t="b">
        <v>0</v>
      </c>
      <c r="O506" t="s">
        <v>16</v>
      </c>
      <c r="P506" t="s">
        <v>22</v>
      </c>
      <c r="Q506" t="str">
        <f t="shared" si="23"/>
        <v>Yes</v>
      </c>
      <c r="R506" t="b">
        <v>1</v>
      </c>
    </row>
    <row r="507" spans="1:18" x14ac:dyDescent="0.3">
      <c r="A507">
        <v>0</v>
      </c>
      <c r="B507" t="s">
        <v>26</v>
      </c>
      <c r="C507">
        <v>1</v>
      </c>
      <c r="D507" t="s">
        <v>30</v>
      </c>
      <c r="E507" t="s">
        <v>13</v>
      </c>
      <c r="F507" t="str">
        <f t="shared" si="21"/>
        <v>Male</v>
      </c>
      <c r="G507">
        <v>18</v>
      </c>
      <c r="H507">
        <v>1</v>
      </c>
      <c r="I507">
        <v>0</v>
      </c>
      <c r="J507">
        <v>108.9</v>
      </c>
      <c r="K507" t="s">
        <v>19</v>
      </c>
      <c r="L507" t="s">
        <v>15</v>
      </c>
      <c r="M507" t="str">
        <f t="shared" si="22"/>
        <v>Man</v>
      </c>
      <c r="N507" t="b">
        <v>1</v>
      </c>
      <c r="O507" t="s">
        <v>21</v>
      </c>
      <c r="P507" t="s">
        <v>17</v>
      </c>
      <c r="Q507" t="str">
        <f t="shared" si="23"/>
        <v>No</v>
      </c>
      <c r="R507" t="b">
        <v>0</v>
      </c>
    </row>
    <row r="508" spans="1:18" x14ac:dyDescent="0.3">
      <c r="A508">
        <v>1</v>
      </c>
      <c r="B508" t="s">
        <v>27</v>
      </c>
      <c r="C508">
        <v>2</v>
      </c>
      <c r="D508" t="s">
        <v>31</v>
      </c>
      <c r="E508" t="s">
        <v>18</v>
      </c>
      <c r="F508" t="str">
        <f t="shared" si="21"/>
        <v>Female</v>
      </c>
      <c r="G508">
        <v>33</v>
      </c>
      <c r="H508">
        <v>0</v>
      </c>
      <c r="I508">
        <v>2</v>
      </c>
      <c r="J508">
        <v>26</v>
      </c>
      <c r="K508" t="s">
        <v>25</v>
      </c>
      <c r="L508" t="s">
        <v>20</v>
      </c>
      <c r="M508" t="str">
        <f t="shared" si="22"/>
        <v>Woman</v>
      </c>
      <c r="N508" t="b">
        <v>0</v>
      </c>
      <c r="O508" t="s">
        <v>16</v>
      </c>
      <c r="P508" t="s">
        <v>22</v>
      </c>
      <c r="Q508" t="str">
        <f t="shared" si="23"/>
        <v>Yes</v>
      </c>
      <c r="R508" t="b">
        <v>0</v>
      </c>
    </row>
    <row r="509" spans="1:18" x14ac:dyDescent="0.3">
      <c r="A509">
        <v>1</v>
      </c>
      <c r="B509" t="s">
        <v>27</v>
      </c>
      <c r="C509">
        <v>1</v>
      </c>
      <c r="D509" t="s">
        <v>30</v>
      </c>
      <c r="E509" t="s">
        <v>13</v>
      </c>
      <c r="F509" t="str">
        <f t="shared" si="21"/>
        <v>Male</v>
      </c>
      <c r="G509">
        <v>30</v>
      </c>
      <c r="H509">
        <v>0</v>
      </c>
      <c r="I509">
        <v>0</v>
      </c>
      <c r="J509">
        <v>26.55</v>
      </c>
      <c r="K509" t="s">
        <v>19</v>
      </c>
      <c r="L509" t="s">
        <v>15</v>
      </c>
      <c r="M509" t="str">
        <f t="shared" si="22"/>
        <v>Man</v>
      </c>
      <c r="N509" t="b">
        <v>1</v>
      </c>
      <c r="O509" t="s">
        <v>16</v>
      </c>
      <c r="P509" t="s">
        <v>22</v>
      </c>
      <c r="Q509" t="str">
        <f t="shared" si="23"/>
        <v>Yes</v>
      </c>
      <c r="R509" t="b">
        <v>1</v>
      </c>
    </row>
    <row r="510" spans="1:18" x14ac:dyDescent="0.3">
      <c r="A510">
        <v>0</v>
      </c>
      <c r="B510" t="s">
        <v>26</v>
      </c>
      <c r="C510">
        <v>3</v>
      </c>
      <c r="D510" t="s">
        <v>32</v>
      </c>
      <c r="E510" t="s">
        <v>13</v>
      </c>
      <c r="F510" t="str">
        <f t="shared" si="21"/>
        <v>Male</v>
      </c>
      <c r="G510">
        <v>28</v>
      </c>
      <c r="H510">
        <v>0</v>
      </c>
      <c r="I510">
        <v>0</v>
      </c>
      <c r="J510">
        <v>22.524999999999999</v>
      </c>
      <c r="K510" t="s">
        <v>14</v>
      </c>
      <c r="L510" t="s">
        <v>15</v>
      </c>
      <c r="M510" t="str">
        <f t="shared" si="22"/>
        <v>Man</v>
      </c>
      <c r="N510" t="b">
        <v>1</v>
      </c>
      <c r="O510" t="s">
        <v>16</v>
      </c>
      <c r="P510" t="s">
        <v>17</v>
      </c>
      <c r="Q510" t="str">
        <f t="shared" si="23"/>
        <v>No</v>
      </c>
      <c r="R510" t="b">
        <v>1</v>
      </c>
    </row>
    <row r="511" spans="1:18" x14ac:dyDescent="0.3">
      <c r="A511">
        <v>1</v>
      </c>
      <c r="B511" t="s">
        <v>27</v>
      </c>
      <c r="C511">
        <v>3</v>
      </c>
      <c r="D511" t="s">
        <v>32</v>
      </c>
      <c r="E511" t="s">
        <v>13</v>
      </c>
      <c r="F511" t="str">
        <f t="shared" si="21"/>
        <v>Male</v>
      </c>
      <c r="G511">
        <v>26</v>
      </c>
      <c r="H511">
        <v>0</v>
      </c>
      <c r="I511">
        <v>0</v>
      </c>
      <c r="J511">
        <v>56.495800000000003</v>
      </c>
      <c r="K511" t="s">
        <v>14</v>
      </c>
      <c r="L511" t="s">
        <v>15</v>
      </c>
      <c r="M511" t="str">
        <f t="shared" si="22"/>
        <v>Man</v>
      </c>
      <c r="N511" t="b">
        <v>1</v>
      </c>
      <c r="O511" t="s">
        <v>16</v>
      </c>
      <c r="P511" t="s">
        <v>22</v>
      </c>
      <c r="Q511" t="str">
        <f t="shared" si="23"/>
        <v>Yes</v>
      </c>
      <c r="R511" t="b">
        <v>1</v>
      </c>
    </row>
    <row r="512" spans="1:18" x14ac:dyDescent="0.3">
      <c r="A512">
        <v>1</v>
      </c>
      <c r="B512" t="s">
        <v>27</v>
      </c>
      <c r="C512">
        <v>3</v>
      </c>
      <c r="D512" t="s">
        <v>32</v>
      </c>
      <c r="E512" t="s">
        <v>13</v>
      </c>
      <c r="F512" t="str">
        <f t="shared" si="21"/>
        <v>Male</v>
      </c>
      <c r="G512">
        <v>29</v>
      </c>
      <c r="H512">
        <v>0</v>
      </c>
      <c r="I512">
        <v>0</v>
      </c>
      <c r="J512">
        <v>7.75</v>
      </c>
      <c r="K512" t="s">
        <v>14</v>
      </c>
      <c r="L512" t="s">
        <v>15</v>
      </c>
      <c r="M512" t="str">
        <f t="shared" si="22"/>
        <v>Man</v>
      </c>
      <c r="N512" t="b">
        <v>1</v>
      </c>
      <c r="O512" t="s">
        <v>23</v>
      </c>
      <c r="P512" t="s">
        <v>22</v>
      </c>
      <c r="Q512" t="str">
        <f t="shared" si="23"/>
        <v>Yes</v>
      </c>
      <c r="R512" t="b">
        <v>1</v>
      </c>
    </row>
    <row r="513" spans="1:18" x14ac:dyDescent="0.3">
      <c r="A513">
        <v>0</v>
      </c>
      <c r="B513" t="s">
        <v>26</v>
      </c>
      <c r="C513">
        <v>3</v>
      </c>
      <c r="D513" t="s">
        <v>32</v>
      </c>
      <c r="E513" t="s">
        <v>13</v>
      </c>
      <c r="F513" t="str">
        <f t="shared" si="21"/>
        <v>Male</v>
      </c>
      <c r="G513">
        <v>30</v>
      </c>
      <c r="H513">
        <v>0</v>
      </c>
      <c r="I513">
        <v>0</v>
      </c>
      <c r="J513">
        <v>8.0500000000000007</v>
      </c>
      <c r="K513" t="s">
        <v>14</v>
      </c>
      <c r="L513" t="s">
        <v>15</v>
      </c>
      <c r="M513" t="str">
        <f t="shared" si="22"/>
        <v>Man</v>
      </c>
      <c r="N513" t="b">
        <v>1</v>
      </c>
      <c r="O513" t="s">
        <v>16</v>
      </c>
      <c r="P513" t="s">
        <v>17</v>
      </c>
      <c r="Q513" t="str">
        <f t="shared" si="23"/>
        <v>No</v>
      </c>
      <c r="R513" t="b">
        <v>1</v>
      </c>
    </row>
    <row r="514" spans="1:18" x14ac:dyDescent="0.3">
      <c r="A514">
        <v>1</v>
      </c>
      <c r="B514" t="s">
        <v>27</v>
      </c>
      <c r="C514">
        <v>1</v>
      </c>
      <c r="D514" t="s">
        <v>30</v>
      </c>
      <c r="E514" t="s">
        <v>13</v>
      </c>
      <c r="F514" t="str">
        <f t="shared" si="21"/>
        <v>Male</v>
      </c>
      <c r="G514">
        <v>36</v>
      </c>
      <c r="H514">
        <v>0</v>
      </c>
      <c r="I514">
        <v>0</v>
      </c>
      <c r="J514">
        <v>26.287500000000001</v>
      </c>
      <c r="K514" t="s">
        <v>19</v>
      </c>
      <c r="L514" t="s">
        <v>15</v>
      </c>
      <c r="M514" t="str">
        <f t="shared" si="22"/>
        <v>Man</v>
      </c>
      <c r="N514" t="b">
        <v>1</v>
      </c>
      <c r="O514" t="s">
        <v>16</v>
      </c>
      <c r="P514" t="s">
        <v>22</v>
      </c>
      <c r="Q514" t="str">
        <f t="shared" si="23"/>
        <v>Yes</v>
      </c>
      <c r="R514" t="b">
        <v>1</v>
      </c>
    </row>
    <row r="515" spans="1:18" x14ac:dyDescent="0.3">
      <c r="A515">
        <v>1</v>
      </c>
      <c r="B515" t="s">
        <v>27</v>
      </c>
      <c r="C515">
        <v>1</v>
      </c>
      <c r="D515" t="s">
        <v>30</v>
      </c>
      <c r="E515" t="s">
        <v>18</v>
      </c>
      <c r="F515" t="str">
        <f t="shared" ref="F515:F578" si="24">PROPER(E515)</f>
        <v>Female</v>
      </c>
      <c r="G515">
        <v>54</v>
      </c>
      <c r="H515">
        <v>1</v>
      </c>
      <c r="I515">
        <v>0</v>
      </c>
      <c r="J515">
        <v>59.4</v>
      </c>
      <c r="K515" t="s">
        <v>19</v>
      </c>
      <c r="L515" t="s">
        <v>20</v>
      </c>
      <c r="M515" t="str">
        <f t="shared" ref="M515:M578" si="25">PROPER(L515)</f>
        <v>Woman</v>
      </c>
      <c r="N515" t="b">
        <v>0</v>
      </c>
      <c r="O515" t="s">
        <v>21</v>
      </c>
      <c r="P515" t="s">
        <v>22</v>
      </c>
      <c r="Q515" t="str">
        <f t="shared" ref="Q515:Q578" si="26">PROPER(P515)</f>
        <v>Yes</v>
      </c>
      <c r="R515" t="b">
        <v>0</v>
      </c>
    </row>
    <row r="516" spans="1:18" x14ac:dyDescent="0.3">
      <c r="A516">
        <v>0</v>
      </c>
      <c r="B516" t="s">
        <v>26</v>
      </c>
      <c r="C516">
        <v>3</v>
      </c>
      <c r="D516" t="s">
        <v>32</v>
      </c>
      <c r="E516" t="s">
        <v>13</v>
      </c>
      <c r="F516" t="str">
        <f t="shared" si="24"/>
        <v>Male</v>
      </c>
      <c r="G516">
        <v>24</v>
      </c>
      <c r="H516">
        <v>0</v>
      </c>
      <c r="I516">
        <v>0</v>
      </c>
      <c r="J516">
        <v>7.4958</v>
      </c>
      <c r="K516" t="s">
        <v>14</v>
      </c>
      <c r="L516" t="s">
        <v>15</v>
      </c>
      <c r="M516" t="str">
        <f t="shared" si="25"/>
        <v>Man</v>
      </c>
      <c r="N516" t="b">
        <v>1</v>
      </c>
      <c r="O516" t="s">
        <v>16</v>
      </c>
      <c r="P516" t="s">
        <v>17</v>
      </c>
      <c r="Q516" t="str">
        <f t="shared" si="26"/>
        <v>No</v>
      </c>
      <c r="R516" t="b">
        <v>1</v>
      </c>
    </row>
    <row r="517" spans="1:18" x14ac:dyDescent="0.3">
      <c r="A517">
        <v>0</v>
      </c>
      <c r="B517" t="s">
        <v>26</v>
      </c>
      <c r="C517">
        <v>1</v>
      </c>
      <c r="D517" t="s">
        <v>30</v>
      </c>
      <c r="E517" t="s">
        <v>13</v>
      </c>
      <c r="F517" t="str">
        <f t="shared" si="24"/>
        <v>Male</v>
      </c>
      <c r="G517">
        <v>47</v>
      </c>
      <c r="H517">
        <v>0</v>
      </c>
      <c r="I517">
        <v>0</v>
      </c>
      <c r="J517">
        <v>34.020800000000001</v>
      </c>
      <c r="K517" t="s">
        <v>19</v>
      </c>
      <c r="L517" t="s">
        <v>15</v>
      </c>
      <c r="M517" t="str">
        <f t="shared" si="25"/>
        <v>Man</v>
      </c>
      <c r="N517" t="b">
        <v>1</v>
      </c>
      <c r="O517" t="s">
        <v>16</v>
      </c>
      <c r="P517" t="s">
        <v>17</v>
      </c>
      <c r="Q517" t="str">
        <f t="shared" si="26"/>
        <v>No</v>
      </c>
      <c r="R517" t="b">
        <v>1</v>
      </c>
    </row>
    <row r="518" spans="1:18" x14ac:dyDescent="0.3">
      <c r="A518">
        <v>1</v>
      </c>
      <c r="B518" t="s">
        <v>27</v>
      </c>
      <c r="C518">
        <v>2</v>
      </c>
      <c r="D518" t="s">
        <v>31</v>
      </c>
      <c r="E518" t="s">
        <v>18</v>
      </c>
      <c r="F518" t="str">
        <f t="shared" si="24"/>
        <v>Female</v>
      </c>
      <c r="G518">
        <v>34</v>
      </c>
      <c r="H518">
        <v>0</v>
      </c>
      <c r="I518">
        <v>0</v>
      </c>
      <c r="J518">
        <v>10.5</v>
      </c>
      <c r="K518" t="s">
        <v>25</v>
      </c>
      <c r="L518" t="s">
        <v>20</v>
      </c>
      <c r="M518" t="str">
        <f t="shared" si="25"/>
        <v>Woman</v>
      </c>
      <c r="N518" t="b">
        <v>0</v>
      </c>
      <c r="O518" t="s">
        <v>16</v>
      </c>
      <c r="P518" t="s">
        <v>22</v>
      </c>
      <c r="Q518" t="str">
        <f t="shared" si="26"/>
        <v>Yes</v>
      </c>
      <c r="R518" t="b">
        <v>1</v>
      </c>
    </row>
    <row r="519" spans="1:18" x14ac:dyDescent="0.3">
      <c r="A519">
        <v>0</v>
      </c>
      <c r="B519" t="s">
        <v>26</v>
      </c>
      <c r="C519">
        <v>3</v>
      </c>
      <c r="D519" t="s">
        <v>32</v>
      </c>
      <c r="E519" t="s">
        <v>13</v>
      </c>
      <c r="F519" t="str">
        <f t="shared" si="24"/>
        <v>Male</v>
      </c>
      <c r="G519">
        <v>30</v>
      </c>
      <c r="H519">
        <v>0</v>
      </c>
      <c r="I519">
        <v>0</v>
      </c>
      <c r="J519">
        <v>24.15</v>
      </c>
      <c r="K519" t="s">
        <v>14</v>
      </c>
      <c r="L519" t="s">
        <v>15</v>
      </c>
      <c r="M519" t="str">
        <f t="shared" si="25"/>
        <v>Man</v>
      </c>
      <c r="N519" t="b">
        <v>1</v>
      </c>
      <c r="O519" t="s">
        <v>23</v>
      </c>
      <c r="P519" t="s">
        <v>17</v>
      </c>
      <c r="Q519" t="str">
        <f t="shared" si="26"/>
        <v>No</v>
      </c>
      <c r="R519" t="b">
        <v>1</v>
      </c>
    </row>
    <row r="520" spans="1:18" x14ac:dyDescent="0.3">
      <c r="A520">
        <v>1</v>
      </c>
      <c r="B520" t="s">
        <v>27</v>
      </c>
      <c r="C520">
        <v>2</v>
      </c>
      <c r="D520" t="s">
        <v>31</v>
      </c>
      <c r="E520" t="s">
        <v>18</v>
      </c>
      <c r="F520" t="str">
        <f t="shared" si="24"/>
        <v>Female</v>
      </c>
      <c r="G520">
        <v>36</v>
      </c>
      <c r="H520">
        <v>1</v>
      </c>
      <c r="I520">
        <v>0</v>
      </c>
      <c r="J520">
        <v>26</v>
      </c>
      <c r="K520" t="s">
        <v>25</v>
      </c>
      <c r="L520" t="s">
        <v>20</v>
      </c>
      <c r="M520" t="str">
        <f t="shared" si="25"/>
        <v>Woman</v>
      </c>
      <c r="N520" t="b">
        <v>0</v>
      </c>
      <c r="O520" t="s">
        <v>16</v>
      </c>
      <c r="P520" t="s">
        <v>22</v>
      </c>
      <c r="Q520" t="str">
        <f t="shared" si="26"/>
        <v>Yes</v>
      </c>
      <c r="R520" t="b">
        <v>0</v>
      </c>
    </row>
    <row r="521" spans="1:18" x14ac:dyDescent="0.3">
      <c r="A521">
        <v>0</v>
      </c>
      <c r="B521" t="s">
        <v>26</v>
      </c>
      <c r="C521">
        <v>3</v>
      </c>
      <c r="D521" t="s">
        <v>32</v>
      </c>
      <c r="E521" t="s">
        <v>13</v>
      </c>
      <c r="F521" t="str">
        <f t="shared" si="24"/>
        <v>Male</v>
      </c>
      <c r="G521">
        <v>32</v>
      </c>
      <c r="H521">
        <v>0</v>
      </c>
      <c r="I521">
        <v>0</v>
      </c>
      <c r="J521">
        <v>7.8958000000000004</v>
      </c>
      <c r="K521" t="s">
        <v>14</v>
      </c>
      <c r="L521" t="s">
        <v>15</v>
      </c>
      <c r="M521" t="str">
        <f t="shared" si="25"/>
        <v>Man</v>
      </c>
      <c r="N521" t="b">
        <v>1</v>
      </c>
      <c r="O521" t="s">
        <v>16</v>
      </c>
      <c r="P521" t="s">
        <v>17</v>
      </c>
      <c r="Q521" t="str">
        <f t="shared" si="26"/>
        <v>No</v>
      </c>
      <c r="R521" t="b">
        <v>1</v>
      </c>
    </row>
    <row r="522" spans="1:18" x14ac:dyDescent="0.3">
      <c r="A522">
        <v>1</v>
      </c>
      <c r="B522" t="s">
        <v>27</v>
      </c>
      <c r="C522">
        <v>1</v>
      </c>
      <c r="D522" t="s">
        <v>30</v>
      </c>
      <c r="E522" t="s">
        <v>18</v>
      </c>
      <c r="F522" t="str">
        <f t="shared" si="24"/>
        <v>Female</v>
      </c>
      <c r="G522">
        <v>30</v>
      </c>
      <c r="H522">
        <v>0</v>
      </c>
      <c r="I522">
        <v>0</v>
      </c>
      <c r="J522">
        <v>93.5</v>
      </c>
      <c r="K522" t="s">
        <v>19</v>
      </c>
      <c r="L522" t="s">
        <v>20</v>
      </c>
      <c r="M522" t="str">
        <f t="shared" si="25"/>
        <v>Woman</v>
      </c>
      <c r="N522" t="b">
        <v>0</v>
      </c>
      <c r="O522" t="s">
        <v>16</v>
      </c>
      <c r="P522" t="s">
        <v>22</v>
      </c>
      <c r="Q522" t="str">
        <f t="shared" si="26"/>
        <v>Yes</v>
      </c>
      <c r="R522" t="b">
        <v>1</v>
      </c>
    </row>
    <row r="523" spans="1:18" x14ac:dyDescent="0.3">
      <c r="A523">
        <v>0</v>
      </c>
      <c r="B523" t="s">
        <v>26</v>
      </c>
      <c r="C523">
        <v>3</v>
      </c>
      <c r="D523" t="s">
        <v>32</v>
      </c>
      <c r="E523" t="s">
        <v>13</v>
      </c>
      <c r="F523" t="str">
        <f t="shared" si="24"/>
        <v>Male</v>
      </c>
      <c r="G523">
        <v>22</v>
      </c>
      <c r="H523">
        <v>0</v>
      </c>
      <c r="I523">
        <v>0</v>
      </c>
      <c r="J523">
        <v>7.8958000000000004</v>
      </c>
      <c r="K523" t="s">
        <v>14</v>
      </c>
      <c r="L523" t="s">
        <v>15</v>
      </c>
      <c r="M523" t="str">
        <f t="shared" si="25"/>
        <v>Man</v>
      </c>
      <c r="N523" t="b">
        <v>1</v>
      </c>
      <c r="O523" t="s">
        <v>16</v>
      </c>
      <c r="P523" t="s">
        <v>17</v>
      </c>
      <c r="Q523" t="str">
        <f t="shared" si="26"/>
        <v>No</v>
      </c>
      <c r="R523" t="b">
        <v>1</v>
      </c>
    </row>
    <row r="524" spans="1:18" x14ac:dyDescent="0.3">
      <c r="A524">
        <v>0</v>
      </c>
      <c r="B524" t="s">
        <v>26</v>
      </c>
      <c r="C524">
        <v>3</v>
      </c>
      <c r="D524" t="s">
        <v>32</v>
      </c>
      <c r="E524" t="s">
        <v>13</v>
      </c>
      <c r="F524" t="str">
        <f t="shared" si="24"/>
        <v>Male</v>
      </c>
      <c r="G524">
        <v>30</v>
      </c>
      <c r="H524">
        <v>0</v>
      </c>
      <c r="I524">
        <v>0</v>
      </c>
      <c r="J524">
        <v>7.2249999999999996</v>
      </c>
      <c r="K524" t="s">
        <v>14</v>
      </c>
      <c r="L524" t="s">
        <v>15</v>
      </c>
      <c r="M524" t="str">
        <f t="shared" si="25"/>
        <v>Man</v>
      </c>
      <c r="N524" t="b">
        <v>1</v>
      </c>
      <c r="O524" t="s">
        <v>21</v>
      </c>
      <c r="P524" t="s">
        <v>17</v>
      </c>
      <c r="Q524" t="str">
        <f t="shared" si="26"/>
        <v>No</v>
      </c>
      <c r="R524" t="b">
        <v>1</v>
      </c>
    </row>
    <row r="525" spans="1:18" x14ac:dyDescent="0.3">
      <c r="A525">
        <v>1</v>
      </c>
      <c r="B525" t="s">
        <v>27</v>
      </c>
      <c r="C525">
        <v>1</v>
      </c>
      <c r="D525" t="s">
        <v>30</v>
      </c>
      <c r="E525" t="s">
        <v>18</v>
      </c>
      <c r="F525" t="str">
        <f t="shared" si="24"/>
        <v>Female</v>
      </c>
      <c r="G525">
        <v>44</v>
      </c>
      <c r="H525">
        <v>0</v>
      </c>
      <c r="I525">
        <v>1</v>
      </c>
      <c r="J525">
        <v>57.979199999999999</v>
      </c>
      <c r="K525" t="s">
        <v>19</v>
      </c>
      <c r="L525" t="s">
        <v>20</v>
      </c>
      <c r="M525" t="str">
        <f t="shared" si="25"/>
        <v>Woman</v>
      </c>
      <c r="N525" t="b">
        <v>0</v>
      </c>
      <c r="O525" t="s">
        <v>21</v>
      </c>
      <c r="P525" t="s">
        <v>22</v>
      </c>
      <c r="Q525" t="str">
        <f t="shared" si="26"/>
        <v>Yes</v>
      </c>
      <c r="R525" t="b">
        <v>0</v>
      </c>
    </row>
    <row r="526" spans="1:18" x14ac:dyDescent="0.3">
      <c r="A526">
        <v>0</v>
      </c>
      <c r="B526" t="s">
        <v>26</v>
      </c>
      <c r="C526">
        <v>3</v>
      </c>
      <c r="D526" t="s">
        <v>32</v>
      </c>
      <c r="E526" t="s">
        <v>13</v>
      </c>
      <c r="F526" t="str">
        <f t="shared" si="24"/>
        <v>Male</v>
      </c>
      <c r="G526">
        <v>30</v>
      </c>
      <c r="H526">
        <v>0</v>
      </c>
      <c r="I526">
        <v>0</v>
      </c>
      <c r="J526">
        <v>7.2291999999999996</v>
      </c>
      <c r="K526" t="s">
        <v>14</v>
      </c>
      <c r="L526" t="s">
        <v>15</v>
      </c>
      <c r="M526" t="str">
        <f t="shared" si="25"/>
        <v>Man</v>
      </c>
      <c r="N526" t="b">
        <v>1</v>
      </c>
      <c r="O526" t="s">
        <v>21</v>
      </c>
      <c r="P526" t="s">
        <v>17</v>
      </c>
      <c r="Q526" t="str">
        <f t="shared" si="26"/>
        <v>No</v>
      </c>
      <c r="R526" t="b">
        <v>1</v>
      </c>
    </row>
    <row r="527" spans="1:18" x14ac:dyDescent="0.3">
      <c r="A527">
        <v>0</v>
      </c>
      <c r="B527" t="s">
        <v>26</v>
      </c>
      <c r="C527">
        <v>3</v>
      </c>
      <c r="D527" t="s">
        <v>32</v>
      </c>
      <c r="E527" t="s">
        <v>13</v>
      </c>
      <c r="F527" t="str">
        <f t="shared" si="24"/>
        <v>Male</v>
      </c>
      <c r="G527">
        <v>40.5</v>
      </c>
      <c r="H527">
        <v>0</v>
      </c>
      <c r="I527">
        <v>0</v>
      </c>
      <c r="J527">
        <v>7.75</v>
      </c>
      <c r="K527" t="s">
        <v>14</v>
      </c>
      <c r="L527" t="s">
        <v>15</v>
      </c>
      <c r="M527" t="str">
        <f t="shared" si="25"/>
        <v>Man</v>
      </c>
      <c r="N527" t="b">
        <v>1</v>
      </c>
      <c r="O527" t="s">
        <v>23</v>
      </c>
      <c r="P527" t="s">
        <v>17</v>
      </c>
      <c r="Q527" t="str">
        <f t="shared" si="26"/>
        <v>No</v>
      </c>
      <c r="R527" t="b">
        <v>1</v>
      </c>
    </row>
    <row r="528" spans="1:18" x14ac:dyDescent="0.3">
      <c r="A528">
        <v>1</v>
      </c>
      <c r="B528" t="s">
        <v>27</v>
      </c>
      <c r="C528">
        <v>2</v>
      </c>
      <c r="D528" t="s">
        <v>31</v>
      </c>
      <c r="E528" t="s">
        <v>18</v>
      </c>
      <c r="F528" t="str">
        <f t="shared" si="24"/>
        <v>Female</v>
      </c>
      <c r="G528">
        <v>50</v>
      </c>
      <c r="H528">
        <v>0</v>
      </c>
      <c r="I528">
        <v>0</v>
      </c>
      <c r="J528">
        <v>10.5</v>
      </c>
      <c r="K528" t="s">
        <v>25</v>
      </c>
      <c r="L528" t="s">
        <v>20</v>
      </c>
      <c r="M528" t="str">
        <f t="shared" si="25"/>
        <v>Woman</v>
      </c>
      <c r="N528" t="b">
        <v>0</v>
      </c>
      <c r="O528" t="s">
        <v>16</v>
      </c>
      <c r="P528" t="s">
        <v>22</v>
      </c>
      <c r="Q528" t="str">
        <f t="shared" si="26"/>
        <v>Yes</v>
      </c>
      <c r="R528" t="b">
        <v>1</v>
      </c>
    </row>
    <row r="529" spans="1:18" x14ac:dyDescent="0.3">
      <c r="A529">
        <v>0</v>
      </c>
      <c r="B529" t="s">
        <v>26</v>
      </c>
      <c r="C529">
        <v>1</v>
      </c>
      <c r="D529" t="s">
        <v>30</v>
      </c>
      <c r="E529" t="s">
        <v>13</v>
      </c>
      <c r="F529" t="str">
        <f t="shared" si="24"/>
        <v>Male</v>
      </c>
      <c r="G529">
        <v>30</v>
      </c>
      <c r="H529">
        <v>0</v>
      </c>
      <c r="I529">
        <v>0</v>
      </c>
      <c r="J529">
        <v>221.7792</v>
      </c>
      <c r="K529" t="s">
        <v>19</v>
      </c>
      <c r="L529" t="s">
        <v>15</v>
      </c>
      <c r="M529" t="str">
        <f t="shared" si="25"/>
        <v>Man</v>
      </c>
      <c r="N529" t="b">
        <v>1</v>
      </c>
      <c r="O529" t="s">
        <v>16</v>
      </c>
      <c r="P529" t="s">
        <v>17</v>
      </c>
      <c r="Q529" t="str">
        <f t="shared" si="26"/>
        <v>No</v>
      </c>
      <c r="R529" t="b">
        <v>1</v>
      </c>
    </row>
    <row r="530" spans="1:18" x14ac:dyDescent="0.3">
      <c r="A530">
        <v>0</v>
      </c>
      <c r="B530" t="s">
        <v>26</v>
      </c>
      <c r="C530">
        <v>3</v>
      </c>
      <c r="D530" t="s">
        <v>32</v>
      </c>
      <c r="E530" t="s">
        <v>13</v>
      </c>
      <c r="F530" t="str">
        <f t="shared" si="24"/>
        <v>Male</v>
      </c>
      <c r="G530">
        <v>39</v>
      </c>
      <c r="H530">
        <v>0</v>
      </c>
      <c r="I530">
        <v>0</v>
      </c>
      <c r="J530">
        <v>7.9249999999999998</v>
      </c>
      <c r="K530" t="s">
        <v>14</v>
      </c>
      <c r="L530" t="s">
        <v>15</v>
      </c>
      <c r="M530" t="str">
        <f t="shared" si="25"/>
        <v>Man</v>
      </c>
      <c r="N530" t="b">
        <v>1</v>
      </c>
      <c r="O530" t="s">
        <v>16</v>
      </c>
      <c r="P530" t="s">
        <v>17</v>
      </c>
      <c r="Q530" t="str">
        <f t="shared" si="26"/>
        <v>No</v>
      </c>
      <c r="R530" t="b">
        <v>1</v>
      </c>
    </row>
    <row r="531" spans="1:18" x14ac:dyDescent="0.3">
      <c r="A531">
        <v>0</v>
      </c>
      <c r="B531" t="s">
        <v>26</v>
      </c>
      <c r="C531">
        <v>2</v>
      </c>
      <c r="D531" t="s">
        <v>31</v>
      </c>
      <c r="E531" t="s">
        <v>13</v>
      </c>
      <c r="F531" t="str">
        <f t="shared" si="24"/>
        <v>Male</v>
      </c>
      <c r="G531">
        <v>23</v>
      </c>
      <c r="H531">
        <v>2</v>
      </c>
      <c r="I531">
        <v>1</v>
      </c>
      <c r="J531">
        <v>11.5</v>
      </c>
      <c r="K531" t="s">
        <v>25</v>
      </c>
      <c r="L531" t="s">
        <v>15</v>
      </c>
      <c r="M531" t="str">
        <f t="shared" si="25"/>
        <v>Man</v>
      </c>
      <c r="N531" t="b">
        <v>1</v>
      </c>
      <c r="O531" t="s">
        <v>16</v>
      </c>
      <c r="P531" t="s">
        <v>17</v>
      </c>
      <c r="Q531" t="str">
        <f t="shared" si="26"/>
        <v>No</v>
      </c>
      <c r="R531" t="b">
        <v>0</v>
      </c>
    </row>
    <row r="532" spans="1:18" x14ac:dyDescent="0.3">
      <c r="A532">
        <v>1</v>
      </c>
      <c r="B532" t="s">
        <v>27</v>
      </c>
      <c r="C532">
        <v>2</v>
      </c>
      <c r="D532" t="s">
        <v>31</v>
      </c>
      <c r="E532" t="s">
        <v>18</v>
      </c>
      <c r="F532" t="str">
        <f t="shared" si="24"/>
        <v>Female</v>
      </c>
      <c r="G532">
        <v>2</v>
      </c>
      <c r="H532">
        <v>1</v>
      </c>
      <c r="I532">
        <v>1</v>
      </c>
      <c r="J532">
        <v>26</v>
      </c>
      <c r="K532" t="s">
        <v>25</v>
      </c>
      <c r="L532" t="s">
        <v>24</v>
      </c>
      <c r="M532" t="str">
        <f t="shared" si="25"/>
        <v>Child</v>
      </c>
      <c r="N532" t="b">
        <v>0</v>
      </c>
      <c r="O532" t="s">
        <v>16</v>
      </c>
      <c r="P532" t="s">
        <v>22</v>
      </c>
      <c r="Q532" t="str">
        <f t="shared" si="26"/>
        <v>Yes</v>
      </c>
      <c r="R532" t="b">
        <v>0</v>
      </c>
    </row>
    <row r="533" spans="1:18" x14ac:dyDescent="0.3">
      <c r="A533">
        <v>0</v>
      </c>
      <c r="B533" t="s">
        <v>26</v>
      </c>
      <c r="C533">
        <v>3</v>
      </c>
      <c r="D533" t="s">
        <v>32</v>
      </c>
      <c r="E533" t="s">
        <v>13</v>
      </c>
      <c r="F533" t="str">
        <f t="shared" si="24"/>
        <v>Male</v>
      </c>
      <c r="G533">
        <v>30</v>
      </c>
      <c r="H533">
        <v>0</v>
      </c>
      <c r="I533">
        <v>0</v>
      </c>
      <c r="J533">
        <v>7.2291999999999996</v>
      </c>
      <c r="K533" t="s">
        <v>14</v>
      </c>
      <c r="L533" t="s">
        <v>15</v>
      </c>
      <c r="M533" t="str">
        <f t="shared" si="25"/>
        <v>Man</v>
      </c>
      <c r="N533" t="b">
        <v>1</v>
      </c>
      <c r="O533" t="s">
        <v>21</v>
      </c>
      <c r="P533" t="s">
        <v>17</v>
      </c>
      <c r="Q533" t="str">
        <f t="shared" si="26"/>
        <v>No</v>
      </c>
      <c r="R533" t="b">
        <v>1</v>
      </c>
    </row>
    <row r="534" spans="1:18" x14ac:dyDescent="0.3">
      <c r="A534">
        <v>0</v>
      </c>
      <c r="B534" t="s">
        <v>26</v>
      </c>
      <c r="C534">
        <v>3</v>
      </c>
      <c r="D534" t="s">
        <v>32</v>
      </c>
      <c r="E534" t="s">
        <v>13</v>
      </c>
      <c r="F534" t="str">
        <f t="shared" si="24"/>
        <v>Male</v>
      </c>
      <c r="G534">
        <v>17</v>
      </c>
      <c r="H534">
        <v>1</v>
      </c>
      <c r="I534">
        <v>1</v>
      </c>
      <c r="J534">
        <v>7.2291999999999996</v>
      </c>
      <c r="K534" t="s">
        <v>14</v>
      </c>
      <c r="L534" t="s">
        <v>15</v>
      </c>
      <c r="M534" t="str">
        <f t="shared" si="25"/>
        <v>Man</v>
      </c>
      <c r="N534" t="b">
        <v>1</v>
      </c>
      <c r="O534" t="s">
        <v>21</v>
      </c>
      <c r="P534" t="s">
        <v>17</v>
      </c>
      <c r="Q534" t="str">
        <f t="shared" si="26"/>
        <v>No</v>
      </c>
      <c r="R534" t="b">
        <v>0</v>
      </c>
    </row>
    <row r="535" spans="1:18" x14ac:dyDescent="0.3">
      <c r="A535">
        <v>1</v>
      </c>
      <c r="B535" t="s">
        <v>27</v>
      </c>
      <c r="C535">
        <v>3</v>
      </c>
      <c r="D535" t="s">
        <v>32</v>
      </c>
      <c r="E535" t="s">
        <v>18</v>
      </c>
      <c r="F535" t="str">
        <f t="shared" si="24"/>
        <v>Female</v>
      </c>
      <c r="G535">
        <v>30</v>
      </c>
      <c r="H535">
        <v>0</v>
      </c>
      <c r="I535">
        <v>2</v>
      </c>
      <c r="J535">
        <v>22.3583</v>
      </c>
      <c r="K535" t="s">
        <v>14</v>
      </c>
      <c r="L535" t="s">
        <v>20</v>
      </c>
      <c r="M535" t="str">
        <f t="shared" si="25"/>
        <v>Woman</v>
      </c>
      <c r="N535" t="b">
        <v>0</v>
      </c>
      <c r="O535" t="s">
        <v>21</v>
      </c>
      <c r="P535" t="s">
        <v>22</v>
      </c>
      <c r="Q535" t="str">
        <f t="shared" si="26"/>
        <v>Yes</v>
      </c>
      <c r="R535" t="b">
        <v>0</v>
      </c>
    </row>
    <row r="536" spans="1:18" x14ac:dyDescent="0.3">
      <c r="A536">
        <v>0</v>
      </c>
      <c r="B536" t="s">
        <v>26</v>
      </c>
      <c r="C536">
        <v>3</v>
      </c>
      <c r="D536" t="s">
        <v>32</v>
      </c>
      <c r="E536" t="s">
        <v>18</v>
      </c>
      <c r="F536" t="str">
        <f t="shared" si="24"/>
        <v>Female</v>
      </c>
      <c r="G536">
        <v>30</v>
      </c>
      <c r="H536">
        <v>0</v>
      </c>
      <c r="I536">
        <v>0</v>
      </c>
      <c r="J536">
        <v>8.6624999999999996</v>
      </c>
      <c r="K536" t="s">
        <v>14</v>
      </c>
      <c r="L536" t="s">
        <v>20</v>
      </c>
      <c r="M536" t="str">
        <f t="shared" si="25"/>
        <v>Woman</v>
      </c>
      <c r="N536" t="b">
        <v>0</v>
      </c>
      <c r="O536" t="s">
        <v>16</v>
      </c>
      <c r="P536" t="s">
        <v>17</v>
      </c>
      <c r="Q536" t="str">
        <f t="shared" si="26"/>
        <v>No</v>
      </c>
      <c r="R536" t="b">
        <v>1</v>
      </c>
    </row>
    <row r="537" spans="1:18" x14ac:dyDescent="0.3">
      <c r="A537">
        <v>1</v>
      </c>
      <c r="B537" t="s">
        <v>27</v>
      </c>
      <c r="C537">
        <v>2</v>
      </c>
      <c r="D537" t="s">
        <v>31</v>
      </c>
      <c r="E537" t="s">
        <v>18</v>
      </c>
      <c r="F537" t="str">
        <f t="shared" si="24"/>
        <v>Female</v>
      </c>
      <c r="G537">
        <v>7</v>
      </c>
      <c r="H537">
        <v>0</v>
      </c>
      <c r="I537">
        <v>2</v>
      </c>
      <c r="J537">
        <v>26.25</v>
      </c>
      <c r="K537" t="s">
        <v>25</v>
      </c>
      <c r="L537" t="s">
        <v>24</v>
      </c>
      <c r="M537" t="str">
        <f t="shared" si="25"/>
        <v>Child</v>
      </c>
      <c r="N537" t="b">
        <v>0</v>
      </c>
      <c r="O537" t="s">
        <v>16</v>
      </c>
      <c r="P537" t="s">
        <v>22</v>
      </c>
      <c r="Q537" t="str">
        <f t="shared" si="26"/>
        <v>Yes</v>
      </c>
      <c r="R537" t="b">
        <v>0</v>
      </c>
    </row>
    <row r="538" spans="1:18" x14ac:dyDescent="0.3">
      <c r="A538">
        <v>0</v>
      </c>
      <c r="B538" t="s">
        <v>26</v>
      </c>
      <c r="C538">
        <v>1</v>
      </c>
      <c r="D538" t="s">
        <v>30</v>
      </c>
      <c r="E538" t="s">
        <v>13</v>
      </c>
      <c r="F538" t="str">
        <f t="shared" si="24"/>
        <v>Male</v>
      </c>
      <c r="G538">
        <v>45</v>
      </c>
      <c r="H538">
        <v>0</v>
      </c>
      <c r="I538">
        <v>0</v>
      </c>
      <c r="J538">
        <v>26.55</v>
      </c>
      <c r="K538" t="s">
        <v>19</v>
      </c>
      <c r="L538" t="s">
        <v>15</v>
      </c>
      <c r="M538" t="str">
        <f t="shared" si="25"/>
        <v>Man</v>
      </c>
      <c r="N538" t="b">
        <v>1</v>
      </c>
      <c r="O538" t="s">
        <v>16</v>
      </c>
      <c r="P538" t="s">
        <v>17</v>
      </c>
      <c r="Q538" t="str">
        <f t="shared" si="26"/>
        <v>No</v>
      </c>
      <c r="R538" t="b">
        <v>1</v>
      </c>
    </row>
    <row r="539" spans="1:18" x14ac:dyDescent="0.3">
      <c r="A539">
        <v>1</v>
      </c>
      <c r="B539" t="s">
        <v>27</v>
      </c>
      <c r="C539">
        <v>1</v>
      </c>
      <c r="D539" t="s">
        <v>30</v>
      </c>
      <c r="E539" t="s">
        <v>18</v>
      </c>
      <c r="F539" t="str">
        <f t="shared" si="24"/>
        <v>Female</v>
      </c>
      <c r="G539">
        <v>30</v>
      </c>
      <c r="H539">
        <v>0</v>
      </c>
      <c r="I539">
        <v>0</v>
      </c>
      <c r="J539">
        <v>106.425</v>
      </c>
      <c r="K539" t="s">
        <v>19</v>
      </c>
      <c r="L539" t="s">
        <v>20</v>
      </c>
      <c r="M539" t="str">
        <f t="shared" si="25"/>
        <v>Woman</v>
      </c>
      <c r="N539" t="b">
        <v>0</v>
      </c>
      <c r="O539" t="s">
        <v>21</v>
      </c>
      <c r="P539" t="s">
        <v>22</v>
      </c>
      <c r="Q539" t="str">
        <f t="shared" si="26"/>
        <v>Yes</v>
      </c>
      <c r="R539" t="b">
        <v>1</v>
      </c>
    </row>
    <row r="540" spans="1:18" x14ac:dyDescent="0.3">
      <c r="A540">
        <v>0</v>
      </c>
      <c r="B540" t="s">
        <v>26</v>
      </c>
      <c r="C540">
        <v>3</v>
      </c>
      <c r="D540" t="s">
        <v>32</v>
      </c>
      <c r="E540" t="s">
        <v>13</v>
      </c>
      <c r="F540" t="str">
        <f t="shared" si="24"/>
        <v>Male</v>
      </c>
      <c r="G540">
        <v>30</v>
      </c>
      <c r="H540">
        <v>0</v>
      </c>
      <c r="I540">
        <v>0</v>
      </c>
      <c r="J540">
        <v>14.5</v>
      </c>
      <c r="K540" t="s">
        <v>14</v>
      </c>
      <c r="L540" t="s">
        <v>15</v>
      </c>
      <c r="M540" t="str">
        <f t="shared" si="25"/>
        <v>Man</v>
      </c>
      <c r="N540" t="b">
        <v>1</v>
      </c>
      <c r="O540" t="s">
        <v>16</v>
      </c>
      <c r="P540" t="s">
        <v>17</v>
      </c>
      <c r="Q540" t="str">
        <f t="shared" si="26"/>
        <v>No</v>
      </c>
      <c r="R540" t="b">
        <v>1</v>
      </c>
    </row>
    <row r="541" spans="1:18" x14ac:dyDescent="0.3">
      <c r="A541">
        <v>1</v>
      </c>
      <c r="B541" t="s">
        <v>27</v>
      </c>
      <c r="C541">
        <v>1</v>
      </c>
      <c r="D541" t="s">
        <v>30</v>
      </c>
      <c r="E541" t="s">
        <v>18</v>
      </c>
      <c r="F541" t="str">
        <f t="shared" si="24"/>
        <v>Female</v>
      </c>
      <c r="G541">
        <v>22</v>
      </c>
      <c r="H541">
        <v>0</v>
      </c>
      <c r="I541">
        <v>2</v>
      </c>
      <c r="J541">
        <v>49.5</v>
      </c>
      <c r="K541" t="s">
        <v>19</v>
      </c>
      <c r="L541" t="s">
        <v>20</v>
      </c>
      <c r="M541" t="str">
        <f t="shared" si="25"/>
        <v>Woman</v>
      </c>
      <c r="N541" t="b">
        <v>0</v>
      </c>
      <c r="O541" t="s">
        <v>21</v>
      </c>
      <c r="P541" t="s">
        <v>22</v>
      </c>
      <c r="Q541" t="str">
        <f t="shared" si="26"/>
        <v>Yes</v>
      </c>
      <c r="R541" t="b">
        <v>0</v>
      </c>
    </row>
    <row r="542" spans="1:18" x14ac:dyDescent="0.3">
      <c r="A542">
        <v>1</v>
      </c>
      <c r="B542" t="s">
        <v>27</v>
      </c>
      <c r="C542">
        <v>1</v>
      </c>
      <c r="D542" t="s">
        <v>30</v>
      </c>
      <c r="E542" t="s">
        <v>18</v>
      </c>
      <c r="F542" t="str">
        <f t="shared" si="24"/>
        <v>Female</v>
      </c>
      <c r="G542">
        <v>36</v>
      </c>
      <c r="H542">
        <v>0</v>
      </c>
      <c r="I542">
        <v>2</v>
      </c>
      <c r="J542">
        <v>71</v>
      </c>
      <c r="K542" t="s">
        <v>19</v>
      </c>
      <c r="L542" t="s">
        <v>20</v>
      </c>
      <c r="M542" t="str">
        <f t="shared" si="25"/>
        <v>Woman</v>
      </c>
      <c r="N542" t="b">
        <v>0</v>
      </c>
      <c r="O542" t="s">
        <v>16</v>
      </c>
      <c r="P542" t="s">
        <v>22</v>
      </c>
      <c r="Q542" t="str">
        <f t="shared" si="26"/>
        <v>Yes</v>
      </c>
      <c r="R542" t="b">
        <v>0</v>
      </c>
    </row>
    <row r="543" spans="1:18" x14ac:dyDescent="0.3">
      <c r="A543">
        <v>0</v>
      </c>
      <c r="B543" t="s">
        <v>26</v>
      </c>
      <c r="C543">
        <v>3</v>
      </c>
      <c r="D543" t="s">
        <v>32</v>
      </c>
      <c r="E543" t="s">
        <v>18</v>
      </c>
      <c r="F543" t="str">
        <f t="shared" si="24"/>
        <v>Female</v>
      </c>
      <c r="G543">
        <v>9</v>
      </c>
      <c r="H543">
        <v>4</v>
      </c>
      <c r="I543">
        <v>2</v>
      </c>
      <c r="J543">
        <v>31.274999999999999</v>
      </c>
      <c r="K543" t="s">
        <v>14</v>
      </c>
      <c r="L543" t="s">
        <v>24</v>
      </c>
      <c r="M543" t="str">
        <f t="shared" si="25"/>
        <v>Child</v>
      </c>
      <c r="N543" t="b">
        <v>0</v>
      </c>
      <c r="O543" t="s">
        <v>16</v>
      </c>
      <c r="P543" t="s">
        <v>17</v>
      </c>
      <c r="Q543" t="str">
        <f t="shared" si="26"/>
        <v>No</v>
      </c>
      <c r="R543" t="b">
        <v>0</v>
      </c>
    </row>
    <row r="544" spans="1:18" x14ac:dyDescent="0.3">
      <c r="A544">
        <v>0</v>
      </c>
      <c r="B544" t="s">
        <v>26</v>
      </c>
      <c r="C544">
        <v>3</v>
      </c>
      <c r="D544" t="s">
        <v>32</v>
      </c>
      <c r="E544" t="s">
        <v>18</v>
      </c>
      <c r="F544" t="str">
        <f t="shared" si="24"/>
        <v>Female</v>
      </c>
      <c r="G544">
        <v>11</v>
      </c>
      <c r="H544">
        <v>4</v>
      </c>
      <c r="I544">
        <v>2</v>
      </c>
      <c r="J544">
        <v>31.274999999999999</v>
      </c>
      <c r="K544" t="s">
        <v>14</v>
      </c>
      <c r="L544" t="s">
        <v>24</v>
      </c>
      <c r="M544" t="str">
        <f t="shared" si="25"/>
        <v>Child</v>
      </c>
      <c r="N544" t="b">
        <v>0</v>
      </c>
      <c r="O544" t="s">
        <v>16</v>
      </c>
      <c r="P544" t="s">
        <v>17</v>
      </c>
      <c r="Q544" t="str">
        <f t="shared" si="26"/>
        <v>No</v>
      </c>
      <c r="R544" t="b">
        <v>0</v>
      </c>
    </row>
    <row r="545" spans="1:18" x14ac:dyDescent="0.3">
      <c r="A545">
        <v>1</v>
      </c>
      <c r="B545" t="s">
        <v>27</v>
      </c>
      <c r="C545">
        <v>2</v>
      </c>
      <c r="D545" t="s">
        <v>31</v>
      </c>
      <c r="E545" t="s">
        <v>13</v>
      </c>
      <c r="F545" t="str">
        <f t="shared" si="24"/>
        <v>Male</v>
      </c>
      <c r="G545">
        <v>32</v>
      </c>
      <c r="H545">
        <v>1</v>
      </c>
      <c r="I545">
        <v>0</v>
      </c>
      <c r="J545">
        <v>26</v>
      </c>
      <c r="K545" t="s">
        <v>25</v>
      </c>
      <c r="L545" t="s">
        <v>15</v>
      </c>
      <c r="M545" t="str">
        <f t="shared" si="25"/>
        <v>Man</v>
      </c>
      <c r="N545" t="b">
        <v>1</v>
      </c>
      <c r="O545" t="s">
        <v>16</v>
      </c>
      <c r="P545" t="s">
        <v>22</v>
      </c>
      <c r="Q545" t="str">
        <f t="shared" si="26"/>
        <v>Yes</v>
      </c>
      <c r="R545" t="b">
        <v>0</v>
      </c>
    </row>
    <row r="546" spans="1:18" x14ac:dyDescent="0.3">
      <c r="A546">
        <v>0</v>
      </c>
      <c r="B546" t="s">
        <v>26</v>
      </c>
      <c r="C546">
        <v>1</v>
      </c>
      <c r="D546" t="s">
        <v>30</v>
      </c>
      <c r="E546" t="s">
        <v>13</v>
      </c>
      <c r="F546" t="str">
        <f t="shared" si="24"/>
        <v>Male</v>
      </c>
      <c r="G546">
        <v>50</v>
      </c>
      <c r="H546">
        <v>1</v>
      </c>
      <c r="I546">
        <v>0</v>
      </c>
      <c r="J546">
        <v>106.425</v>
      </c>
      <c r="K546" t="s">
        <v>19</v>
      </c>
      <c r="L546" t="s">
        <v>15</v>
      </c>
      <c r="M546" t="str">
        <f t="shared" si="25"/>
        <v>Man</v>
      </c>
      <c r="N546" t="b">
        <v>1</v>
      </c>
      <c r="O546" t="s">
        <v>21</v>
      </c>
      <c r="P546" t="s">
        <v>17</v>
      </c>
      <c r="Q546" t="str">
        <f t="shared" si="26"/>
        <v>No</v>
      </c>
      <c r="R546" t="b">
        <v>0</v>
      </c>
    </row>
    <row r="547" spans="1:18" x14ac:dyDescent="0.3">
      <c r="A547">
        <v>0</v>
      </c>
      <c r="B547" t="s">
        <v>26</v>
      </c>
      <c r="C547">
        <v>1</v>
      </c>
      <c r="D547" t="s">
        <v>30</v>
      </c>
      <c r="E547" t="s">
        <v>13</v>
      </c>
      <c r="F547" t="str">
        <f t="shared" si="24"/>
        <v>Male</v>
      </c>
      <c r="G547">
        <v>64</v>
      </c>
      <c r="H547">
        <v>0</v>
      </c>
      <c r="I547">
        <v>0</v>
      </c>
      <c r="J547">
        <v>26</v>
      </c>
      <c r="K547" t="s">
        <v>19</v>
      </c>
      <c r="L547" t="s">
        <v>15</v>
      </c>
      <c r="M547" t="str">
        <f t="shared" si="25"/>
        <v>Man</v>
      </c>
      <c r="N547" t="b">
        <v>1</v>
      </c>
      <c r="O547" t="s">
        <v>16</v>
      </c>
      <c r="P547" t="s">
        <v>17</v>
      </c>
      <c r="Q547" t="str">
        <f t="shared" si="26"/>
        <v>No</v>
      </c>
      <c r="R547" t="b">
        <v>1</v>
      </c>
    </row>
    <row r="548" spans="1:18" x14ac:dyDescent="0.3">
      <c r="A548">
        <v>1</v>
      </c>
      <c r="B548" t="s">
        <v>27</v>
      </c>
      <c r="C548">
        <v>2</v>
      </c>
      <c r="D548" t="s">
        <v>31</v>
      </c>
      <c r="E548" t="s">
        <v>18</v>
      </c>
      <c r="F548" t="str">
        <f t="shared" si="24"/>
        <v>Female</v>
      </c>
      <c r="G548">
        <v>19</v>
      </c>
      <c r="H548">
        <v>1</v>
      </c>
      <c r="I548">
        <v>0</v>
      </c>
      <c r="J548">
        <v>26</v>
      </c>
      <c r="K548" t="s">
        <v>25</v>
      </c>
      <c r="L548" t="s">
        <v>20</v>
      </c>
      <c r="M548" t="str">
        <f t="shared" si="25"/>
        <v>Woman</v>
      </c>
      <c r="N548" t="b">
        <v>0</v>
      </c>
      <c r="O548" t="s">
        <v>16</v>
      </c>
      <c r="P548" t="s">
        <v>22</v>
      </c>
      <c r="Q548" t="str">
        <f t="shared" si="26"/>
        <v>Yes</v>
      </c>
      <c r="R548" t="b">
        <v>0</v>
      </c>
    </row>
    <row r="549" spans="1:18" x14ac:dyDescent="0.3">
      <c r="A549">
        <v>1</v>
      </c>
      <c r="B549" t="s">
        <v>27</v>
      </c>
      <c r="C549">
        <v>2</v>
      </c>
      <c r="D549" t="s">
        <v>31</v>
      </c>
      <c r="E549" t="s">
        <v>13</v>
      </c>
      <c r="F549" t="str">
        <f t="shared" si="24"/>
        <v>Male</v>
      </c>
      <c r="G549">
        <v>30</v>
      </c>
      <c r="H549">
        <v>0</v>
      </c>
      <c r="I549">
        <v>0</v>
      </c>
      <c r="J549">
        <v>13.862500000000001</v>
      </c>
      <c r="K549" t="s">
        <v>25</v>
      </c>
      <c r="L549" t="s">
        <v>15</v>
      </c>
      <c r="M549" t="str">
        <f t="shared" si="25"/>
        <v>Man</v>
      </c>
      <c r="N549" t="b">
        <v>1</v>
      </c>
      <c r="O549" t="s">
        <v>21</v>
      </c>
      <c r="P549" t="s">
        <v>22</v>
      </c>
      <c r="Q549" t="str">
        <f t="shared" si="26"/>
        <v>Yes</v>
      </c>
      <c r="R549" t="b">
        <v>1</v>
      </c>
    </row>
    <row r="550" spans="1:18" x14ac:dyDescent="0.3">
      <c r="A550">
        <v>0</v>
      </c>
      <c r="B550" t="s">
        <v>26</v>
      </c>
      <c r="C550">
        <v>3</v>
      </c>
      <c r="D550" t="s">
        <v>32</v>
      </c>
      <c r="E550" t="s">
        <v>13</v>
      </c>
      <c r="F550" t="str">
        <f t="shared" si="24"/>
        <v>Male</v>
      </c>
      <c r="G550">
        <v>33</v>
      </c>
      <c r="H550">
        <v>1</v>
      </c>
      <c r="I550">
        <v>1</v>
      </c>
      <c r="J550">
        <v>20.524999999999999</v>
      </c>
      <c r="K550" t="s">
        <v>14</v>
      </c>
      <c r="L550" t="s">
        <v>15</v>
      </c>
      <c r="M550" t="str">
        <f t="shared" si="25"/>
        <v>Man</v>
      </c>
      <c r="N550" t="b">
        <v>1</v>
      </c>
      <c r="O550" t="s">
        <v>16</v>
      </c>
      <c r="P550" t="s">
        <v>17</v>
      </c>
      <c r="Q550" t="str">
        <f t="shared" si="26"/>
        <v>No</v>
      </c>
      <c r="R550" t="b">
        <v>0</v>
      </c>
    </row>
    <row r="551" spans="1:18" x14ac:dyDescent="0.3">
      <c r="A551">
        <v>1</v>
      </c>
      <c r="B551" t="s">
        <v>27</v>
      </c>
      <c r="C551">
        <v>2</v>
      </c>
      <c r="D551" t="s">
        <v>31</v>
      </c>
      <c r="E551" t="s">
        <v>13</v>
      </c>
      <c r="F551" t="str">
        <f t="shared" si="24"/>
        <v>Male</v>
      </c>
      <c r="G551">
        <v>8</v>
      </c>
      <c r="H551">
        <v>1</v>
      </c>
      <c r="I551">
        <v>1</v>
      </c>
      <c r="J551">
        <v>36.75</v>
      </c>
      <c r="K551" t="s">
        <v>25</v>
      </c>
      <c r="L551" t="s">
        <v>24</v>
      </c>
      <c r="M551" t="str">
        <f t="shared" si="25"/>
        <v>Child</v>
      </c>
      <c r="N551" t="b">
        <v>0</v>
      </c>
      <c r="O551" t="s">
        <v>16</v>
      </c>
      <c r="P551" t="s">
        <v>22</v>
      </c>
      <c r="Q551" t="str">
        <f t="shared" si="26"/>
        <v>Yes</v>
      </c>
      <c r="R551" t="b">
        <v>0</v>
      </c>
    </row>
    <row r="552" spans="1:18" x14ac:dyDescent="0.3">
      <c r="A552">
        <v>1</v>
      </c>
      <c r="B552" t="s">
        <v>27</v>
      </c>
      <c r="C552">
        <v>1</v>
      </c>
      <c r="D552" t="s">
        <v>30</v>
      </c>
      <c r="E552" t="s">
        <v>13</v>
      </c>
      <c r="F552" t="str">
        <f t="shared" si="24"/>
        <v>Male</v>
      </c>
      <c r="G552">
        <v>17</v>
      </c>
      <c r="H552">
        <v>0</v>
      </c>
      <c r="I552">
        <v>2</v>
      </c>
      <c r="J552">
        <v>110.88330000000001</v>
      </c>
      <c r="K552" t="s">
        <v>19</v>
      </c>
      <c r="L552" t="s">
        <v>15</v>
      </c>
      <c r="M552" t="str">
        <f t="shared" si="25"/>
        <v>Man</v>
      </c>
      <c r="N552" t="b">
        <v>1</v>
      </c>
      <c r="O552" t="s">
        <v>21</v>
      </c>
      <c r="P552" t="s">
        <v>22</v>
      </c>
      <c r="Q552" t="str">
        <f t="shared" si="26"/>
        <v>Yes</v>
      </c>
      <c r="R552" t="b">
        <v>0</v>
      </c>
    </row>
    <row r="553" spans="1:18" x14ac:dyDescent="0.3">
      <c r="A553">
        <v>0</v>
      </c>
      <c r="B553" t="s">
        <v>26</v>
      </c>
      <c r="C553">
        <v>2</v>
      </c>
      <c r="D553" t="s">
        <v>31</v>
      </c>
      <c r="E553" t="s">
        <v>13</v>
      </c>
      <c r="F553" t="str">
        <f t="shared" si="24"/>
        <v>Male</v>
      </c>
      <c r="G553">
        <v>27</v>
      </c>
      <c r="H553">
        <v>0</v>
      </c>
      <c r="I553">
        <v>0</v>
      </c>
      <c r="J553">
        <v>26</v>
      </c>
      <c r="K553" t="s">
        <v>25</v>
      </c>
      <c r="L553" t="s">
        <v>15</v>
      </c>
      <c r="M553" t="str">
        <f t="shared" si="25"/>
        <v>Man</v>
      </c>
      <c r="N553" t="b">
        <v>1</v>
      </c>
      <c r="O553" t="s">
        <v>16</v>
      </c>
      <c r="P553" t="s">
        <v>17</v>
      </c>
      <c r="Q553" t="str">
        <f t="shared" si="26"/>
        <v>No</v>
      </c>
      <c r="R553" t="b">
        <v>1</v>
      </c>
    </row>
    <row r="554" spans="1:18" x14ac:dyDescent="0.3">
      <c r="A554">
        <v>0</v>
      </c>
      <c r="B554" t="s">
        <v>26</v>
      </c>
      <c r="C554">
        <v>3</v>
      </c>
      <c r="D554" t="s">
        <v>32</v>
      </c>
      <c r="E554" t="s">
        <v>13</v>
      </c>
      <c r="F554" t="str">
        <f t="shared" si="24"/>
        <v>Male</v>
      </c>
      <c r="G554">
        <v>30</v>
      </c>
      <c r="H554">
        <v>0</v>
      </c>
      <c r="I554">
        <v>0</v>
      </c>
      <c r="J554">
        <v>7.8292000000000002</v>
      </c>
      <c r="K554" t="s">
        <v>14</v>
      </c>
      <c r="L554" t="s">
        <v>15</v>
      </c>
      <c r="M554" t="str">
        <f t="shared" si="25"/>
        <v>Man</v>
      </c>
      <c r="N554" t="b">
        <v>1</v>
      </c>
      <c r="O554" t="s">
        <v>23</v>
      </c>
      <c r="P554" t="s">
        <v>17</v>
      </c>
      <c r="Q554" t="str">
        <f t="shared" si="26"/>
        <v>No</v>
      </c>
      <c r="R554" t="b">
        <v>1</v>
      </c>
    </row>
    <row r="555" spans="1:18" x14ac:dyDescent="0.3">
      <c r="A555">
        <v>1</v>
      </c>
      <c r="B555" t="s">
        <v>27</v>
      </c>
      <c r="C555">
        <v>3</v>
      </c>
      <c r="D555" t="s">
        <v>32</v>
      </c>
      <c r="E555" t="s">
        <v>13</v>
      </c>
      <c r="F555" t="str">
        <f t="shared" si="24"/>
        <v>Male</v>
      </c>
      <c r="G555">
        <v>22</v>
      </c>
      <c r="H555">
        <v>0</v>
      </c>
      <c r="I555">
        <v>0</v>
      </c>
      <c r="J555">
        <v>7.2249999999999996</v>
      </c>
      <c r="K555" t="s">
        <v>14</v>
      </c>
      <c r="L555" t="s">
        <v>15</v>
      </c>
      <c r="M555" t="str">
        <f t="shared" si="25"/>
        <v>Man</v>
      </c>
      <c r="N555" t="b">
        <v>1</v>
      </c>
      <c r="O555" t="s">
        <v>21</v>
      </c>
      <c r="P555" t="s">
        <v>22</v>
      </c>
      <c r="Q555" t="str">
        <f t="shared" si="26"/>
        <v>Yes</v>
      </c>
      <c r="R555" t="b">
        <v>1</v>
      </c>
    </row>
    <row r="556" spans="1:18" x14ac:dyDescent="0.3">
      <c r="A556">
        <v>1</v>
      </c>
      <c r="B556" t="s">
        <v>27</v>
      </c>
      <c r="C556">
        <v>3</v>
      </c>
      <c r="D556" t="s">
        <v>32</v>
      </c>
      <c r="E556" t="s">
        <v>18</v>
      </c>
      <c r="F556" t="str">
        <f t="shared" si="24"/>
        <v>Female</v>
      </c>
      <c r="G556">
        <v>22</v>
      </c>
      <c r="H556">
        <v>0</v>
      </c>
      <c r="I556">
        <v>0</v>
      </c>
      <c r="J556">
        <v>7.7750000000000004</v>
      </c>
      <c r="K556" t="s">
        <v>14</v>
      </c>
      <c r="L556" t="s">
        <v>20</v>
      </c>
      <c r="M556" t="str">
        <f t="shared" si="25"/>
        <v>Woman</v>
      </c>
      <c r="N556" t="b">
        <v>0</v>
      </c>
      <c r="O556" t="s">
        <v>16</v>
      </c>
      <c r="P556" t="s">
        <v>22</v>
      </c>
      <c r="Q556" t="str">
        <f t="shared" si="26"/>
        <v>Yes</v>
      </c>
      <c r="R556" t="b">
        <v>1</v>
      </c>
    </row>
    <row r="557" spans="1:18" x14ac:dyDescent="0.3">
      <c r="A557">
        <v>0</v>
      </c>
      <c r="B557" t="s">
        <v>26</v>
      </c>
      <c r="C557">
        <v>1</v>
      </c>
      <c r="D557" t="s">
        <v>30</v>
      </c>
      <c r="E557" t="s">
        <v>13</v>
      </c>
      <c r="F557" t="str">
        <f t="shared" si="24"/>
        <v>Male</v>
      </c>
      <c r="G557">
        <v>62</v>
      </c>
      <c r="H557">
        <v>0</v>
      </c>
      <c r="I557">
        <v>0</v>
      </c>
      <c r="J557">
        <v>26.55</v>
      </c>
      <c r="K557" t="s">
        <v>19</v>
      </c>
      <c r="L557" t="s">
        <v>15</v>
      </c>
      <c r="M557" t="str">
        <f t="shared" si="25"/>
        <v>Man</v>
      </c>
      <c r="N557" t="b">
        <v>1</v>
      </c>
      <c r="O557" t="s">
        <v>16</v>
      </c>
      <c r="P557" t="s">
        <v>17</v>
      </c>
      <c r="Q557" t="str">
        <f t="shared" si="26"/>
        <v>No</v>
      </c>
      <c r="R557" t="b">
        <v>1</v>
      </c>
    </row>
    <row r="558" spans="1:18" x14ac:dyDescent="0.3">
      <c r="A558">
        <v>1</v>
      </c>
      <c r="B558" t="s">
        <v>27</v>
      </c>
      <c r="C558">
        <v>1</v>
      </c>
      <c r="D558" t="s">
        <v>30</v>
      </c>
      <c r="E558" t="s">
        <v>18</v>
      </c>
      <c r="F558" t="str">
        <f t="shared" si="24"/>
        <v>Female</v>
      </c>
      <c r="G558">
        <v>48</v>
      </c>
      <c r="H558">
        <v>1</v>
      </c>
      <c r="I558">
        <v>0</v>
      </c>
      <c r="J558">
        <v>39.6</v>
      </c>
      <c r="K558" t="s">
        <v>19</v>
      </c>
      <c r="L558" t="s">
        <v>20</v>
      </c>
      <c r="M558" t="str">
        <f t="shared" si="25"/>
        <v>Woman</v>
      </c>
      <c r="N558" t="b">
        <v>0</v>
      </c>
      <c r="O558" t="s">
        <v>21</v>
      </c>
      <c r="P558" t="s">
        <v>22</v>
      </c>
      <c r="Q558" t="str">
        <f t="shared" si="26"/>
        <v>Yes</v>
      </c>
      <c r="R558" t="b">
        <v>0</v>
      </c>
    </row>
    <row r="559" spans="1:18" x14ac:dyDescent="0.3">
      <c r="A559">
        <v>0</v>
      </c>
      <c r="B559" t="s">
        <v>26</v>
      </c>
      <c r="C559">
        <v>1</v>
      </c>
      <c r="D559" t="s">
        <v>30</v>
      </c>
      <c r="E559" t="s">
        <v>13</v>
      </c>
      <c r="F559" t="str">
        <f t="shared" si="24"/>
        <v>Male</v>
      </c>
      <c r="G559">
        <v>30</v>
      </c>
      <c r="H559">
        <v>0</v>
      </c>
      <c r="I559">
        <v>0</v>
      </c>
      <c r="J559">
        <v>227.52500000000001</v>
      </c>
      <c r="K559" t="s">
        <v>19</v>
      </c>
      <c r="L559" t="s">
        <v>15</v>
      </c>
      <c r="M559" t="str">
        <f t="shared" si="25"/>
        <v>Man</v>
      </c>
      <c r="N559" t="b">
        <v>1</v>
      </c>
      <c r="O559" t="s">
        <v>21</v>
      </c>
      <c r="P559" t="s">
        <v>17</v>
      </c>
      <c r="Q559" t="str">
        <f t="shared" si="26"/>
        <v>No</v>
      </c>
      <c r="R559" t="b">
        <v>1</v>
      </c>
    </row>
    <row r="560" spans="1:18" x14ac:dyDescent="0.3">
      <c r="A560">
        <v>1</v>
      </c>
      <c r="B560" t="s">
        <v>27</v>
      </c>
      <c r="C560">
        <v>1</v>
      </c>
      <c r="D560" t="s">
        <v>30</v>
      </c>
      <c r="E560" t="s">
        <v>18</v>
      </c>
      <c r="F560" t="str">
        <f t="shared" si="24"/>
        <v>Female</v>
      </c>
      <c r="G560">
        <v>39</v>
      </c>
      <c r="H560">
        <v>1</v>
      </c>
      <c r="I560">
        <v>1</v>
      </c>
      <c r="J560">
        <v>79.650000000000006</v>
      </c>
      <c r="K560" t="s">
        <v>19</v>
      </c>
      <c r="L560" t="s">
        <v>20</v>
      </c>
      <c r="M560" t="str">
        <f t="shared" si="25"/>
        <v>Woman</v>
      </c>
      <c r="N560" t="b">
        <v>0</v>
      </c>
      <c r="O560" t="s">
        <v>16</v>
      </c>
      <c r="P560" t="s">
        <v>22</v>
      </c>
      <c r="Q560" t="str">
        <f t="shared" si="26"/>
        <v>Yes</v>
      </c>
      <c r="R560" t="b">
        <v>0</v>
      </c>
    </row>
    <row r="561" spans="1:18" x14ac:dyDescent="0.3">
      <c r="A561">
        <v>1</v>
      </c>
      <c r="B561" t="s">
        <v>27</v>
      </c>
      <c r="C561">
        <v>3</v>
      </c>
      <c r="D561" t="s">
        <v>32</v>
      </c>
      <c r="E561" t="s">
        <v>18</v>
      </c>
      <c r="F561" t="str">
        <f t="shared" si="24"/>
        <v>Female</v>
      </c>
      <c r="G561">
        <v>36</v>
      </c>
      <c r="H561">
        <v>1</v>
      </c>
      <c r="I561">
        <v>0</v>
      </c>
      <c r="J561">
        <v>17.399999999999999</v>
      </c>
      <c r="K561" t="s">
        <v>14</v>
      </c>
      <c r="L561" t="s">
        <v>20</v>
      </c>
      <c r="M561" t="str">
        <f t="shared" si="25"/>
        <v>Woman</v>
      </c>
      <c r="N561" t="b">
        <v>0</v>
      </c>
      <c r="O561" t="s">
        <v>16</v>
      </c>
      <c r="P561" t="s">
        <v>22</v>
      </c>
      <c r="Q561" t="str">
        <f t="shared" si="26"/>
        <v>Yes</v>
      </c>
      <c r="R561" t="b">
        <v>0</v>
      </c>
    </row>
    <row r="562" spans="1:18" x14ac:dyDescent="0.3">
      <c r="A562">
        <v>0</v>
      </c>
      <c r="B562" t="s">
        <v>26</v>
      </c>
      <c r="C562">
        <v>3</v>
      </c>
      <c r="D562" t="s">
        <v>32</v>
      </c>
      <c r="E562" t="s">
        <v>13</v>
      </c>
      <c r="F562" t="str">
        <f t="shared" si="24"/>
        <v>Male</v>
      </c>
      <c r="G562">
        <v>30</v>
      </c>
      <c r="H562">
        <v>0</v>
      </c>
      <c r="I562">
        <v>0</v>
      </c>
      <c r="J562">
        <v>7.75</v>
      </c>
      <c r="K562" t="s">
        <v>14</v>
      </c>
      <c r="L562" t="s">
        <v>15</v>
      </c>
      <c r="M562" t="str">
        <f t="shared" si="25"/>
        <v>Man</v>
      </c>
      <c r="N562" t="b">
        <v>1</v>
      </c>
      <c r="O562" t="s">
        <v>23</v>
      </c>
      <c r="P562" t="s">
        <v>17</v>
      </c>
      <c r="Q562" t="str">
        <f t="shared" si="26"/>
        <v>No</v>
      </c>
      <c r="R562" t="b">
        <v>1</v>
      </c>
    </row>
    <row r="563" spans="1:18" x14ac:dyDescent="0.3">
      <c r="A563">
        <v>0</v>
      </c>
      <c r="B563" t="s">
        <v>26</v>
      </c>
      <c r="C563">
        <v>3</v>
      </c>
      <c r="D563" t="s">
        <v>32</v>
      </c>
      <c r="E563" t="s">
        <v>13</v>
      </c>
      <c r="F563" t="str">
        <f t="shared" si="24"/>
        <v>Male</v>
      </c>
      <c r="G563">
        <v>40</v>
      </c>
      <c r="H563">
        <v>0</v>
      </c>
      <c r="I563">
        <v>0</v>
      </c>
      <c r="J563">
        <v>7.8958000000000004</v>
      </c>
      <c r="K563" t="s">
        <v>14</v>
      </c>
      <c r="L563" t="s">
        <v>15</v>
      </c>
      <c r="M563" t="str">
        <f t="shared" si="25"/>
        <v>Man</v>
      </c>
      <c r="N563" t="b">
        <v>1</v>
      </c>
      <c r="O563" t="s">
        <v>16</v>
      </c>
      <c r="P563" t="s">
        <v>17</v>
      </c>
      <c r="Q563" t="str">
        <f t="shared" si="26"/>
        <v>No</v>
      </c>
      <c r="R563" t="b">
        <v>1</v>
      </c>
    </row>
    <row r="564" spans="1:18" x14ac:dyDescent="0.3">
      <c r="A564">
        <v>0</v>
      </c>
      <c r="B564" t="s">
        <v>26</v>
      </c>
      <c r="C564">
        <v>2</v>
      </c>
      <c r="D564" t="s">
        <v>31</v>
      </c>
      <c r="E564" t="s">
        <v>13</v>
      </c>
      <c r="F564" t="str">
        <f t="shared" si="24"/>
        <v>Male</v>
      </c>
      <c r="G564">
        <v>28</v>
      </c>
      <c r="H564">
        <v>0</v>
      </c>
      <c r="I564">
        <v>0</v>
      </c>
      <c r="J564">
        <v>13.5</v>
      </c>
      <c r="K564" t="s">
        <v>25</v>
      </c>
      <c r="L564" t="s">
        <v>15</v>
      </c>
      <c r="M564" t="str">
        <f t="shared" si="25"/>
        <v>Man</v>
      </c>
      <c r="N564" t="b">
        <v>1</v>
      </c>
      <c r="O564" t="s">
        <v>16</v>
      </c>
      <c r="P564" t="s">
        <v>17</v>
      </c>
      <c r="Q564" t="str">
        <f t="shared" si="26"/>
        <v>No</v>
      </c>
      <c r="R564" t="b">
        <v>1</v>
      </c>
    </row>
    <row r="565" spans="1:18" x14ac:dyDescent="0.3">
      <c r="A565">
        <v>0</v>
      </c>
      <c r="B565" t="s">
        <v>26</v>
      </c>
      <c r="C565">
        <v>3</v>
      </c>
      <c r="D565" t="s">
        <v>32</v>
      </c>
      <c r="E565" t="s">
        <v>13</v>
      </c>
      <c r="F565" t="str">
        <f t="shared" si="24"/>
        <v>Male</v>
      </c>
      <c r="G565">
        <v>30</v>
      </c>
      <c r="H565">
        <v>0</v>
      </c>
      <c r="I565">
        <v>0</v>
      </c>
      <c r="J565">
        <v>8.0500000000000007</v>
      </c>
      <c r="K565" t="s">
        <v>14</v>
      </c>
      <c r="L565" t="s">
        <v>15</v>
      </c>
      <c r="M565" t="str">
        <f t="shared" si="25"/>
        <v>Man</v>
      </c>
      <c r="N565" t="b">
        <v>1</v>
      </c>
      <c r="O565" t="s">
        <v>16</v>
      </c>
      <c r="P565" t="s">
        <v>17</v>
      </c>
      <c r="Q565" t="str">
        <f t="shared" si="26"/>
        <v>No</v>
      </c>
      <c r="R565" t="b">
        <v>1</v>
      </c>
    </row>
    <row r="566" spans="1:18" x14ac:dyDescent="0.3">
      <c r="A566">
        <v>0</v>
      </c>
      <c r="B566" t="s">
        <v>26</v>
      </c>
      <c r="C566">
        <v>3</v>
      </c>
      <c r="D566" t="s">
        <v>32</v>
      </c>
      <c r="E566" t="s">
        <v>18</v>
      </c>
      <c r="F566" t="str">
        <f t="shared" si="24"/>
        <v>Female</v>
      </c>
      <c r="G566">
        <v>30</v>
      </c>
      <c r="H566">
        <v>0</v>
      </c>
      <c r="I566">
        <v>0</v>
      </c>
      <c r="J566">
        <v>8.0500000000000007</v>
      </c>
      <c r="K566" t="s">
        <v>14</v>
      </c>
      <c r="L566" t="s">
        <v>20</v>
      </c>
      <c r="M566" t="str">
        <f t="shared" si="25"/>
        <v>Woman</v>
      </c>
      <c r="N566" t="b">
        <v>0</v>
      </c>
      <c r="O566" t="s">
        <v>16</v>
      </c>
      <c r="P566" t="s">
        <v>17</v>
      </c>
      <c r="Q566" t="str">
        <f t="shared" si="26"/>
        <v>No</v>
      </c>
      <c r="R566" t="b">
        <v>1</v>
      </c>
    </row>
    <row r="567" spans="1:18" x14ac:dyDescent="0.3">
      <c r="A567">
        <v>0</v>
      </c>
      <c r="B567" t="s">
        <v>26</v>
      </c>
      <c r="C567">
        <v>3</v>
      </c>
      <c r="D567" t="s">
        <v>32</v>
      </c>
      <c r="E567" t="s">
        <v>13</v>
      </c>
      <c r="F567" t="str">
        <f t="shared" si="24"/>
        <v>Male</v>
      </c>
      <c r="G567">
        <v>24</v>
      </c>
      <c r="H567">
        <v>2</v>
      </c>
      <c r="I567">
        <v>0</v>
      </c>
      <c r="J567">
        <v>24.15</v>
      </c>
      <c r="K567" t="s">
        <v>14</v>
      </c>
      <c r="L567" t="s">
        <v>15</v>
      </c>
      <c r="M567" t="str">
        <f t="shared" si="25"/>
        <v>Man</v>
      </c>
      <c r="N567" t="b">
        <v>1</v>
      </c>
      <c r="O567" t="s">
        <v>16</v>
      </c>
      <c r="P567" t="s">
        <v>17</v>
      </c>
      <c r="Q567" t="str">
        <f t="shared" si="26"/>
        <v>No</v>
      </c>
      <c r="R567" t="b">
        <v>0</v>
      </c>
    </row>
    <row r="568" spans="1:18" x14ac:dyDescent="0.3">
      <c r="A568">
        <v>0</v>
      </c>
      <c r="B568" t="s">
        <v>26</v>
      </c>
      <c r="C568">
        <v>3</v>
      </c>
      <c r="D568" t="s">
        <v>32</v>
      </c>
      <c r="E568" t="s">
        <v>13</v>
      </c>
      <c r="F568" t="str">
        <f t="shared" si="24"/>
        <v>Male</v>
      </c>
      <c r="G568">
        <v>19</v>
      </c>
      <c r="H568">
        <v>0</v>
      </c>
      <c r="I568">
        <v>0</v>
      </c>
      <c r="J568">
        <v>7.8958000000000004</v>
      </c>
      <c r="K568" t="s">
        <v>14</v>
      </c>
      <c r="L568" t="s">
        <v>15</v>
      </c>
      <c r="M568" t="str">
        <f t="shared" si="25"/>
        <v>Man</v>
      </c>
      <c r="N568" t="b">
        <v>1</v>
      </c>
      <c r="O568" t="s">
        <v>16</v>
      </c>
      <c r="P568" t="s">
        <v>17</v>
      </c>
      <c r="Q568" t="str">
        <f t="shared" si="26"/>
        <v>No</v>
      </c>
      <c r="R568" t="b">
        <v>1</v>
      </c>
    </row>
    <row r="569" spans="1:18" x14ac:dyDescent="0.3">
      <c r="A569">
        <v>0</v>
      </c>
      <c r="B569" t="s">
        <v>26</v>
      </c>
      <c r="C569">
        <v>3</v>
      </c>
      <c r="D569" t="s">
        <v>32</v>
      </c>
      <c r="E569" t="s">
        <v>18</v>
      </c>
      <c r="F569" t="str">
        <f t="shared" si="24"/>
        <v>Female</v>
      </c>
      <c r="G569">
        <v>29</v>
      </c>
      <c r="H569">
        <v>0</v>
      </c>
      <c r="I569">
        <v>4</v>
      </c>
      <c r="J569">
        <v>21.074999999999999</v>
      </c>
      <c r="K569" t="s">
        <v>14</v>
      </c>
      <c r="L569" t="s">
        <v>20</v>
      </c>
      <c r="M569" t="str">
        <f t="shared" si="25"/>
        <v>Woman</v>
      </c>
      <c r="N569" t="b">
        <v>0</v>
      </c>
      <c r="O569" t="s">
        <v>16</v>
      </c>
      <c r="P569" t="s">
        <v>17</v>
      </c>
      <c r="Q569" t="str">
        <f t="shared" si="26"/>
        <v>No</v>
      </c>
      <c r="R569" t="b">
        <v>0</v>
      </c>
    </row>
    <row r="570" spans="1:18" x14ac:dyDescent="0.3">
      <c r="A570">
        <v>0</v>
      </c>
      <c r="B570" t="s">
        <v>26</v>
      </c>
      <c r="C570">
        <v>3</v>
      </c>
      <c r="D570" t="s">
        <v>32</v>
      </c>
      <c r="E570" t="s">
        <v>13</v>
      </c>
      <c r="F570" t="str">
        <f t="shared" si="24"/>
        <v>Male</v>
      </c>
      <c r="G570">
        <v>30</v>
      </c>
      <c r="H570">
        <v>0</v>
      </c>
      <c r="I570">
        <v>0</v>
      </c>
      <c r="J570">
        <v>7.2291999999999996</v>
      </c>
      <c r="K570" t="s">
        <v>14</v>
      </c>
      <c r="L570" t="s">
        <v>15</v>
      </c>
      <c r="M570" t="str">
        <f t="shared" si="25"/>
        <v>Man</v>
      </c>
      <c r="N570" t="b">
        <v>1</v>
      </c>
      <c r="O570" t="s">
        <v>21</v>
      </c>
      <c r="P570" t="s">
        <v>17</v>
      </c>
      <c r="Q570" t="str">
        <f t="shared" si="26"/>
        <v>No</v>
      </c>
      <c r="R570" t="b">
        <v>1</v>
      </c>
    </row>
    <row r="571" spans="1:18" x14ac:dyDescent="0.3">
      <c r="A571">
        <v>1</v>
      </c>
      <c r="B571" t="s">
        <v>27</v>
      </c>
      <c r="C571">
        <v>3</v>
      </c>
      <c r="D571" t="s">
        <v>32</v>
      </c>
      <c r="E571" t="s">
        <v>13</v>
      </c>
      <c r="F571" t="str">
        <f t="shared" si="24"/>
        <v>Male</v>
      </c>
      <c r="G571">
        <v>32</v>
      </c>
      <c r="H571">
        <v>0</v>
      </c>
      <c r="I571">
        <v>0</v>
      </c>
      <c r="J571">
        <v>7.8541999999999996</v>
      </c>
      <c r="K571" t="s">
        <v>14</v>
      </c>
      <c r="L571" t="s">
        <v>15</v>
      </c>
      <c r="M571" t="str">
        <f t="shared" si="25"/>
        <v>Man</v>
      </c>
      <c r="N571" t="b">
        <v>1</v>
      </c>
      <c r="O571" t="s">
        <v>16</v>
      </c>
      <c r="P571" t="s">
        <v>22</v>
      </c>
      <c r="Q571" t="str">
        <f t="shared" si="26"/>
        <v>Yes</v>
      </c>
      <c r="R571" t="b">
        <v>1</v>
      </c>
    </row>
    <row r="572" spans="1:18" x14ac:dyDescent="0.3">
      <c r="A572">
        <v>1</v>
      </c>
      <c r="B572" t="s">
        <v>27</v>
      </c>
      <c r="C572">
        <v>2</v>
      </c>
      <c r="D572" t="s">
        <v>31</v>
      </c>
      <c r="E572" t="s">
        <v>13</v>
      </c>
      <c r="F572" t="str">
        <f t="shared" si="24"/>
        <v>Male</v>
      </c>
      <c r="G572">
        <v>62</v>
      </c>
      <c r="H572">
        <v>0</v>
      </c>
      <c r="I572">
        <v>0</v>
      </c>
      <c r="J572">
        <v>10.5</v>
      </c>
      <c r="K572" t="s">
        <v>25</v>
      </c>
      <c r="L572" t="s">
        <v>15</v>
      </c>
      <c r="M572" t="str">
        <f t="shared" si="25"/>
        <v>Man</v>
      </c>
      <c r="N572" t="b">
        <v>1</v>
      </c>
      <c r="O572" t="s">
        <v>16</v>
      </c>
      <c r="P572" t="s">
        <v>22</v>
      </c>
      <c r="Q572" t="str">
        <f t="shared" si="26"/>
        <v>Yes</v>
      </c>
      <c r="R572" t="b">
        <v>1</v>
      </c>
    </row>
    <row r="573" spans="1:18" x14ac:dyDescent="0.3">
      <c r="A573">
        <v>1</v>
      </c>
      <c r="B573" t="s">
        <v>27</v>
      </c>
      <c r="C573">
        <v>1</v>
      </c>
      <c r="D573" t="s">
        <v>30</v>
      </c>
      <c r="E573" t="s">
        <v>18</v>
      </c>
      <c r="F573" t="str">
        <f t="shared" si="24"/>
        <v>Female</v>
      </c>
      <c r="G573">
        <v>53</v>
      </c>
      <c r="H573">
        <v>2</v>
      </c>
      <c r="I573">
        <v>0</v>
      </c>
      <c r="J573">
        <v>51.479199999999999</v>
      </c>
      <c r="K573" t="s">
        <v>19</v>
      </c>
      <c r="L573" t="s">
        <v>20</v>
      </c>
      <c r="M573" t="str">
        <f t="shared" si="25"/>
        <v>Woman</v>
      </c>
      <c r="N573" t="b">
        <v>0</v>
      </c>
      <c r="O573" t="s">
        <v>16</v>
      </c>
      <c r="P573" t="s">
        <v>22</v>
      </c>
      <c r="Q573" t="str">
        <f t="shared" si="26"/>
        <v>Yes</v>
      </c>
      <c r="R573" t="b">
        <v>0</v>
      </c>
    </row>
    <row r="574" spans="1:18" x14ac:dyDescent="0.3">
      <c r="A574">
        <v>1</v>
      </c>
      <c r="B574" t="s">
        <v>27</v>
      </c>
      <c r="C574">
        <v>1</v>
      </c>
      <c r="D574" t="s">
        <v>30</v>
      </c>
      <c r="E574" t="s">
        <v>13</v>
      </c>
      <c r="F574" t="str">
        <f t="shared" si="24"/>
        <v>Male</v>
      </c>
      <c r="G574">
        <v>36</v>
      </c>
      <c r="H574">
        <v>0</v>
      </c>
      <c r="I574">
        <v>0</v>
      </c>
      <c r="J574">
        <v>26.387499999999999</v>
      </c>
      <c r="K574" t="s">
        <v>19</v>
      </c>
      <c r="L574" t="s">
        <v>15</v>
      </c>
      <c r="M574" t="str">
        <f t="shared" si="25"/>
        <v>Man</v>
      </c>
      <c r="N574" t="b">
        <v>1</v>
      </c>
      <c r="O574" t="s">
        <v>16</v>
      </c>
      <c r="P574" t="s">
        <v>22</v>
      </c>
      <c r="Q574" t="str">
        <f t="shared" si="26"/>
        <v>Yes</v>
      </c>
      <c r="R574" t="b">
        <v>1</v>
      </c>
    </row>
    <row r="575" spans="1:18" x14ac:dyDescent="0.3">
      <c r="A575">
        <v>1</v>
      </c>
      <c r="B575" t="s">
        <v>27</v>
      </c>
      <c r="C575">
        <v>3</v>
      </c>
      <c r="D575" t="s">
        <v>32</v>
      </c>
      <c r="E575" t="s">
        <v>18</v>
      </c>
      <c r="F575" t="str">
        <f t="shared" si="24"/>
        <v>Female</v>
      </c>
      <c r="G575">
        <v>30</v>
      </c>
      <c r="H575">
        <v>0</v>
      </c>
      <c r="I575">
        <v>0</v>
      </c>
      <c r="J575">
        <v>7.75</v>
      </c>
      <c r="K575" t="s">
        <v>14</v>
      </c>
      <c r="L575" t="s">
        <v>20</v>
      </c>
      <c r="M575" t="str">
        <f t="shared" si="25"/>
        <v>Woman</v>
      </c>
      <c r="N575" t="b">
        <v>0</v>
      </c>
      <c r="O575" t="s">
        <v>23</v>
      </c>
      <c r="P575" t="s">
        <v>22</v>
      </c>
      <c r="Q575" t="str">
        <f t="shared" si="26"/>
        <v>Yes</v>
      </c>
      <c r="R575" t="b">
        <v>1</v>
      </c>
    </row>
    <row r="576" spans="1:18" x14ac:dyDescent="0.3">
      <c r="A576">
        <v>0</v>
      </c>
      <c r="B576" t="s">
        <v>26</v>
      </c>
      <c r="C576">
        <v>3</v>
      </c>
      <c r="D576" t="s">
        <v>32</v>
      </c>
      <c r="E576" t="s">
        <v>13</v>
      </c>
      <c r="F576" t="str">
        <f t="shared" si="24"/>
        <v>Male</v>
      </c>
      <c r="G576">
        <v>16</v>
      </c>
      <c r="H576">
        <v>0</v>
      </c>
      <c r="I576">
        <v>0</v>
      </c>
      <c r="J576">
        <v>8.0500000000000007</v>
      </c>
      <c r="K576" t="s">
        <v>14</v>
      </c>
      <c r="L576" t="s">
        <v>15</v>
      </c>
      <c r="M576" t="str">
        <f t="shared" si="25"/>
        <v>Man</v>
      </c>
      <c r="N576" t="b">
        <v>1</v>
      </c>
      <c r="O576" t="s">
        <v>16</v>
      </c>
      <c r="P576" t="s">
        <v>17</v>
      </c>
      <c r="Q576" t="str">
        <f t="shared" si="26"/>
        <v>No</v>
      </c>
      <c r="R576" t="b">
        <v>1</v>
      </c>
    </row>
    <row r="577" spans="1:18" x14ac:dyDescent="0.3">
      <c r="A577">
        <v>0</v>
      </c>
      <c r="B577" t="s">
        <v>26</v>
      </c>
      <c r="C577">
        <v>3</v>
      </c>
      <c r="D577" t="s">
        <v>32</v>
      </c>
      <c r="E577" t="s">
        <v>13</v>
      </c>
      <c r="F577" t="str">
        <f t="shared" si="24"/>
        <v>Male</v>
      </c>
      <c r="G577">
        <v>19</v>
      </c>
      <c r="H577">
        <v>0</v>
      </c>
      <c r="I577">
        <v>0</v>
      </c>
      <c r="J577">
        <v>14.5</v>
      </c>
      <c r="K577" t="s">
        <v>14</v>
      </c>
      <c r="L577" t="s">
        <v>15</v>
      </c>
      <c r="M577" t="str">
        <f t="shared" si="25"/>
        <v>Man</v>
      </c>
      <c r="N577" t="b">
        <v>1</v>
      </c>
      <c r="O577" t="s">
        <v>16</v>
      </c>
      <c r="P577" t="s">
        <v>17</v>
      </c>
      <c r="Q577" t="str">
        <f t="shared" si="26"/>
        <v>No</v>
      </c>
      <c r="R577" t="b">
        <v>1</v>
      </c>
    </row>
    <row r="578" spans="1:18" x14ac:dyDescent="0.3">
      <c r="A578">
        <v>1</v>
      </c>
      <c r="B578" t="s">
        <v>27</v>
      </c>
      <c r="C578">
        <v>2</v>
      </c>
      <c r="D578" t="s">
        <v>31</v>
      </c>
      <c r="E578" t="s">
        <v>18</v>
      </c>
      <c r="F578" t="str">
        <f t="shared" si="24"/>
        <v>Female</v>
      </c>
      <c r="G578">
        <v>34</v>
      </c>
      <c r="H578">
        <v>0</v>
      </c>
      <c r="I578">
        <v>0</v>
      </c>
      <c r="J578">
        <v>13</v>
      </c>
      <c r="K578" t="s">
        <v>25</v>
      </c>
      <c r="L578" t="s">
        <v>20</v>
      </c>
      <c r="M578" t="str">
        <f t="shared" si="25"/>
        <v>Woman</v>
      </c>
      <c r="N578" t="b">
        <v>0</v>
      </c>
      <c r="O578" t="s">
        <v>16</v>
      </c>
      <c r="P578" t="s">
        <v>22</v>
      </c>
      <c r="Q578" t="str">
        <f t="shared" si="26"/>
        <v>Yes</v>
      </c>
      <c r="R578" t="b">
        <v>1</v>
      </c>
    </row>
    <row r="579" spans="1:18" x14ac:dyDescent="0.3">
      <c r="A579">
        <v>1</v>
      </c>
      <c r="B579" t="s">
        <v>27</v>
      </c>
      <c r="C579">
        <v>1</v>
      </c>
      <c r="D579" t="s">
        <v>30</v>
      </c>
      <c r="E579" t="s">
        <v>18</v>
      </c>
      <c r="F579" t="str">
        <f t="shared" ref="F579:F642" si="27">PROPER(E579)</f>
        <v>Female</v>
      </c>
      <c r="G579">
        <v>39</v>
      </c>
      <c r="H579">
        <v>1</v>
      </c>
      <c r="I579">
        <v>0</v>
      </c>
      <c r="J579">
        <v>55.9</v>
      </c>
      <c r="K579" t="s">
        <v>19</v>
      </c>
      <c r="L579" t="s">
        <v>20</v>
      </c>
      <c r="M579" t="str">
        <f t="shared" ref="M579:M642" si="28">PROPER(L579)</f>
        <v>Woman</v>
      </c>
      <c r="N579" t="b">
        <v>0</v>
      </c>
      <c r="O579" t="s">
        <v>16</v>
      </c>
      <c r="P579" t="s">
        <v>22</v>
      </c>
      <c r="Q579" t="str">
        <f t="shared" ref="Q579:Q642" si="29">PROPER(P579)</f>
        <v>Yes</v>
      </c>
      <c r="R579" t="b">
        <v>0</v>
      </c>
    </row>
    <row r="580" spans="1:18" x14ac:dyDescent="0.3">
      <c r="A580">
        <v>0</v>
      </c>
      <c r="B580" t="s">
        <v>26</v>
      </c>
      <c r="C580">
        <v>3</v>
      </c>
      <c r="D580" t="s">
        <v>32</v>
      </c>
      <c r="E580" t="s">
        <v>18</v>
      </c>
      <c r="F580" t="str">
        <f t="shared" si="27"/>
        <v>Female</v>
      </c>
      <c r="G580">
        <v>30</v>
      </c>
      <c r="H580">
        <v>1</v>
      </c>
      <c r="I580">
        <v>0</v>
      </c>
      <c r="J580">
        <v>14.458299999999999</v>
      </c>
      <c r="K580" t="s">
        <v>14</v>
      </c>
      <c r="L580" t="s">
        <v>20</v>
      </c>
      <c r="M580" t="str">
        <f t="shared" si="28"/>
        <v>Woman</v>
      </c>
      <c r="N580" t="b">
        <v>0</v>
      </c>
      <c r="O580" t="s">
        <v>21</v>
      </c>
      <c r="P580" t="s">
        <v>17</v>
      </c>
      <c r="Q580" t="str">
        <f t="shared" si="29"/>
        <v>No</v>
      </c>
      <c r="R580" t="b">
        <v>0</v>
      </c>
    </row>
    <row r="581" spans="1:18" x14ac:dyDescent="0.3">
      <c r="A581">
        <v>1</v>
      </c>
      <c r="B581" t="s">
        <v>27</v>
      </c>
      <c r="C581">
        <v>3</v>
      </c>
      <c r="D581" t="s">
        <v>32</v>
      </c>
      <c r="E581" t="s">
        <v>13</v>
      </c>
      <c r="F581" t="str">
        <f t="shared" si="27"/>
        <v>Male</v>
      </c>
      <c r="G581">
        <v>32</v>
      </c>
      <c r="H581">
        <v>0</v>
      </c>
      <c r="I581">
        <v>0</v>
      </c>
      <c r="J581">
        <v>7.9249999999999998</v>
      </c>
      <c r="K581" t="s">
        <v>14</v>
      </c>
      <c r="L581" t="s">
        <v>15</v>
      </c>
      <c r="M581" t="str">
        <f t="shared" si="28"/>
        <v>Man</v>
      </c>
      <c r="N581" t="b">
        <v>1</v>
      </c>
      <c r="O581" t="s">
        <v>16</v>
      </c>
      <c r="P581" t="s">
        <v>22</v>
      </c>
      <c r="Q581" t="str">
        <f t="shared" si="29"/>
        <v>Yes</v>
      </c>
      <c r="R581" t="b">
        <v>1</v>
      </c>
    </row>
    <row r="582" spans="1:18" x14ac:dyDescent="0.3">
      <c r="A582">
        <v>1</v>
      </c>
      <c r="B582" t="s">
        <v>27</v>
      </c>
      <c r="C582">
        <v>2</v>
      </c>
      <c r="D582" t="s">
        <v>31</v>
      </c>
      <c r="E582" t="s">
        <v>18</v>
      </c>
      <c r="F582" t="str">
        <f t="shared" si="27"/>
        <v>Female</v>
      </c>
      <c r="G582">
        <v>25</v>
      </c>
      <c r="H582">
        <v>1</v>
      </c>
      <c r="I582">
        <v>1</v>
      </c>
      <c r="J582">
        <v>30</v>
      </c>
      <c r="K582" t="s">
        <v>25</v>
      </c>
      <c r="L582" t="s">
        <v>20</v>
      </c>
      <c r="M582" t="str">
        <f t="shared" si="28"/>
        <v>Woman</v>
      </c>
      <c r="N582" t="b">
        <v>0</v>
      </c>
      <c r="O582" t="s">
        <v>16</v>
      </c>
      <c r="P582" t="s">
        <v>22</v>
      </c>
      <c r="Q582" t="str">
        <f t="shared" si="29"/>
        <v>Yes</v>
      </c>
      <c r="R582" t="b">
        <v>0</v>
      </c>
    </row>
    <row r="583" spans="1:18" x14ac:dyDescent="0.3">
      <c r="A583">
        <v>1</v>
      </c>
      <c r="B583" t="s">
        <v>27</v>
      </c>
      <c r="C583">
        <v>1</v>
      </c>
      <c r="D583" t="s">
        <v>30</v>
      </c>
      <c r="E583" t="s">
        <v>18</v>
      </c>
      <c r="F583" t="str">
        <f t="shared" si="27"/>
        <v>Female</v>
      </c>
      <c r="G583">
        <v>39</v>
      </c>
      <c r="H583">
        <v>1</v>
      </c>
      <c r="I583">
        <v>1</v>
      </c>
      <c r="J583">
        <v>110.88330000000001</v>
      </c>
      <c r="K583" t="s">
        <v>19</v>
      </c>
      <c r="L583" t="s">
        <v>20</v>
      </c>
      <c r="M583" t="str">
        <f t="shared" si="28"/>
        <v>Woman</v>
      </c>
      <c r="N583" t="b">
        <v>0</v>
      </c>
      <c r="O583" t="s">
        <v>21</v>
      </c>
      <c r="P583" t="s">
        <v>22</v>
      </c>
      <c r="Q583" t="str">
        <f t="shared" si="29"/>
        <v>Yes</v>
      </c>
      <c r="R583" t="b">
        <v>0</v>
      </c>
    </row>
    <row r="584" spans="1:18" x14ac:dyDescent="0.3">
      <c r="A584">
        <v>0</v>
      </c>
      <c r="B584" t="s">
        <v>26</v>
      </c>
      <c r="C584">
        <v>2</v>
      </c>
      <c r="D584" t="s">
        <v>31</v>
      </c>
      <c r="E584" t="s">
        <v>13</v>
      </c>
      <c r="F584" t="str">
        <f t="shared" si="27"/>
        <v>Male</v>
      </c>
      <c r="G584">
        <v>54</v>
      </c>
      <c r="H584">
        <v>0</v>
      </c>
      <c r="I584">
        <v>0</v>
      </c>
      <c r="J584">
        <v>26</v>
      </c>
      <c r="K584" t="s">
        <v>25</v>
      </c>
      <c r="L584" t="s">
        <v>15</v>
      </c>
      <c r="M584" t="str">
        <f t="shared" si="28"/>
        <v>Man</v>
      </c>
      <c r="N584" t="b">
        <v>1</v>
      </c>
      <c r="O584" t="s">
        <v>16</v>
      </c>
      <c r="P584" t="s">
        <v>17</v>
      </c>
      <c r="Q584" t="str">
        <f t="shared" si="29"/>
        <v>No</v>
      </c>
      <c r="R584" t="b">
        <v>1</v>
      </c>
    </row>
    <row r="585" spans="1:18" x14ac:dyDescent="0.3">
      <c r="A585">
        <v>0</v>
      </c>
      <c r="B585" t="s">
        <v>26</v>
      </c>
      <c r="C585">
        <v>1</v>
      </c>
      <c r="D585" t="s">
        <v>30</v>
      </c>
      <c r="E585" t="s">
        <v>13</v>
      </c>
      <c r="F585" t="str">
        <f t="shared" si="27"/>
        <v>Male</v>
      </c>
      <c r="G585">
        <v>36</v>
      </c>
      <c r="H585">
        <v>0</v>
      </c>
      <c r="I585">
        <v>0</v>
      </c>
      <c r="J585">
        <v>40.125</v>
      </c>
      <c r="K585" t="s">
        <v>19</v>
      </c>
      <c r="L585" t="s">
        <v>15</v>
      </c>
      <c r="M585" t="str">
        <f t="shared" si="28"/>
        <v>Man</v>
      </c>
      <c r="N585" t="b">
        <v>1</v>
      </c>
      <c r="O585" t="s">
        <v>21</v>
      </c>
      <c r="P585" t="s">
        <v>17</v>
      </c>
      <c r="Q585" t="str">
        <f t="shared" si="29"/>
        <v>No</v>
      </c>
      <c r="R585" t="b">
        <v>1</v>
      </c>
    </row>
    <row r="586" spans="1:18" x14ac:dyDescent="0.3">
      <c r="A586">
        <v>0</v>
      </c>
      <c r="B586" t="s">
        <v>26</v>
      </c>
      <c r="C586">
        <v>3</v>
      </c>
      <c r="D586" t="s">
        <v>32</v>
      </c>
      <c r="E586" t="s">
        <v>13</v>
      </c>
      <c r="F586" t="str">
        <f t="shared" si="27"/>
        <v>Male</v>
      </c>
      <c r="G586">
        <v>30</v>
      </c>
      <c r="H586">
        <v>0</v>
      </c>
      <c r="I586">
        <v>0</v>
      </c>
      <c r="J586">
        <v>8.7125000000000004</v>
      </c>
      <c r="K586" t="s">
        <v>14</v>
      </c>
      <c r="L586" t="s">
        <v>15</v>
      </c>
      <c r="M586" t="str">
        <f t="shared" si="28"/>
        <v>Man</v>
      </c>
      <c r="N586" t="b">
        <v>1</v>
      </c>
      <c r="O586" t="s">
        <v>21</v>
      </c>
      <c r="P586" t="s">
        <v>17</v>
      </c>
      <c r="Q586" t="str">
        <f t="shared" si="29"/>
        <v>No</v>
      </c>
      <c r="R586" t="b">
        <v>1</v>
      </c>
    </row>
    <row r="587" spans="1:18" x14ac:dyDescent="0.3">
      <c r="A587">
        <v>1</v>
      </c>
      <c r="B587" t="s">
        <v>27</v>
      </c>
      <c r="C587">
        <v>1</v>
      </c>
      <c r="D587" t="s">
        <v>30</v>
      </c>
      <c r="E587" t="s">
        <v>18</v>
      </c>
      <c r="F587" t="str">
        <f t="shared" si="27"/>
        <v>Female</v>
      </c>
      <c r="G587">
        <v>18</v>
      </c>
      <c r="H587">
        <v>0</v>
      </c>
      <c r="I587">
        <v>2</v>
      </c>
      <c r="J587">
        <v>79.650000000000006</v>
      </c>
      <c r="K587" t="s">
        <v>19</v>
      </c>
      <c r="L587" t="s">
        <v>20</v>
      </c>
      <c r="M587" t="str">
        <f t="shared" si="28"/>
        <v>Woman</v>
      </c>
      <c r="N587" t="b">
        <v>0</v>
      </c>
      <c r="O587" t="s">
        <v>16</v>
      </c>
      <c r="P587" t="s">
        <v>22</v>
      </c>
      <c r="Q587" t="str">
        <f t="shared" si="29"/>
        <v>Yes</v>
      </c>
      <c r="R587" t="b">
        <v>0</v>
      </c>
    </row>
    <row r="588" spans="1:18" x14ac:dyDescent="0.3">
      <c r="A588">
        <v>0</v>
      </c>
      <c r="B588" t="s">
        <v>26</v>
      </c>
      <c r="C588">
        <v>2</v>
      </c>
      <c r="D588" t="s">
        <v>31</v>
      </c>
      <c r="E588" t="s">
        <v>13</v>
      </c>
      <c r="F588" t="str">
        <f t="shared" si="27"/>
        <v>Male</v>
      </c>
      <c r="G588">
        <v>47</v>
      </c>
      <c r="H588">
        <v>0</v>
      </c>
      <c r="I588">
        <v>0</v>
      </c>
      <c r="J588">
        <v>15</v>
      </c>
      <c r="K588" t="s">
        <v>25</v>
      </c>
      <c r="L588" t="s">
        <v>15</v>
      </c>
      <c r="M588" t="str">
        <f t="shared" si="28"/>
        <v>Man</v>
      </c>
      <c r="N588" t="b">
        <v>1</v>
      </c>
      <c r="O588" t="s">
        <v>16</v>
      </c>
      <c r="P588" t="s">
        <v>17</v>
      </c>
      <c r="Q588" t="str">
        <f t="shared" si="29"/>
        <v>No</v>
      </c>
      <c r="R588" t="b">
        <v>1</v>
      </c>
    </row>
    <row r="589" spans="1:18" x14ac:dyDescent="0.3">
      <c r="A589">
        <v>1</v>
      </c>
      <c r="B589" t="s">
        <v>27</v>
      </c>
      <c r="C589">
        <v>1</v>
      </c>
      <c r="D589" t="s">
        <v>30</v>
      </c>
      <c r="E589" t="s">
        <v>13</v>
      </c>
      <c r="F589" t="str">
        <f t="shared" si="27"/>
        <v>Male</v>
      </c>
      <c r="G589">
        <v>60</v>
      </c>
      <c r="H589">
        <v>1</v>
      </c>
      <c r="I589">
        <v>1</v>
      </c>
      <c r="J589">
        <v>79.2</v>
      </c>
      <c r="K589" t="s">
        <v>19</v>
      </c>
      <c r="L589" t="s">
        <v>15</v>
      </c>
      <c r="M589" t="str">
        <f t="shared" si="28"/>
        <v>Man</v>
      </c>
      <c r="N589" t="b">
        <v>1</v>
      </c>
      <c r="O589" t="s">
        <v>21</v>
      </c>
      <c r="P589" t="s">
        <v>22</v>
      </c>
      <c r="Q589" t="str">
        <f t="shared" si="29"/>
        <v>Yes</v>
      </c>
      <c r="R589" t="b">
        <v>0</v>
      </c>
    </row>
    <row r="590" spans="1:18" x14ac:dyDescent="0.3">
      <c r="A590">
        <v>0</v>
      </c>
      <c r="B590" t="s">
        <v>26</v>
      </c>
      <c r="C590">
        <v>3</v>
      </c>
      <c r="D590" t="s">
        <v>32</v>
      </c>
      <c r="E590" t="s">
        <v>13</v>
      </c>
      <c r="F590" t="str">
        <f t="shared" si="27"/>
        <v>Male</v>
      </c>
      <c r="G590">
        <v>22</v>
      </c>
      <c r="H590">
        <v>0</v>
      </c>
      <c r="I590">
        <v>0</v>
      </c>
      <c r="J590">
        <v>8.0500000000000007</v>
      </c>
      <c r="K590" t="s">
        <v>14</v>
      </c>
      <c r="L590" t="s">
        <v>15</v>
      </c>
      <c r="M590" t="str">
        <f t="shared" si="28"/>
        <v>Man</v>
      </c>
      <c r="N590" t="b">
        <v>1</v>
      </c>
      <c r="O590" t="s">
        <v>16</v>
      </c>
      <c r="P590" t="s">
        <v>17</v>
      </c>
      <c r="Q590" t="str">
        <f t="shared" si="29"/>
        <v>No</v>
      </c>
      <c r="R590" t="b">
        <v>1</v>
      </c>
    </row>
    <row r="591" spans="1:18" x14ac:dyDescent="0.3">
      <c r="A591">
        <v>0</v>
      </c>
      <c r="B591" t="s">
        <v>26</v>
      </c>
      <c r="C591">
        <v>3</v>
      </c>
      <c r="D591" t="s">
        <v>32</v>
      </c>
      <c r="E591" t="s">
        <v>13</v>
      </c>
      <c r="F591" t="str">
        <f t="shared" si="27"/>
        <v>Male</v>
      </c>
      <c r="G591">
        <v>30</v>
      </c>
      <c r="H591">
        <v>0</v>
      </c>
      <c r="I591">
        <v>0</v>
      </c>
      <c r="J591">
        <v>8.0500000000000007</v>
      </c>
      <c r="K591" t="s">
        <v>14</v>
      </c>
      <c r="L591" t="s">
        <v>15</v>
      </c>
      <c r="M591" t="str">
        <f t="shared" si="28"/>
        <v>Man</v>
      </c>
      <c r="N591" t="b">
        <v>1</v>
      </c>
      <c r="O591" t="s">
        <v>16</v>
      </c>
      <c r="P591" t="s">
        <v>17</v>
      </c>
      <c r="Q591" t="str">
        <f t="shared" si="29"/>
        <v>No</v>
      </c>
      <c r="R591" t="b">
        <v>1</v>
      </c>
    </row>
    <row r="592" spans="1:18" x14ac:dyDescent="0.3">
      <c r="A592">
        <v>0</v>
      </c>
      <c r="B592" t="s">
        <v>26</v>
      </c>
      <c r="C592">
        <v>3</v>
      </c>
      <c r="D592" t="s">
        <v>32</v>
      </c>
      <c r="E592" t="s">
        <v>13</v>
      </c>
      <c r="F592" t="str">
        <f t="shared" si="27"/>
        <v>Male</v>
      </c>
      <c r="G592">
        <v>35</v>
      </c>
      <c r="H592">
        <v>0</v>
      </c>
      <c r="I592">
        <v>0</v>
      </c>
      <c r="J592">
        <v>7.125</v>
      </c>
      <c r="K592" t="s">
        <v>14</v>
      </c>
      <c r="L592" t="s">
        <v>15</v>
      </c>
      <c r="M592" t="str">
        <f t="shared" si="28"/>
        <v>Man</v>
      </c>
      <c r="N592" t="b">
        <v>1</v>
      </c>
      <c r="O592" t="s">
        <v>16</v>
      </c>
      <c r="P592" t="s">
        <v>17</v>
      </c>
      <c r="Q592" t="str">
        <f t="shared" si="29"/>
        <v>No</v>
      </c>
      <c r="R592" t="b">
        <v>1</v>
      </c>
    </row>
    <row r="593" spans="1:18" x14ac:dyDescent="0.3">
      <c r="A593">
        <v>1</v>
      </c>
      <c r="B593" t="s">
        <v>27</v>
      </c>
      <c r="C593">
        <v>1</v>
      </c>
      <c r="D593" t="s">
        <v>30</v>
      </c>
      <c r="E593" t="s">
        <v>18</v>
      </c>
      <c r="F593" t="str">
        <f t="shared" si="27"/>
        <v>Female</v>
      </c>
      <c r="G593">
        <v>52</v>
      </c>
      <c r="H593">
        <v>1</v>
      </c>
      <c r="I593">
        <v>0</v>
      </c>
      <c r="J593">
        <v>78.2667</v>
      </c>
      <c r="K593" t="s">
        <v>19</v>
      </c>
      <c r="L593" t="s">
        <v>20</v>
      </c>
      <c r="M593" t="str">
        <f t="shared" si="28"/>
        <v>Woman</v>
      </c>
      <c r="N593" t="b">
        <v>0</v>
      </c>
      <c r="O593" t="s">
        <v>21</v>
      </c>
      <c r="P593" t="s">
        <v>22</v>
      </c>
      <c r="Q593" t="str">
        <f t="shared" si="29"/>
        <v>Yes</v>
      </c>
      <c r="R593" t="b">
        <v>0</v>
      </c>
    </row>
    <row r="594" spans="1:18" x14ac:dyDescent="0.3">
      <c r="A594">
        <v>0</v>
      </c>
      <c r="B594" t="s">
        <v>26</v>
      </c>
      <c r="C594">
        <v>3</v>
      </c>
      <c r="D594" t="s">
        <v>32</v>
      </c>
      <c r="E594" t="s">
        <v>13</v>
      </c>
      <c r="F594" t="str">
        <f t="shared" si="27"/>
        <v>Male</v>
      </c>
      <c r="G594">
        <v>47</v>
      </c>
      <c r="H594">
        <v>0</v>
      </c>
      <c r="I594">
        <v>0</v>
      </c>
      <c r="J594">
        <v>7.25</v>
      </c>
      <c r="K594" t="s">
        <v>14</v>
      </c>
      <c r="L594" t="s">
        <v>15</v>
      </c>
      <c r="M594" t="str">
        <f t="shared" si="28"/>
        <v>Man</v>
      </c>
      <c r="N594" t="b">
        <v>1</v>
      </c>
      <c r="O594" t="s">
        <v>16</v>
      </c>
      <c r="P594" t="s">
        <v>17</v>
      </c>
      <c r="Q594" t="str">
        <f t="shared" si="29"/>
        <v>No</v>
      </c>
      <c r="R594" t="b">
        <v>1</v>
      </c>
    </row>
    <row r="595" spans="1:18" x14ac:dyDescent="0.3">
      <c r="A595">
        <v>0</v>
      </c>
      <c r="B595" t="s">
        <v>26</v>
      </c>
      <c r="C595">
        <v>3</v>
      </c>
      <c r="D595" t="s">
        <v>32</v>
      </c>
      <c r="E595" t="s">
        <v>18</v>
      </c>
      <c r="F595" t="str">
        <f t="shared" si="27"/>
        <v>Female</v>
      </c>
      <c r="G595">
        <v>30</v>
      </c>
      <c r="H595">
        <v>0</v>
      </c>
      <c r="I595">
        <v>2</v>
      </c>
      <c r="J595">
        <v>7.75</v>
      </c>
      <c r="K595" t="s">
        <v>14</v>
      </c>
      <c r="L595" t="s">
        <v>20</v>
      </c>
      <c r="M595" t="str">
        <f t="shared" si="28"/>
        <v>Woman</v>
      </c>
      <c r="N595" t="b">
        <v>0</v>
      </c>
      <c r="O595" t="s">
        <v>23</v>
      </c>
      <c r="P595" t="s">
        <v>17</v>
      </c>
      <c r="Q595" t="str">
        <f t="shared" si="29"/>
        <v>No</v>
      </c>
      <c r="R595" t="b">
        <v>0</v>
      </c>
    </row>
    <row r="596" spans="1:18" x14ac:dyDescent="0.3">
      <c r="A596">
        <v>0</v>
      </c>
      <c r="B596" t="s">
        <v>26</v>
      </c>
      <c r="C596">
        <v>2</v>
      </c>
      <c r="D596" t="s">
        <v>31</v>
      </c>
      <c r="E596" t="s">
        <v>13</v>
      </c>
      <c r="F596" t="str">
        <f t="shared" si="27"/>
        <v>Male</v>
      </c>
      <c r="G596">
        <v>37</v>
      </c>
      <c r="H596">
        <v>1</v>
      </c>
      <c r="I596">
        <v>0</v>
      </c>
      <c r="J596">
        <v>26</v>
      </c>
      <c r="K596" t="s">
        <v>25</v>
      </c>
      <c r="L596" t="s">
        <v>15</v>
      </c>
      <c r="M596" t="str">
        <f t="shared" si="28"/>
        <v>Man</v>
      </c>
      <c r="N596" t="b">
        <v>1</v>
      </c>
      <c r="O596" t="s">
        <v>16</v>
      </c>
      <c r="P596" t="s">
        <v>17</v>
      </c>
      <c r="Q596" t="str">
        <f t="shared" si="29"/>
        <v>No</v>
      </c>
      <c r="R596" t="b">
        <v>0</v>
      </c>
    </row>
    <row r="597" spans="1:18" x14ac:dyDescent="0.3">
      <c r="A597">
        <v>0</v>
      </c>
      <c r="B597" t="s">
        <v>26</v>
      </c>
      <c r="C597">
        <v>3</v>
      </c>
      <c r="D597" t="s">
        <v>32</v>
      </c>
      <c r="E597" t="s">
        <v>13</v>
      </c>
      <c r="F597" t="str">
        <f t="shared" si="27"/>
        <v>Male</v>
      </c>
      <c r="G597">
        <v>36</v>
      </c>
      <c r="H597">
        <v>1</v>
      </c>
      <c r="I597">
        <v>1</v>
      </c>
      <c r="J597">
        <v>24.15</v>
      </c>
      <c r="K597" t="s">
        <v>14</v>
      </c>
      <c r="L597" t="s">
        <v>15</v>
      </c>
      <c r="M597" t="str">
        <f t="shared" si="28"/>
        <v>Man</v>
      </c>
      <c r="N597" t="b">
        <v>1</v>
      </c>
      <c r="O597" t="s">
        <v>16</v>
      </c>
      <c r="P597" t="s">
        <v>17</v>
      </c>
      <c r="Q597" t="str">
        <f t="shared" si="29"/>
        <v>No</v>
      </c>
      <c r="R597" t="b">
        <v>0</v>
      </c>
    </row>
    <row r="598" spans="1:18" x14ac:dyDescent="0.3">
      <c r="A598">
        <v>1</v>
      </c>
      <c r="B598" t="s">
        <v>27</v>
      </c>
      <c r="C598">
        <v>2</v>
      </c>
      <c r="D598" t="s">
        <v>31</v>
      </c>
      <c r="E598" t="s">
        <v>18</v>
      </c>
      <c r="F598" t="str">
        <f t="shared" si="27"/>
        <v>Female</v>
      </c>
      <c r="G598">
        <v>30</v>
      </c>
      <c r="H598">
        <v>0</v>
      </c>
      <c r="I598">
        <v>0</v>
      </c>
      <c r="J598">
        <v>33</v>
      </c>
      <c r="K598" t="s">
        <v>25</v>
      </c>
      <c r="L598" t="s">
        <v>20</v>
      </c>
      <c r="M598" t="str">
        <f t="shared" si="28"/>
        <v>Woman</v>
      </c>
      <c r="N598" t="b">
        <v>0</v>
      </c>
      <c r="O598" t="s">
        <v>16</v>
      </c>
      <c r="P598" t="s">
        <v>22</v>
      </c>
      <c r="Q598" t="str">
        <f t="shared" si="29"/>
        <v>Yes</v>
      </c>
      <c r="R598" t="b">
        <v>1</v>
      </c>
    </row>
    <row r="599" spans="1:18" x14ac:dyDescent="0.3">
      <c r="A599">
        <v>0</v>
      </c>
      <c r="B599" t="s">
        <v>26</v>
      </c>
      <c r="C599">
        <v>3</v>
      </c>
      <c r="D599" t="s">
        <v>32</v>
      </c>
      <c r="E599" t="s">
        <v>13</v>
      </c>
      <c r="F599" t="str">
        <f t="shared" si="27"/>
        <v>Male</v>
      </c>
      <c r="G599">
        <v>49</v>
      </c>
      <c r="H599">
        <v>0</v>
      </c>
      <c r="I599">
        <v>0</v>
      </c>
      <c r="J599">
        <v>0</v>
      </c>
      <c r="K599" t="s">
        <v>14</v>
      </c>
      <c r="L599" t="s">
        <v>15</v>
      </c>
      <c r="M599" t="str">
        <f t="shared" si="28"/>
        <v>Man</v>
      </c>
      <c r="N599" t="b">
        <v>1</v>
      </c>
      <c r="O599" t="s">
        <v>16</v>
      </c>
      <c r="P599" t="s">
        <v>17</v>
      </c>
      <c r="Q599" t="str">
        <f t="shared" si="29"/>
        <v>No</v>
      </c>
      <c r="R599" t="b">
        <v>1</v>
      </c>
    </row>
    <row r="600" spans="1:18" x14ac:dyDescent="0.3">
      <c r="A600">
        <v>0</v>
      </c>
      <c r="B600" t="s">
        <v>26</v>
      </c>
      <c r="C600">
        <v>3</v>
      </c>
      <c r="D600" t="s">
        <v>32</v>
      </c>
      <c r="E600" t="s">
        <v>13</v>
      </c>
      <c r="F600" t="str">
        <f t="shared" si="27"/>
        <v>Male</v>
      </c>
      <c r="G600">
        <v>30</v>
      </c>
      <c r="H600">
        <v>0</v>
      </c>
      <c r="I600">
        <v>0</v>
      </c>
      <c r="J600">
        <v>7.2249999999999996</v>
      </c>
      <c r="K600" t="s">
        <v>14</v>
      </c>
      <c r="L600" t="s">
        <v>15</v>
      </c>
      <c r="M600" t="str">
        <f t="shared" si="28"/>
        <v>Man</v>
      </c>
      <c r="N600" t="b">
        <v>1</v>
      </c>
      <c r="O600" t="s">
        <v>21</v>
      </c>
      <c r="P600" t="s">
        <v>17</v>
      </c>
      <c r="Q600" t="str">
        <f t="shared" si="29"/>
        <v>No</v>
      </c>
      <c r="R600" t="b">
        <v>1</v>
      </c>
    </row>
    <row r="601" spans="1:18" x14ac:dyDescent="0.3">
      <c r="A601">
        <v>1</v>
      </c>
      <c r="B601" t="s">
        <v>27</v>
      </c>
      <c r="C601">
        <v>1</v>
      </c>
      <c r="D601" t="s">
        <v>30</v>
      </c>
      <c r="E601" t="s">
        <v>13</v>
      </c>
      <c r="F601" t="str">
        <f t="shared" si="27"/>
        <v>Male</v>
      </c>
      <c r="G601">
        <v>49</v>
      </c>
      <c r="H601">
        <v>1</v>
      </c>
      <c r="I601">
        <v>0</v>
      </c>
      <c r="J601">
        <v>56.929200000000002</v>
      </c>
      <c r="K601" t="s">
        <v>19</v>
      </c>
      <c r="L601" t="s">
        <v>15</v>
      </c>
      <c r="M601" t="str">
        <f t="shared" si="28"/>
        <v>Man</v>
      </c>
      <c r="N601" t="b">
        <v>1</v>
      </c>
      <c r="O601" t="s">
        <v>21</v>
      </c>
      <c r="P601" t="s">
        <v>22</v>
      </c>
      <c r="Q601" t="str">
        <f t="shared" si="29"/>
        <v>Yes</v>
      </c>
      <c r="R601" t="b">
        <v>0</v>
      </c>
    </row>
    <row r="602" spans="1:18" x14ac:dyDescent="0.3">
      <c r="A602">
        <v>1</v>
      </c>
      <c r="B602" t="s">
        <v>27</v>
      </c>
      <c r="C602">
        <v>2</v>
      </c>
      <c r="D602" t="s">
        <v>31</v>
      </c>
      <c r="E602" t="s">
        <v>18</v>
      </c>
      <c r="F602" t="str">
        <f t="shared" si="27"/>
        <v>Female</v>
      </c>
      <c r="G602">
        <v>24</v>
      </c>
      <c r="H602">
        <v>2</v>
      </c>
      <c r="I602">
        <v>1</v>
      </c>
      <c r="J602">
        <v>27</v>
      </c>
      <c r="K602" t="s">
        <v>25</v>
      </c>
      <c r="L602" t="s">
        <v>20</v>
      </c>
      <c r="M602" t="str">
        <f t="shared" si="28"/>
        <v>Woman</v>
      </c>
      <c r="N602" t="b">
        <v>0</v>
      </c>
      <c r="O602" t="s">
        <v>16</v>
      </c>
      <c r="P602" t="s">
        <v>22</v>
      </c>
      <c r="Q602" t="str">
        <f t="shared" si="29"/>
        <v>Yes</v>
      </c>
      <c r="R602" t="b">
        <v>0</v>
      </c>
    </row>
    <row r="603" spans="1:18" x14ac:dyDescent="0.3">
      <c r="A603">
        <v>0</v>
      </c>
      <c r="B603" t="s">
        <v>26</v>
      </c>
      <c r="C603">
        <v>3</v>
      </c>
      <c r="D603" t="s">
        <v>32</v>
      </c>
      <c r="E603" t="s">
        <v>13</v>
      </c>
      <c r="F603" t="str">
        <f t="shared" si="27"/>
        <v>Male</v>
      </c>
      <c r="G603">
        <v>30</v>
      </c>
      <c r="H603">
        <v>0</v>
      </c>
      <c r="I603">
        <v>0</v>
      </c>
      <c r="J603">
        <v>7.8958000000000004</v>
      </c>
      <c r="K603" t="s">
        <v>14</v>
      </c>
      <c r="L603" t="s">
        <v>15</v>
      </c>
      <c r="M603" t="str">
        <f t="shared" si="28"/>
        <v>Man</v>
      </c>
      <c r="N603" t="b">
        <v>1</v>
      </c>
      <c r="O603" t="s">
        <v>16</v>
      </c>
      <c r="P603" t="s">
        <v>17</v>
      </c>
      <c r="Q603" t="str">
        <f t="shared" si="29"/>
        <v>No</v>
      </c>
      <c r="R603" t="b">
        <v>1</v>
      </c>
    </row>
    <row r="604" spans="1:18" x14ac:dyDescent="0.3">
      <c r="A604">
        <v>0</v>
      </c>
      <c r="B604" t="s">
        <v>26</v>
      </c>
      <c r="C604">
        <v>1</v>
      </c>
      <c r="D604" t="s">
        <v>30</v>
      </c>
      <c r="E604" t="s">
        <v>13</v>
      </c>
      <c r="F604" t="str">
        <f t="shared" si="27"/>
        <v>Male</v>
      </c>
      <c r="G604">
        <v>30</v>
      </c>
      <c r="H604">
        <v>0</v>
      </c>
      <c r="I604">
        <v>0</v>
      </c>
      <c r="J604">
        <v>42.4</v>
      </c>
      <c r="K604" t="s">
        <v>19</v>
      </c>
      <c r="L604" t="s">
        <v>15</v>
      </c>
      <c r="M604" t="str">
        <f t="shared" si="28"/>
        <v>Man</v>
      </c>
      <c r="N604" t="b">
        <v>1</v>
      </c>
      <c r="O604" t="s">
        <v>16</v>
      </c>
      <c r="P604" t="s">
        <v>17</v>
      </c>
      <c r="Q604" t="str">
        <f t="shared" si="29"/>
        <v>No</v>
      </c>
      <c r="R604" t="b">
        <v>1</v>
      </c>
    </row>
    <row r="605" spans="1:18" x14ac:dyDescent="0.3">
      <c r="A605">
        <v>0</v>
      </c>
      <c r="B605" t="s">
        <v>26</v>
      </c>
      <c r="C605">
        <v>3</v>
      </c>
      <c r="D605" t="s">
        <v>32</v>
      </c>
      <c r="E605" t="s">
        <v>13</v>
      </c>
      <c r="F605" t="str">
        <f t="shared" si="27"/>
        <v>Male</v>
      </c>
      <c r="G605">
        <v>44</v>
      </c>
      <c r="H605">
        <v>0</v>
      </c>
      <c r="I605">
        <v>0</v>
      </c>
      <c r="J605">
        <v>8.0500000000000007</v>
      </c>
      <c r="K605" t="s">
        <v>14</v>
      </c>
      <c r="L605" t="s">
        <v>15</v>
      </c>
      <c r="M605" t="str">
        <f t="shared" si="28"/>
        <v>Man</v>
      </c>
      <c r="N605" t="b">
        <v>1</v>
      </c>
      <c r="O605" t="s">
        <v>16</v>
      </c>
      <c r="P605" t="s">
        <v>17</v>
      </c>
      <c r="Q605" t="str">
        <f t="shared" si="29"/>
        <v>No</v>
      </c>
      <c r="R605" t="b">
        <v>1</v>
      </c>
    </row>
    <row r="606" spans="1:18" x14ac:dyDescent="0.3">
      <c r="A606">
        <v>1</v>
      </c>
      <c r="B606" t="s">
        <v>27</v>
      </c>
      <c r="C606">
        <v>1</v>
      </c>
      <c r="D606" t="s">
        <v>30</v>
      </c>
      <c r="E606" t="s">
        <v>13</v>
      </c>
      <c r="F606" t="str">
        <f t="shared" si="27"/>
        <v>Male</v>
      </c>
      <c r="G606">
        <v>35</v>
      </c>
      <c r="H606">
        <v>0</v>
      </c>
      <c r="I606">
        <v>0</v>
      </c>
      <c r="J606">
        <v>26.55</v>
      </c>
      <c r="K606" t="s">
        <v>19</v>
      </c>
      <c r="L606" t="s">
        <v>15</v>
      </c>
      <c r="M606" t="str">
        <f t="shared" si="28"/>
        <v>Man</v>
      </c>
      <c r="N606" t="b">
        <v>1</v>
      </c>
      <c r="O606" t="s">
        <v>21</v>
      </c>
      <c r="P606" t="s">
        <v>22</v>
      </c>
      <c r="Q606" t="str">
        <f t="shared" si="29"/>
        <v>Yes</v>
      </c>
      <c r="R606" t="b">
        <v>1</v>
      </c>
    </row>
    <row r="607" spans="1:18" x14ac:dyDescent="0.3">
      <c r="A607">
        <v>0</v>
      </c>
      <c r="B607" t="s">
        <v>26</v>
      </c>
      <c r="C607">
        <v>3</v>
      </c>
      <c r="D607" t="s">
        <v>32</v>
      </c>
      <c r="E607" t="s">
        <v>13</v>
      </c>
      <c r="F607" t="str">
        <f t="shared" si="27"/>
        <v>Male</v>
      </c>
      <c r="G607">
        <v>36</v>
      </c>
      <c r="H607">
        <v>1</v>
      </c>
      <c r="I607">
        <v>0</v>
      </c>
      <c r="J607">
        <v>15.55</v>
      </c>
      <c r="K607" t="s">
        <v>14</v>
      </c>
      <c r="L607" t="s">
        <v>15</v>
      </c>
      <c r="M607" t="str">
        <f t="shared" si="28"/>
        <v>Man</v>
      </c>
      <c r="N607" t="b">
        <v>1</v>
      </c>
      <c r="O607" t="s">
        <v>16</v>
      </c>
      <c r="P607" t="s">
        <v>17</v>
      </c>
      <c r="Q607" t="str">
        <f t="shared" si="29"/>
        <v>No</v>
      </c>
      <c r="R607" t="b">
        <v>0</v>
      </c>
    </row>
    <row r="608" spans="1:18" x14ac:dyDescent="0.3">
      <c r="A608">
        <v>0</v>
      </c>
      <c r="B608" t="s">
        <v>26</v>
      </c>
      <c r="C608">
        <v>3</v>
      </c>
      <c r="D608" t="s">
        <v>32</v>
      </c>
      <c r="E608" t="s">
        <v>13</v>
      </c>
      <c r="F608" t="str">
        <f t="shared" si="27"/>
        <v>Male</v>
      </c>
      <c r="G608">
        <v>30</v>
      </c>
      <c r="H608">
        <v>0</v>
      </c>
      <c r="I608">
        <v>0</v>
      </c>
      <c r="J608">
        <v>7.8958000000000004</v>
      </c>
      <c r="K608" t="s">
        <v>14</v>
      </c>
      <c r="L608" t="s">
        <v>15</v>
      </c>
      <c r="M608" t="str">
        <f t="shared" si="28"/>
        <v>Man</v>
      </c>
      <c r="N608" t="b">
        <v>1</v>
      </c>
      <c r="O608" t="s">
        <v>16</v>
      </c>
      <c r="P608" t="s">
        <v>17</v>
      </c>
      <c r="Q608" t="str">
        <f t="shared" si="29"/>
        <v>No</v>
      </c>
      <c r="R608" t="b">
        <v>1</v>
      </c>
    </row>
    <row r="609" spans="1:18" x14ac:dyDescent="0.3">
      <c r="A609">
        <v>1</v>
      </c>
      <c r="B609" t="s">
        <v>27</v>
      </c>
      <c r="C609">
        <v>1</v>
      </c>
      <c r="D609" t="s">
        <v>30</v>
      </c>
      <c r="E609" t="s">
        <v>13</v>
      </c>
      <c r="F609" t="str">
        <f t="shared" si="27"/>
        <v>Male</v>
      </c>
      <c r="G609">
        <v>27</v>
      </c>
      <c r="H609">
        <v>0</v>
      </c>
      <c r="I609">
        <v>0</v>
      </c>
      <c r="J609">
        <v>30.5</v>
      </c>
      <c r="K609" t="s">
        <v>19</v>
      </c>
      <c r="L609" t="s">
        <v>15</v>
      </c>
      <c r="M609" t="str">
        <f t="shared" si="28"/>
        <v>Man</v>
      </c>
      <c r="N609" t="b">
        <v>1</v>
      </c>
      <c r="O609" t="s">
        <v>16</v>
      </c>
      <c r="P609" t="s">
        <v>22</v>
      </c>
      <c r="Q609" t="str">
        <f t="shared" si="29"/>
        <v>Yes</v>
      </c>
      <c r="R609" t="b">
        <v>1</v>
      </c>
    </row>
    <row r="610" spans="1:18" x14ac:dyDescent="0.3">
      <c r="A610">
        <v>1</v>
      </c>
      <c r="B610" t="s">
        <v>27</v>
      </c>
      <c r="C610">
        <v>2</v>
      </c>
      <c r="D610" t="s">
        <v>31</v>
      </c>
      <c r="E610" t="s">
        <v>18</v>
      </c>
      <c r="F610" t="str">
        <f t="shared" si="27"/>
        <v>Female</v>
      </c>
      <c r="G610">
        <v>22</v>
      </c>
      <c r="H610">
        <v>1</v>
      </c>
      <c r="I610">
        <v>2</v>
      </c>
      <c r="J610">
        <v>41.5792</v>
      </c>
      <c r="K610" t="s">
        <v>25</v>
      </c>
      <c r="L610" t="s">
        <v>20</v>
      </c>
      <c r="M610" t="str">
        <f t="shared" si="28"/>
        <v>Woman</v>
      </c>
      <c r="N610" t="b">
        <v>0</v>
      </c>
      <c r="O610" t="s">
        <v>21</v>
      </c>
      <c r="P610" t="s">
        <v>22</v>
      </c>
      <c r="Q610" t="str">
        <f t="shared" si="29"/>
        <v>Yes</v>
      </c>
      <c r="R610" t="b">
        <v>0</v>
      </c>
    </row>
    <row r="611" spans="1:18" x14ac:dyDescent="0.3">
      <c r="A611">
        <v>1</v>
      </c>
      <c r="B611" t="s">
        <v>27</v>
      </c>
      <c r="C611">
        <v>1</v>
      </c>
      <c r="D611" t="s">
        <v>30</v>
      </c>
      <c r="E611" t="s">
        <v>18</v>
      </c>
      <c r="F611" t="str">
        <f t="shared" si="27"/>
        <v>Female</v>
      </c>
      <c r="G611">
        <v>40</v>
      </c>
      <c r="H611">
        <v>0</v>
      </c>
      <c r="I611">
        <v>0</v>
      </c>
      <c r="J611">
        <v>153.46250000000001</v>
      </c>
      <c r="K611" t="s">
        <v>19</v>
      </c>
      <c r="L611" t="s">
        <v>20</v>
      </c>
      <c r="M611" t="str">
        <f t="shared" si="28"/>
        <v>Woman</v>
      </c>
      <c r="N611" t="b">
        <v>0</v>
      </c>
      <c r="O611" t="s">
        <v>16</v>
      </c>
      <c r="P611" t="s">
        <v>22</v>
      </c>
      <c r="Q611" t="str">
        <f t="shared" si="29"/>
        <v>Yes</v>
      </c>
      <c r="R611" t="b">
        <v>1</v>
      </c>
    </row>
    <row r="612" spans="1:18" x14ac:dyDescent="0.3">
      <c r="A612">
        <v>0</v>
      </c>
      <c r="B612" t="s">
        <v>26</v>
      </c>
      <c r="C612">
        <v>3</v>
      </c>
      <c r="D612" t="s">
        <v>32</v>
      </c>
      <c r="E612" t="s">
        <v>18</v>
      </c>
      <c r="F612" t="str">
        <f t="shared" si="27"/>
        <v>Female</v>
      </c>
      <c r="G612">
        <v>39</v>
      </c>
      <c r="H612">
        <v>1</v>
      </c>
      <c r="I612">
        <v>5</v>
      </c>
      <c r="J612">
        <v>31.274999999999999</v>
      </c>
      <c r="K612" t="s">
        <v>14</v>
      </c>
      <c r="L612" t="s">
        <v>20</v>
      </c>
      <c r="M612" t="str">
        <f t="shared" si="28"/>
        <v>Woman</v>
      </c>
      <c r="N612" t="b">
        <v>0</v>
      </c>
      <c r="O612" t="s">
        <v>16</v>
      </c>
      <c r="P612" t="s">
        <v>17</v>
      </c>
      <c r="Q612" t="str">
        <f t="shared" si="29"/>
        <v>No</v>
      </c>
      <c r="R612" t="b">
        <v>0</v>
      </c>
    </row>
    <row r="613" spans="1:18" x14ac:dyDescent="0.3">
      <c r="A613">
        <v>0</v>
      </c>
      <c r="B613" t="s">
        <v>26</v>
      </c>
      <c r="C613">
        <v>3</v>
      </c>
      <c r="D613" t="s">
        <v>32</v>
      </c>
      <c r="E613" t="s">
        <v>13</v>
      </c>
      <c r="F613" t="str">
        <f t="shared" si="27"/>
        <v>Male</v>
      </c>
      <c r="G613">
        <v>30</v>
      </c>
      <c r="H613">
        <v>0</v>
      </c>
      <c r="I613">
        <v>0</v>
      </c>
      <c r="J613">
        <v>7.05</v>
      </c>
      <c r="K613" t="s">
        <v>14</v>
      </c>
      <c r="L613" t="s">
        <v>15</v>
      </c>
      <c r="M613" t="str">
        <f t="shared" si="28"/>
        <v>Man</v>
      </c>
      <c r="N613" t="b">
        <v>1</v>
      </c>
      <c r="O613" t="s">
        <v>16</v>
      </c>
      <c r="P613" t="s">
        <v>17</v>
      </c>
      <c r="Q613" t="str">
        <f t="shared" si="29"/>
        <v>No</v>
      </c>
      <c r="R613" t="b">
        <v>1</v>
      </c>
    </row>
    <row r="614" spans="1:18" x14ac:dyDescent="0.3">
      <c r="A614">
        <v>1</v>
      </c>
      <c r="B614" t="s">
        <v>27</v>
      </c>
      <c r="C614">
        <v>3</v>
      </c>
      <c r="D614" t="s">
        <v>32</v>
      </c>
      <c r="E614" t="s">
        <v>18</v>
      </c>
      <c r="F614" t="str">
        <f t="shared" si="27"/>
        <v>Female</v>
      </c>
      <c r="G614">
        <v>30</v>
      </c>
      <c r="H614">
        <v>1</v>
      </c>
      <c r="I614">
        <v>0</v>
      </c>
      <c r="J614">
        <v>15.5</v>
      </c>
      <c r="K614" t="s">
        <v>14</v>
      </c>
      <c r="L614" t="s">
        <v>20</v>
      </c>
      <c r="M614" t="str">
        <f t="shared" si="28"/>
        <v>Woman</v>
      </c>
      <c r="N614" t="b">
        <v>0</v>
      </c>
      <c r="O614" t="s">
        <v>23</v>
      </c>
      <c r="P614" t="s">
        <v>22</v>
      </c>
      <c r="Q614" t="str">
        <f t="shared" si="29"/>
        <v>Yes</v>
      </c>
      <c r="R614" t="b">
        <v>0</v>
      </c>
    </row>
    <row r="615" spans="1:18" x14ac:dyDescent="0.3">
      <c r="A615">
        <v>0</v>
      </c>
      <c r="B615" t="s">
        <v>26</v>
      </c>
      <c r="C615">
        <v>3</v>
      </c>
      <c r="D615" t="s">
        <v>32</v>
      </c>
      <c r="E615" t="s">
        <v>13</v>
      </c>
      <c r="F615" t="str">
        <f t="shared" si="27"/>
        <v>Male</v>
      </c>
      <c r="G615">
        <v>30</v>
      </c>
      <c r="H615">
        <v>0</v>
      </c>
      <c r="I615">
        <v>0</v>
      </c>
      <c r="J615">
        <v>7.75</v>
      </c>
      <c r="K615" t="s">
        <v>14</v>
      </c>
      <c r="L615" t="s">
        <v>15</v>
      </c>
      <c r="M615" t="str">
        <f t="shared" si="28"/>
        <v>Man</v>
      </c>
      <c r="N615" t="b">
        <v>1</v>
      </c>
      <c r="O615" t="s">
        <v>23</v>
      </c>
      <c r="P615" t="s">
        <v>17</v>
      </c>
      <c r="Q615" t="str">
        <f t="shared" si="29"/>
        <v>No</v>
      </c>
      <c r="R615" t="b">
        <v>1</v>
      </c>
    </row>
    <row r="616" spans="1:18" x14ac:dyDescent="0.3">
      <c r="A616">
        <v>0</v>
      </c>
      <c r="B616" t="s">
        <v>26</v>
      </c>
      <c r="C616">
        <v>3</v>
      </c>
      <c r="D616" t="s">
        <v>32</v>
      </c>
      <c r="E616" t="s">
        <v>13</v>
      </c>
      <c r="F616" t="str">
        <f t="shared" si="27"/>
        <v>Male</v>
      </c>
      <c r="G616">
        <v>35</v>
      </c>
      <c r="H616">
        <v>0</v>
      </c>
      <c r="I616">
        <v>0</v>
      </c>
      <c r="J616">
        <v>8.0500000000000007</v>
      </c>
      <c r="K616" t="s">
        <v>14</v>
      </c>
      <c r="L616" t="s">
        <v>15</v>
      </c>
      <c r="M616" t="str">
        <f t="shared" si="28"/>
        <v>Man</v>
      </c>
      <c r="N616" t="b">
        <v>1</v>
      </c>
      <c r="O616" t="s">
        <v>16</v>
      </c>
      <c r="P616" t="s">
        <v>17</v>
      </c>
      <c r="Q616" t="str">
        <f t="shared" si="29"/>
        <v>No</v>
      </c>
      <c r="R616" t="b">
        <v>1</v>
      </c>
    </row>
    <row r="617" spans="1:18" x14ac:dyDescent="0.3">
      <c r="A617">
        <v>1</v>
      </c>
      <c r="B617" t="s">
        <v>27</v>
      </c>
      <c r="C617">
        <v>2</v>
      </c>
      <c r="D617" t="s">
        <v>31</v>
      </c>
      <c r="E617" t="s">
        <v>18</v>
      </c>
      <c r="F617" t="str">
        <f t="shared" si="27"/>
        <v>Female</v>
      </c>
      <c r="G617">
        <v>24</v>
      </c>
      <c r="H617">
        <v>1</v>
      </c>
      <c r="I617">
        <v>2</v>
      </c>
      <c r="J617">
        <v>65</v>
      </c>
      <c r="K617" t="s">
        <v>25</v>
      </c>
      <c r="L617" t="s">
        <v>20</v>
      </c>
      <c r="M617" t="str">
        <f t="shared" si="28"/>
        <v>Woman</v>
      </c>
      <c r="N617" t="b">
        <v>0</v>
      </c>
      <c r="O617" t="s">
        <v>16</v>
      </c>
      <c r="P617" t="s">
        <v>22</v>
      </c>
      <c r="Q617" t="str">
        <f t="shared" si="29"/>
        <v>Yes</v>
      </c>
      <c r="R617" t="b">
        <v>0</v>
      </c>
    </row>
    <row r="618" spans="1:18" x14ac:dyDescent="0.3">
      <c r="A618">
        <v>0</v>
      </c>
      <c r="B618" t="s">
        <v>26</v>
      </c>
      <c r="C618">
        <v>3</v>
      </c>
      <c r="D618" t="s">
        <v>32</v>
      </c>
      <c r="E618" t="s">
        <v>13</v>
      </c>
      <c r="F618" t="str">
        <f t="shared" si="27"/>
        <v>Male</v>
      </c>
      <c r="G618">
        <v>34</v>
      </c>
      <c r="H618">
        <v>1</v>
      </c>
      <c r="I618">
        <v>1</v>
      </c>
      <c r="J618">
        <v>14.4</v>
      </c>
      <c r="K618" t="s">
        <v>14</v>
      </c>
      <c r="L618" t="s">
        <v>15</v>
      </c>
      <c r="M618" t="str">
        <f t="shared" si="28"/>
        <v>Man</v>
      </c>
      <c r="N618" t="b">
        <v>1</v>
      </c>
      <c r="O618" t="s">
        <v>16</v>
      </c>
      <c r="P618" t="s">
        <v>17</v>
      </c>
      <c r="Q618" t="str">
        <f t="shared" si="29"/>
        <v>No</v>
      </c>
      <c r="R618" t="b">
        <v>0</v>
      </c>
    </row>
    <row r="619" spans="1:18" x14ac:dyDescent="0.3">
      <c r="A619">
        <v>0</v>
      </c>
      <c r="B619" t="s">
        <v>26</v>
      </c>
      <c r="C619">
        <v>3</v>
      </c>
      <c r="D619" t="s">
        <v>32</v>
      </c>
      <c r="E619" t="s">
        <v>18</v>
      </c>
      <c r="F619" t="str">
        <f t="shared" si="27"/>
        <v>Female</v>
      </c>
      <c r="G619">
        <v>26</v>
      </c>
      <c r="H619">
        <v>1</v>
      </c>
      <c r="I619">
        <v>0</v>
      </c>
      <c r="J619">
        <v>16.100000000000001</v>
      </c>
      <c r="K619" t="s">
        <v>14</v>
      </c>
      <c r="L619" t="s">
        <v>20</v>
      </c>
      <c r="M619" t="str">
        <f t="shared" si="28"/>
        <v>Woman</v>
      </c>
      <c r="N619" t="b">
        <v>0</v>
      </c>
      <c r="O619" t="s">
        <v>16</v>
      </c>
      <c r="P619" t="s">
        <v>17</v>
      </c>
      <c r="Q619" t="str">
        <f t="shared" si="29"/>
        <v>No</v>
      </c>
      <c r="R619" t="b">
        <v>0</v>
      </c>
    </row>
    <row r="620" spans="1:18" x14ac:dyDescent="0.3">
      <c r="A620">
        <v>1</v>
      </c>
      <c r="B620" t="s">
        <v>27</v>
      </c>
      <c r="C620">
        <v>2</v>
      </c>
      <c r="D620" t="s">
        <v>31</v>
      </c>
      <c r="E620" t="s">
        <v>18</v>
      </c>
      <c r="F620" t="str">
        <f t="shared" si="27"/>
        <v>Female</v>
      </c>
      <c r="G620">
        <v>4</v>
      </c>
      <c r="H620">
        <v>2</v>
      </c>
      <c r="I620">
        <v>1</v>
      </c>
      <c r="J620">
        <v>39</v>
      </c>
      <c r="K620" t="s">
        <v>25</v>
      </c>
      <c r="L620" t="s">
        <v>24</v>
      </c>
      <c r="M620" t="str">
        <f t="shared" si="28"/>
        <v>Child</v>
      </c>
      <c r="N620" t="b">
        <v>0</v>
      </c>
      <c r="O620" t="s">
        <v>16</v>
      </c>
      <c r="P620" t="s">
        <v>22</v>
      </c>
      <c r="Q620" t="str">
        <f t="shared" si="29"/>
        <v>Yes</v>
      </c>
      <c r="R620" t="b">
        <v>0</v>
      </c>
    </row>
    <row r="621" spans="1:18" x14ac:dyDescent="0.3">
      <c r="A621">
        <v>0</v>
      </c>
      <c r="B621" t="s">
        <v>26</v>
      </c>
      <c r="C621">
        <v>2</v>
      </c>
      <c r="D621" t="s">
        <v>31</v>
      </c>
      <c r="E621" t="s">
        <v>13</v>
      </c>
      <c r="F621" t="str">
        <f t="shared" si="27"/>
        <v>Male</v>
      </c>
      <c r="G621">
        <v>26</v>
      </c>
      <c r="H621">
        <v>0</v>
      </c>
      <c r="I621">
        <v>0</v>
      </c>
      <c r="J621">
        <v>10.5</v>
      </c>
      <c r="K621" t="s">
        <v>25</v>
      </c>
      <c r="L621" t="s">
        <v>15</v>
      </c>
      <c r="M621" t="str">
        <f t="shared" si="28"/>
        <v>Man</v>
      </c>
      <c r="N621" t="b">
        <v>1</v>
      </c>
      <c r="O621" t="s">
        <v>16</v>
      </c>
      <c r="P621" t="s">
        <v>17</v>
      </c>
      <c r="Q621" t="str">
        <f t="shared" si="29"/>
        <v>No</v>
      </c>
      <c r="R621" t="b">
        <v>1</v>
      </c>
    </row>
    <row r="622" spans="1:18" x14ac:dyDescent="0.3">
      <c r="A622">
        <v>0</v>
      </c>
      <c r="B622" t="s">
        <v>26</v>
      </c>
      <c r="C622">
        <v>3</v>
      </c>
      <c r="D622" t="s">
        <v>32</v>
      </c>
      <c r="E622" t="s">
        <v>13</v>
      </c>
      <c r="F622" t="str">
        <f t="shared" si="27"/>
        <v>Male</v>
      </c>
      <c r="G622">
        <v>27</v>
      </c>
      <c r="H622">
        <v>1</v>
      </c>
      <c r="I622">
        <v>0</v>
      </c>
      <c r="J622">
        <v>14.4542</v>
      </c>
      <c r="K622" t="s">
        <v>14</v>
      </c>
      <c r="L622" t="s">
        <v>15</v>
      </c>
      <c r="M622" t="str">
        <f t="shared" si="28"/>
        <v>Man</v>
      </c>
      <c r="N622" t="b">
        <v>1</v>
      </c>
      <c r="O622" t="s">
        <v>21</v>
      </c>
      <c r="P622" t="s">
        <v>17</v>
      </c>
      <c r="Q622" t="str">
        <f t="shared" si="29"/>
        <v>No</v>
      </c>
      <c r="R622" t="b">
        <v>0</v>
      </c>
    </row>
    <row r="623" spans="1:18" x14ac:dyDescent="0.3">
      <c r="A623">
        <v>1</v>
      </c>
      <c r="B623" t="s">
        <v>27</v>
      </c>
      <c r="C623">
        <v>1</v>
      </c>
      <c r="D623" t="s">
        <v>30</v>
      </c>
      <c r="E623" t="s">
        <v>13</v>
      </c>
      <c r="F623" t="str">
        <f t="shared" si="27"/>
        <v>Male</v>
      </c>
      <c r="G623">
        <v>42</v>
      </c>
      <c r="H623">
        <v>1</v>
      </c>
      <c r="I623">
        <v>0</v>
      </c>
      <c r="J623">
        <v>52.554200000000002</v>
      </c>
      <c r="K623" t="s">
        <v>19</v>
      </c>
      <c r="L623" t="s">
        <v>15</v>
      </c>
      <c r="M623" t="str">
        <f t="shared" si="28"/>
        <v>Man</v>
      </c>
      <c r="N623" t="b">
        <v>1</v>
      </c>
      <c r="O623" t="s">
        <v>16</v>
      </c>
      <c r="P623" t="s">
        <v>22</v>
      </c>
      <c r="Q623" t="str">
        <f t="shared" si="29"/>
        <v>Yes</v>
      </c>
      <c r="R623" t="b">
        <v>0</v>
      </c>
    </row>
    <row r="624" spans="1:18" x14ac:dyDescent="0.3">
      <c r="A624">
        <v>1</v>
      </c>
      <c r="B624" t="s">
        <v>27</v>
      </c>
      <c r="C624">
        <v>3</v>
      </c>
      <c r="D624" t="s">
        <v>32</v>
      </c>
      <c r="E624" t="s">
        <v>13</v>
      </c>
      <c r="F624" t="str">
        <f t="shared" si="27"/>
        <v>Male</v>
      </c>
      <c r="G624">
        <v>20</v>
      </c>
      <c r="H624">
        <v>1</v>
      </c>
      <c r="I624">
        <v>1</v>
      </c>
      <c r="J624">
        <v>15.7417</v>
      </c>
      <c r="K624" t="s">
        <v>14</v>
      </c>
      <c r="L624" t="s">
        <v>15</v>
      </c>
      <c r="M624" t="str">
        <f t="shared" si="28"/>
        <v>Man</v>
      </c>
      <c r="N624" t="b">
        <v>1</v>
      </c>
      <c r="O624" t="s">
        <v>21</v>
      </c>
      <c r="P624" t="s">
        <v>22</v>
      </c>
      <c r="Q624" t="str">
        <f t="shared" si="29"/>
        <v>Yes</v>
      </c>
      <c r="R624" t="b">
        <v>0</v>
      </c>
    </row>
    <row r="625" spans="1:18" x14ac:dyDescent="0.3">
      <c r="A625">
        <v>0</v>
      </c>
      <c r="B625" t="s">
        <v>26</v>
      </c>
      <c r="C625">
        <v>3</v>
      </c>
      <c r="D625" t="s">
        <v>32</v>
      </c>
      <c r="E625" t="s">
        <v>13</v>
      </c>
      <c r="F625" t="str">
        <f t="shared" si="27"/>
        <v>Male</v>
      </c>
      <c r="G625">
        <v>21</v>
      </c>
      <c r="H625">
        <v>0</v>
      </c>
      <c r="I625">
        <v>0</v>
      </c>
      <c r="J625">
        <v>7.8541999999999996</v>
      </c>
      <c r="K625" t="s">
        <v>14</v>
      </c>
      <c r="L625" t="s">
        <v>15</v>
      </c>
      <c r="M625" t="str">
        <f t="shared" si="28"/>
        <v>Man</v>
      </c>
      <c r="N625" t="b">
        <v>1</v>
      </c>
      <c r="O625" t="s">
        <v>16</v>
      </c>
      <c r="P625" t="s">
        <v>17</v>
      </c>
      <c r="Q625" t="str">
        <f t="shared" si="29"/>
        <v>No</v>
      </c>
      <c r="R625" t="b">
        <v>1</v>
      </c>
    </row>
    <row r="626" spans="1:18" x14ac:dyDescent="0.3">
      <c r="A626">
        <v>0</v>
      </c>
      <c r="B626" t="s">
        <v>26</v>
      </c>
      <c r="C626">
        <v>3</v>
      </c>
      <c r="D626" t="s">
        <v>32</v>
      </c>
      <c r="E626" t="s">
        <v>13</v>
      </c>
      <c r="F626" t="str">
        <f t="shared" si="27"/>
        <v>Male</v>
      </c>
      <c r="G626">
        <v>21</v>
      </c>
      <c r="H626">
        <v>0</v>
      </c>
      <c r="I626">
        <v>0</v>
      </c>
      <c r="J626">
        <v>16.100000000000001</v>
      </c>
      <c r="K626" t="s">
        <v>14</v>
      </c>
      <c r="L626" t="s">
        <v>15</v>
      </c>
      <c r="M626" t="str">
        <f t="shared" si="28"/>
        <v>Man</v>
      </c>
      <c r="N626" t="b">
        <v>1</v>
      </c>
      <c r="O626" t="s">
        <v>16</v>
      </c>
      <c r="P626" t="s">
        <v>17</v>
      </c>
      <c r="Q626" t="str">
        <f t="shared" si="29"/>
        <v>No</v>
      </c>
      <c r="R626" t="b">
        <v>1</v>
      </c>
    </row>
    <row r="627" spans="1:18" x14ac:dyDescent="0.3">
      <c r="A627">
        <v>0</v>
      </c>
      <c r="B627" t="s">
        <v>26</v>
      </c>
      <c r="C627">
        <v>1</v>
      </c>
      <c r="D627" t="s">
        <v>30</v>
      </c>
      <c r="E627" t="s">
        <v>13</v>
      </c>
      <c r="F627" t="str">
        <f t="shared" si="27"/>
        <v>Male</v>
      </c>
      <c r="G627">
        <v>61</v>
      </c>
      <c r="H627">
        <v>0</v>
      </c>
      <c r="I627">
        <v>0</v>
      </c>
      <c r="J627">
        <v>32.320799999999998</v>
      </c>
      <c r="K627" t="s">
        <v>19</v>
      </c>
      <c r="L627" t="s">
        <v>15</v>
      </c>
      <c r="M627" t="str">
        <f t="shared" si="28"/>
        <v>Man</v>
      </c>
      <c r="N627" t="b">
        <v>1</v>
      </c>
      <c r="O627" t="s">
        <v>16</v>
      </c>
      <c r="P627" t="s">
        <v>17</v>
      </c>
      <c r="Q627" t="str">
        <f t="shared" si="29"/>
        <v>No</v>
      </c>
      <c r="R627" t="b">
        <v>1</v>
      </c>
    </row>
    <row r="628" spans="1:18" x14ac:dyDescent="0.3">
      <c r="A628">
        <v>0</v>
      </c>
      <c r="B628" t="s">
        <v>26</v>
      </c>
      <c r="C628">
        <v>2</v>
      </c>
      <c r="D628" t="s">
        <v>31</v>
      </c>
      <c r="E628" t="s">
        <v>13</v>
      </c>
      <c r="F628" t="str">
        <f t="shared" si="27"/>
        <v>Male</v>
      </c>
      <c r="G628">
        <v>57</v>
      </c>
      <c r="H628">
        <v>0</v>
      </c>
      <c r="I628">
        <v>0</v>
      </c>
      <c r="J628">
        <v>12.35</v>
      </c>
      <c r="K628" t="s">
        <v>25</v>
      </c>
      <c r="L628" t="s">
        <v>15</v>
      </c>
      <c r="M628" t="str">
        <f t="shared" si="28"/>
        <v>Man</v>
      </c>
      <c r="N628" t="b">
        <v>1</v>
      </c>
      <c r="O628" t="s">
        <v>23</v>
      </c>
      <c r="P628" t="s">
        <v>17</v>
      </c>
      <c r="Q628" t="str">
        <f t="shared" si="29"/>
        <v>No</v>
      </c>
      <c r="R628" t="b">
        <v>1</v>
      </c>
    </row>
    <row r="629" spans="1:18" x14ac:dyDescent="0.3">
      <c r="A629">
        <v>1</v>
      </c>
      <c r="B629" t="s">
        <v>27</v>
      </c>
      <c r="C629">
        <v>1</v>
      </c>
      <c r="D629" t="s">
        <v>30</v>
      </c>
      <c r="E629" t="s">
        <v>18</v>
      </c>
      <c r="F629" t="str">
        <f t="shared" si="27"/>
        <v>Female</v>
      </c>
      <c r="G629">
        <v>21</v>
      </c>
      <c r="H629">
        <v>0</v>
      </c>
      <c r="I629">
        <v>0</v>
      </c>
      <c r="J629">
        <v>77.958299999999994</v>
      </c>
      <c r="K629" t="s">
        <v>19</v>
      </c>
      <c r="L629" t="s">
        <v>20</v>
      </c>
      <c r="M629" t="str">
        <f t="shared" si="28"/>
        <v>Woman</v>
      </c>
      <c r="N629" t="b">
        <v>0</v>
      </c>
      <c r="O629" t="s">
        <v>16</v>
      </c>
      <c r="P629" t="s">
        <v>22</v>
      </c>
      <c r="Q629" t="str">
        <f t="shared" si="29"/>
        <v>Yes</v>
      </c>
      <c r="R629" t="b">
        <v>1</v>
      </c>
    </row>
    <row r="630" spans="1:18" x14ac:dyDescent="0.3">
      <c r="A630">
        <v>0</v>
      </c>
      <c r="B630" t="s">
        <v>26</v>
      </c>
      <c r="C630">
        <v>3</v>
      </c>
      <c r="D630" t="s">
        <v>32</v>
      </c>
      <c r="E630" t="s">
        <v>13</v>
      </c>
      <c r="F630" t="str">
        <f t="shared" si="27"/>
        <v>Male</v>
      </c>
      <c r="G630">
        <v>26</v>
      </c>
      <c r="H630">
        <v>0</v>
      </c>
      <c r="I630">
        <v>0</v>
      </c>
      <c r="J630">
        <v>7.8958000000000004</v>
      </c>
      <c r="K630" t="s">
        <v>14</v>
      </c>
      <c r="L630" t="s">
        <v>15</v>
      </c>
      <c r="M630" t="str">
        <f t="shared" si="28"/>
        <v>Man</v>
      </c>
      <c r="N630" t="b">
        <v>1</v>
      </c>
      <c r="O630" t="s">
        <v>16</v>
      </c>
      <c r="P630" t="s">
        <v>17</v>
      </c>
      <c r="Q630" t="str">
        <f t="shared" si="29"/>
        <v>No</v>
      </c>
      <c r="R630" t="b">
        <v>1</v>
      </c>
    </row>
    <row r="631" spans="1:18" x14ac:dyDescent="0.3">
      <c r="A631">
        <v>0</v>
      </c>
      <c r="B631" t="s">
        <v>26</v>
      </c>
      <c r="C631">
        <v>3</v>
      </c>
      <c r="D631" t="s">
        <v>32</v>
      </c>
      <c r="E631" t="s">
        <v>13</v>
      </c>
      <c r="F631" t="str">
        <f t="shared" si="27"/>
        <v>Male</v>
      </c>
      <c r="G631">
        <v>30</v>
      </c>
      <c r="H631">
        <v>0</v>
      </c>
      <c r="I631">
        <v>0</v>
      </c>
      <c r="J631">
        <v>7.7332999999999998</v>
      </c>
      <c r="K631" t="s">
        <v>14</v>
      </c>
      <c r="L631" t="s">
        <v>15</v>
      </c>
      <c r="M631" t="str">
        <f t="shared" si="28"/>
        <v>Man</v>
      </c>
      <c r="N631" t="b">
        <v>1</v>
      </c>
      <c r="O631" t="s">
        <v>23</v>
      </c>
      <c r="P631" t="s">
        <v>17</v>
      </c>
      <c r="Q631" t="str">
        <f t="shared" si="29"/>
        <v>No</v>
      </c>
      <c r="R631" t="b">
        <v>1</v>
      </c>
    </row>
    <row r="632" spans="1:18" x14ac:dyDescent="0.3">
      <c r="A632">
        <v>1</v>
      </c>
      <c r="B632" t="s">
        <v>27</v>
      </c>
      <c r="C632">
        <v>1</v>
      </c>
      <c r="D632" t="s">
        <v>30</v>
      </c>
      <c r="E632" t="s">
        <v>13</v>
      </c>
      <c r="F632" t="str">
        <f t="shared" si="27"/>
        <v>Male</v>
      </c>
      <c r="G632">
        <v>80</v>
      </c>
      <c r="H632">
        <v>0</v>
      </c>
      <c r="I632">
        <v>0</v>
      </c>
      <c r="J632">
        <v>30</v>
      </c>
      <c r="K632" t="s">
        <v>19</v>
      </c>
      <c r="L632" t="s">
        <v>15</v>
      </c>
      <c r="M632" t="str">
        <f t="shared" si="28"/>
        <v>Man</v>
      </c>
      <c r="N632" t="b">
        <v>1</v>
      </c>
      <c r="O632" t="s">
        <v>16</v>
      </c>
      <c r="P632" t="s">
        <v>22</v>
      </c>
      <c r="Q632" t="str">
        <f t="shared" si="29"/>
        <v>Yes</v>
      </c>
      <c r="R632" t="b">
        <v>1</v>
      </c>
    </row>
    <row r="633" spans="1:18" x14ac:dyDescent="0.3">
      <c r="A633">
        <v>0</v>
      </c>
      <c r="B633" t="s">
        <v>26</v>
      </c>
      <c r="C633">
        <v>3</v>
      </c>
      <c r="D633" t="s">
        <v>32</v>
      </c>
      <c r="E633" t="s">
        <v>13</v>
      </c>
      <c r="F633" t="str">
        <f t="shared" si="27"/>
        <v>Male</v>
      </c>
      <c r="G633">
        <v>51</v>
      </c>
      <c r="H633">
        <v>0</v>
      </c>
      <c r="I633">
        <v>0</v>
      </c>
      <c r="J633">
        <v>7.0541999999999998</v>
      </c>
      <c r="K633" t="s">
        <v>14</v>
      </c>
      <c r="L633" t="s">
        <v>15</v>
      </c>
      <c r="M633" t="str">
        <f t="shared" si="28"/>
        <v>Man</v>
      </c>
      <c r="N633" t="b">
        <v>1</v>
      </c>
      <c r="O633" t="s">
        <v>16</v>
      </c>
      <c r="P633" t="s">
        <v>17</v>
      </c>
      <c r="Q633" t="str">
        <f t="shared" si="29"/>
        <v>No</v>
      </c>
      <c r="R633" t="b">
        <v>1</v>
      </c>
    </row>
    <row r="634" spans="1:18" x14ac:dyDescent="0.3">
      <c r="A634">
        <v>1</v>
      </c>
      <c r="B634" t="s">
        <v>27</v>
      </c>
      <c r="C634">
        <v>1</v>
      </c>
      <c r="D634" t="s">
        <v>30</v>
      </c>
      <c r="E634" t="s">
        <v>13</v>
      </c>
      <c r="F634" t="str">
        <f t="shared" si="27"/>
        <v>Male</v>
      </c>
      <c r="G634">
        <v>32</v>
      </c>
      <c r="H634">
        <v>0</v>
      </c>
      <c r="I634">
        <v>0</v>
      </c>
      <c r="J634">
        <v>30.5</v>
      </c>
      <c r="K634" t="s">
        <v>19</v>
      </c>
      <c r="L634" t="s">
        <v>15</v>
      </c>
      <c r="M634" t="str">
        <f t="shared" si="28"/>
        <v>Man</v>
      </c>
      <c r="N634" t="b">
        <v>1</v>
      </c>
      <c r="O634" t="s">
        <v>21</v>
      </c>
      <c r="P634" t="s">
        <v>22</v>
      </c>
      <c r="Q634" t="str">
        <f t="shared" si="29"/>
        <v>Yes</v>
      </c>
      <c r="R634" t="b">
        <v>1</v>
      </c>
    </row>
    <row r="635" spans="1:18" x14ac:dyDescent="0.3">
      <c r="A635">
        <v>0</v>
      </c>
      <c r="B635" t="s">
        <v>26</v>
      </c>
      <c r="C635">
        <v>1</v>
      </c>
      <c r="D635" t="s">
        <v>30</v>
      </c>
      <c r="E635" t="s">
        <v>13</v>
      </c>
      <c r="F635" t="str">
        <f t="shared" si="27"/>
        <v>Male</v>
      </c>
      <c r="G635">
        <v>30</v>
      </c>
      <c r="H635">
        <v>0</v>
      </c>
      <c r="I635">
        <v>0</v>
      </c>
      <c r="J635">
        <v>0</v>
      </c>
      <c r="K635" t="s">
        <v>19</v>
      </c>
      <c r="L635" t="s">
        <v>15</v>
      </c>
      <c r="M635" t="str">
        <f t="shared" si="28"/>
        <v>Man</v>
      </c>
      <c r="N635" t="b">
        <v>1</v>
      </c>
      <c r="O635" t="s">
        <v>16</v>
      </c>
      <c r="P635" t="s">
        <v>17</v>
      </c>
      <c r="Q635" t="str">
        <f t="shared" si="29"/>
        <v>No</v>
      </c>
      <c r="R635" t="b">
        <v>1</v>
      </c>
    </row>
    <row r="636" spans="1:18" x14ac:dyDescent="0.3">
      <c r="A636">
        <v>0</v>
      </c>
      <c r="B636" t="s">
        <v>26</v>
      </c>
      <c r="C636">
        <v>3</v>
      </c>
      <c r="D636" t="s">
        <v>32</v>
      </c>
      <c r="E636" t="s">
        <v>18</v>
      </c>
      <c r="F636" t="str">
        <f t="shared" si="27"/>
        <v>Female</v>
      </c>
      <c r="G636">
        <v>9</v>
      </c>
      <c r="H636">
        <v>3</v>
      </c>
      <c r="I636">
        <v>2</v>
      </c>
      <c r="J636">
        <v>27.9</v>
      </c>
      <c r="K636" t="s">
        <v>14</v>
      </c>
      <c r="L636" t="s">
        <v>24</v>
      </c>
      <c r="M636" t="str">
        <f t="shared" si="28"/>
        <v>Child</v>
      </c>
      <c r="N636" t="b">
        <v>0</v>
      </c>
      <c r="O636" t="s">
        <v>16</v>
      </c>
      <c r="P636" t="s">
        <v>17</v>
      </c>
      <c r="Q636" t="str">
        <f t="shared" si="29"/>
        <v>No</v>
      </c>
      <c r="R636" t="b">
        <v>0</v>
      </c>
    </row>
    <row r="637" spans="1:18" x14ac:dyDescent="0.3">
      <c r="A637">
        <v>1</v>
      </c>
      <c r="B637" t="s">
        <v>27</v>
      </c>
      <c r="C637">
        <v>2</v>
      </c>
      <c r="D637" t="s">
        <v>31</v>
      </c>
      <c r="E637" t="s">
        <v>18</v>
      </c>
      <c r="F637" t="str">
        <f t="shared" si="27"/>
        <v>Female</v>
      </c>
      <c r="G637">
        <v>28</v>
      </c>
      <c r="H637">
        <v>0</v>
      </c>
      <c r="I637">
        <v>0</v>
      </c>
      <c r="J637">
        <v>13</v>
      </c>
      <c r="K637" t="s">
        <v>25</v>
      </c>
      <c r="L637" t="s">
        <v>20</v>
      </c>
      <c r="M637" t="str">
        <f t="shared" si="28"/>
        <v>Woman</v>
      </c>
      <c r="N637" t="b">
        <v>0</v>
      </c>
      <c r="O637" t="s">
        <v>16</v>
      </c>
      <c r="P637" t="s">
        <v>22</v>
      </c>
      <c r="Q637" t="str">
        <f t="shared" si="29"/>
        <v>Yes</v>
      </c>
      <c r="R637" t="b">
        <v>1</v>
      </c>
    </row>
    <row r="638" spans="1:18" x14ac:dyDescent="0.3">
      <c r="A638">
        <v>0</v>
      </c>
      <c r="B638" t="s">
        <v>26</v>
      </c>
      <c r="C638">
        <v>3</v>
      </c>
      <c r="D638" t="s">
        <v>32</v>
      </c>
      <c r="E638" t="s">
        <v>13</v>
      </c>
      <c r="F638" t="str">
        <f t="shared" si="27"/>
        <v>Male</v>
      </c>
      <c r="G638">
        <v>32</v>
      </c>
      <c r="H638">
        <v>0</v>
      </c>
      <c r="I638">
        <v>0</v>
      </c>
      <c r="J638">
        <v>7.9249999999999998</v>
      </c>
      <c r="K638" t="s">
        <v>14</v>
      </c>
      <c r="L638" t="s">
        <v>15</v>
      </c>
      <c r="M638" t="str">
        <f t="shared" si="28"/>
        <v>Man</v>
      </c>
      <c r="N638" t="b">
        <v>1</v>
      </c>
      <c r="O638" t="s">
        <v>16</v>
      </c>
      <c r="P638" t="s">
        <v>17</v>
      </c>
      <c r="Q638" t="str">
        <f t="shared" si="29"/>
        <v>No</v>
      </c>
      <c r="R638" t="b">
        <v>1</v>
      </c>
    </row>
    <row r="639" spans="1:18" x14ac:dyDescent="0.3">
      <c r="A639">
        <v>0</v>
      </c>
      <c r="B639" t="s">
        <v>26</v>
      </c>
      <c r="C639">
        <v>2</v>
      </c>
      <c r="D639" t="s">
        <v>31</v>
      </c>
      <c r="E639" t="s">
        <v>13</v>
      </c>
      <c r="F639" t="str">
        <f t="shared" si="27"/>
        <v>Male</v>
      </c>
      <c r="G639">
        <v>31</v>
      </c>
      <c r="H639">
        <v>1</v>
      </c>
      <c r="I639">
        <v>1</v>
      </c>
      <c r="J639">
        <v>26.25</v>
      </c>
      <c r="K639" t="s">
        <v>25</v>
      </c>
      <c r="L639" t="s">
        <v>15</v>
      </c>
      <c r="M639" t="str">
        <f t="shared" si="28"/>
        <v>Man</v>
      </c>
      <c r="N639" t="b">
        <v>1</v>
      </c>
      <c r="O639" t="s">
        <v>16</v>
      </c>
      <c r="P639" t="s">
        <v>17</v>
      </c>
      <c r="Q639" t="str">
        <f t="shared" si="29"/>
        <v>No</v>
      </c>
      <c r="R639" t="b">
        <v>0</v>
      </c>
    </row>
    <row r="640" spans="1:18" x14ac:dyDescent="0.3">
      <c r="A640">
        <v>0</v>
      </c>
      <c r="B640" t="s">
        <v>26</v>
      </c>
      <c r="C640">
        <v>3</v>
      </c>
      <c r="D640" t="s">
        <v>32</v>
      </c>
      <c r="E640" t="s">
        <v>18</v>
      </c>
      <c r="F640" t="str">
        <f t="shared" si="27"/>
        <v>Female</v>
      </c>
      <c r="G640">
        <v>41</v>
      </c>
      <c r="H640">
        <v>0</v>
      </c>
      <c r="I640">
        <v>5</v>
      </c>
      <c r="J640">
        <v>39.6875</v>
      </c>
      <c r="K640" t="s">
        <v>14</v>
      </c>
      <c r="L640" t="s">
        <v>20</v>
      </c>
      <c r="M640" t="str">
        <f t="shared" si="28"/>
        <v>Woman</v>
      </c>
      <c r="N640" t="b">
        <v>0</v>
      </c>
      <c r="O640" t="s">
        <v>16</v>
      </c>
      <c r="P640" t="s">
        <v>17</v>
      </c>
      <c r="Q640" t="str">
        <f t="shared" si="29"/>
        <v>No</v>
      </c>
      <c r="R640" t="b">
        <v>0</v>
      </c>
    </row>
    <row r="641" spans="1:18" x14ac:dyDescent="0.3">
      <c r="A641">
        <v>0</v>
      </c>
      <c r="B641" t="s">
        <v>26</v>
      </c>
      <c r="C641">
        <v>3</v>
      </c>
      <c r="D641" t="s">
        <v>32</v>
      </c>
      <c r="E641" t="s">
        <v>13</v>
      </c>
      <c r="F641" t="str">
        <f t="shared" si="27"/>
        <v>Male</v>
      </c>
      <c r="G641">
        <v>30</v>
      </c>
      <c r="H641">
        <v>1</v>
      </c>
      <c r="I641">
        <v>0</v>
      </c>
      <c r="J641">
        <v>16.100000000000001</v>
      </c>
      <c r="K641" t="s">
        <v>14</v>
      </c>
      <c r="L641" t="s">
        <v>15</v>
      </c>
      <c r="M641" t="str">
        <f t="shared" si="28"/>
        <v>Man</v>
      </c>
      <c r="N641" t="b">
        <v>1</v>
      </c>
      <c r="O641" t="s">
        <v>16</v>
      </c>
      <c r="P641" t="s">
        <v>17</v>
      </c>
      <c r="Q641" t="str">
        <f t="shared" si="29"/>
        <v>No</v>
      </c>
      <c r="R641" t="b">
        <v>0</v>
      </c>
    </row>
    <row r="642" spans="1:18" x14ac:dyDescent="0.3">
      <c r="A642">
        <v>0</v>
      </c>
      <c r="B642" t="s">
        <v>26</v>
      </c>
      <c r="C642">
        <v>3</v>
      </c>
      <c r="D642" t="s">
        <v>32</v>
      </c>
      <c r="E642" t="s">
        <v>13</v>
      </c>
      <c r="F642" t="str">
        <f t="shared" si="27"/>
        <v>Male</v>
      </c>
      <c r="G642">
        <v>20</v>
      </c>
      <c r="H642">
        <v>0</v>
      </c>
      <c r="I642">
        <v>0</v>
      </c>
      <c r="J642">
        <v>7.8541999999999996</v>
      </c>
      <c r="K642" t="s">
        <v>14</v>
      </c>
      <c r="L642" t="s">
        <v>15</v>
      </c>
      <c r="M642" t="str">
        <f t="shared" si="28"/>
        <v>Man</v>
      </c>
      <c r="N642" t="b">
        <v>1</v>
      </c>
      <c r="O642" t="s">
        <v>16</v>
      </c>
      <c r="P642" t="s">
        <v>17</v>
      </c>
      <c r="Q642" t="str">
        <f t="shared" si="29"/>
        <v>No</v>
      </c>
      <c r="R642" t="b">
        <v>1</v>
      </c>
    </row>
    <row r="643" spans="1:18" x14ac:dyDescent="0.3">
      <c r="A643">
        <v>1</v>
      </c>
      <c r="B643" t="s">
        <v>27</v>
      </c>
      <c r="C643">
        <v>1</v>
      </c>
      <c r="D643" t="s">
        <v>30</v>
      </c>
      <c r="E643" t="s">
        <v>18</v>
      </c>
      <c r="F643" t="str">
        <f t="shared" ref="F643:F706" si="30">PROPER(E643)</f>
        <v>Female</v>
      </c>
      <c r="G643">
        <v>24</v>
      </c>
      <c r="H643">
        <v>0</v>
      </c>
      <c r="I643">
        <v>0</v>
      </c>
      <c r="J643">
        <v>69.3</v>
      </c>
      <c r="K643" t="s">
        <v>19</v>
      </c>
      <c r="L643" t="s">
        <v>20</v>
      </c>
      <c r="M643" t="str">
        <f t="shared" ref="M643:M706" si="31">PROPER(L643)</f>
        <v>Woman</v>
      </c>
      <c r="N643" t="b">
        <v>0</v>
      </c>
      <c r="O643" t="s">
        <v>21</v>
      </c>
      <c r="P643" t="s">
        <v>22</v>
      </c>
      <c r="Q643" t="str">
        <f t="shared" ref="Q643:Q706" si="32">PROPER(P643)</f>
        <v>Yes</v>
      </c>
      <c r="R643" t="b">
        <v>1</v>
      </c>
    </row>
    <row r="644" spans="1:18" x14ac:dyDescent="0.3">
      <c r="A644">
        <v>0</v>
      </c>
      <c r="B644" t="s">
        <v>26</v>
      </c>
      <c r="C644">
        <v>3</v>
      </c>
      <c r="D644" t="s">
        <v>32</v>
      </c>
      <c r="E644" t="s">
        <v>18</v>
      </c>
      <c r="F644" t="str">
        <f t="shared" si="30"/>
        <v>Female</v>
      </c>
      <c r="G644">
        <v>2</v>
      </c>
      <c r="H644">
        <v>3</v>
      </c>
      <c r="I644">
        <v>2</v>
      </c>
      <c r="J644">
        <v>27.9</v>
      </c>
      <c r="K644" t="s">
        <v>14</v>
      </c>
      <c r="L644" t="s">
        <v>24</v>
      </c>
      <c r="M644" t="str">
        <f t="shared" si="31"/>
        <v>Child</v>
      </c>
      <c r="N644" t="b">
        <v>0</v>
      </c>
      <c r="O644" t="s">
        <v>16</v>
      </c>
      <c r="P644" t="s">
        <v>17</v>
      </c>
      <c r="Q644" t="str">
        <f t="shared" si="32"/>
        <v>No</v>
      </c>
      <c r="R644" t="b">
        <v>0</v>
      </c>
    </row>
    <row r="645" spans="1:18" x14ac:dyDescent="0.3">
      <c r="A645">
        <v>1</v>
      </c>
      <c r="B645" t="s">
        <v>27</v>
      </c>
      <c r="C645">
        <v>3</v>
      </c>
      <c r="D645" t="s">
        <v>32</v>
      </c>
      <c r="E645" t="s">
        <v>13</v>
      </c>
      <c r="F645" t="str">
        <f t="shared" si="30"/>
        <v>Male</v>
      </c>
      <c r="G645">
        <v>30</v>
      </c>
      <c r="H645">
        <v>0</v>
      </c>
      <c r="I645">
        <v>0</v>
      </c>
      <c r="J645">
        <v>56.495800000000003</v>
      </c>
      <c r="K645" t="s">
        <v>14</v>
      </c>
      <c r="L645" t="s">
        <v>15</v>
      </c>
      <c r="M645" t="str">
        <f t="shared" si="31"/>
        <v>Man</v>
      </c>
      <c r="N645" t="b">
        <v>1</v>
      </c>
      <c r="O645" t="s">
        <v>16</v>
      </c>
      <c r="P645" t="s">
        <v>22</v>
      </c>
      <c r="Q645" t="str">
        <f t="shared" si="32"/>
        <v>Yes</v>
      </c>
      <c r="R645" t="b">
        <v>1</v>
      </c>
    </row>
    <row r="646" spans="1:18" x14ac:dyDescent="0.3">
      <c r="A646">
        <v>1</v>
      </c>
      <c r="B646" t="s">
        <v>27</v>
      </c>
      <c r="C646">
        <v>3</v>
      </c>
      <c r="D646" t="s">
        <v>32</v>
      </c>
      <c r="E646" t="s">
        <v>18</v>
      </c>
      <c r="F646" t="str">
        <f t="shared" si="30"/>
        <v>Female</v>
      </c>
      <c r="G646">
        <v>0.75</v>
      </c>
      <c r="H646">
        <v>2</v>
      </c>
      <c r="I646">
        <v>1</v>
      </c>
      <c r="J646">
        <v>19.258299999999998</v>
      </c>
      <c r="K646" t="s">
        <v>14</v>
      </c>
      <c r="L646" t="s">
        <v>24</v>
      </c>
      <c r="M646" t="str">
        <f t="shared" si="31"/>
        <v>Child</v>
      </c>
      <c r="N646" t="b">
        <v>0</v>
      </c>
      <c r="O646" t="s">
        <v>21</v>
      </c>
      <c r="P646" t="s">
        <v>22</v>
      </c>
      <c r="Q646" t="str">
        <f t="shared" si="32"/>
        <v>Yes</v>
      </c>
      <c r="R646" t="b">
        <v>0</v>
      </c>
    </row>
    <row r="647" spans="1:18" x14ac:dyDescent="0.3">
      <c r="A647">
        <v>1</v>
      </c>
      <c r="B647" t="s">
        <v>27</v>
      </c>
      <c r="C647">
        <v>1</v>
      </c>
      <c r="D647" t="s">
        <v>30</v>
      </c>
      <c r="E647" t="s">
        <v>13</v>
      </c>
      <c r="F647" t="str">
        <f t="shared" si="30"/>
        <v>Male</v>
      </c>
      <c r="G647">
        <v>48</v>
      </c>
      <c r="H647">
        <v>1</v>
      </c>
      <c r="I647">
        <v>0</v>
      </c>
      <c r="J647">
        <v>76.729200000000006</v>
      </c>
      <c r="K647" t="s">
        <v>19</v>
      </c>
      <c r="L647" t="s">
        <v>15</v>
      </c>
      <c r="M647" t="str">
        <f t="shared" si="31"/>
        <v>Man</v>
      </c>
      <c r="N647" t="b">
        <v>1</v>
      </c>
      <c r="O647" t="s">
        <v>21</v>
      </c>
      <c r="P647" t="s">
        <v>22</v>
      </c>
      <c r="Q647" t="str">
        <f t="shared" si="32"/>
        <v>Yes</v>
      </c>
      <c r="R647" t="b">
        <v>0</v>
      </c>
    </row>
    <row r="648" spans="1:18" x14ac:dyDescent="0.3">
      <c r="A648">
        <v>0</v>
      </c>
      <c r="B648" t="s">
        <v>26</v>
      </c>
      <c r="C648">
        <v>3</v>
      </c>
      <c r="D648" t="s">
        <v>32</v>
      </c>
      <c r="E648" t="s">
        <v>13</v>
      </c>
      <c r="F648" t="str">
        <f t="shared" si="30"/>
        <v>Male</v>
      </c>
      <c r="G648">
        <v>19</v>
      </c>
      <c r="H648">
        <v>0</v>
      </c>
      <c r="I648">
        <v>0</v>
      </c>
      <c r="J648">
        <v>7.8958000000000004</v>
      </c>
      <c r="K648" t="s">
        <v>14</v>
      </c>
      <c r="L648" t="s">
        <v>15</v>
      </c>
      <c r="M648" t="str">
        <f t="shared" si="31"/>
        <v>Man</v>
      </c>
      <c r="N648" t="b">
        <v>1</v>
      </c>
      <c r="O648" t="s">
        <v>16</v>
      </c>
      <c r="P648" t="s">
        <v>17</v>
      </c>
      <c r="Q648" t="str">
        <f t="shared" si="32"/>
        <v>No</v>
      </c>
      <c r="R648" t="b">
        <v>1</v>
      </c>
    </row>
    <row r="649" spans="1:18" x14ac:dyDescent="0.3">
      <c r="A649">
        <v>1</v>
      </c>
      <c r="B649" t="s">
        <v>27</v>
      </c>
      <c r="C649">
        <v>1</v>
      </c>
      <c r="D649" t="s">
        <v>30</v>
      </c>
      <c r="E649" t="s">
        <v>13</v>
      </c>
      <c r="F649" t="str">
        <f t="shared" si="30"/>
        <v>Male</v>
      </c>
      <c r="G649">
        <v>56</v>
      </c>
      <c r="H649">
        <v>0</v>
      </c>
      <c r="I649">
        <v>0</v>
      </c>
      <c r="J649">
        <v>35.5</v>
      </c>
      <c r="K649" t="s">
        <v>19</v>
      </c>
      <c r="L649" t="s">
        <v>15</v>
      </c>
      <c r="M649" t="str">
        <f t="shared" si="31"/>
        <v>Man</v>
      </c>
      <c r="N649" t="b">
        <v>1</v>
      </c>
      <c r="O649" t="s">
        <v>21</v>
      </c>
      <c r="P649" t="s">
        <v>22</v>
      </c>
      <c r="Q649" t="str">
        <f t="shared" si="32"/>
        <v>Yes</v>
      </c>
      <c r="R649" t="b">
        <v>1</v>
      </c>
    </row>
    <row r="650" spans="1:18" x14ac:dyDescent="0.3">
      <c r="A650">
        <v>0</v>
      </c>
      <c r="B650" t="s">
        <v>26</v>
      </c>
      <c r="C650">
        <v>3</v>
      </c>
      <c r="D650" t="s">
        <v>32</v>
      </c>
      <c r="E650" t="s">
        <v>13</v>
      </c>
      <c r="F650" t="str">
        <f t="shared" si="30"/>
        <v>Male</v>
      </c>
      <c r="G650">
        <v>30</v>
      </c>
      <c r="H650">
        <v>0</v>
      </c>
      <c r="I650">
        <v>0</v>
      </c>
      <c r="J650">
        <v>7.55</v>
      </c>
      <c r="K650" t="s">
        <v>14</v>
      </c>
      <c r="L650" t="s">
        <v>15</v>
      </c>
      <c r="M650" t="str">
        <f t="shared" si="31"/>
        <v>Man</v>
      </c>
      <c r="N650" t="b">
        <v>1</v>
      </c>
      <c r="O650" t="s">
        <v>16</v>
      </c>
      <c r="P650" t="s">
        <v>17</v>
      </c>
      <c r="Q650" t="str">
        <f t="shared" si="32"/>
        <v>No</v>
      </c>
      <c r="R650" t="b">
        <v>1</v>
      </c>
    </row>
    <row r="651" spans="1:18" x14ac:dyDescent="0.3">
      <c r="A651">
        <v>1</v>
      </c>
      <c r="B651" t="s">
        <v>27</v>
      </c>
      <c r="C651">
        <v>3</v>
      </c>
      <c r="D651" t="s">
        <v>32</v>
      </c>
      <c r="E651" t="s">
        <v>18</v>
      </c>
      <c r="F651" t="str">
        <f t="shared" si="30"/>
        <v>Female</v>
      </c>
      <c r="G651">
        <v>23</v>
      </c>
      <c r="H651">
        <v>0</v>
      </c>
      <c r="I651">
        <v>0</v>
      </c>
      <c r="J651">
        <v>7.55</v>
      </c>
      <c r="K651" t="s">
        <v>14</v>
      </c>
      <c r="L651" t="s">
        <v>20</v>
      </c>
      <c r="M651" t="str">
        <f t="shared" si="31"/>
        <v>Woman</v>
      </c>
      <c r="N651" t="b">
        <v>0</v>
      </c>
      <c r="O651" t="s">
        <v>16</v>
      </c>
      <c r="P651" t="s">
        <v>22</v>
      </c>
      <c r="Q651" t="str">
        <f t="shared" si="32"/>
        <v>Yes</v>
      </c>
      <c r="R651" t="b">
        <v>1</v>
      </c>
    </row>
    <row r="652" spans="1:18" x14ac:dyDescent="0.3">
      <c r="A652">
        <v>0</v>
      </c>
      <c r="B652" t="s">
        <v>26</v>
      </c>
      <c r="C652">
        <v>3</v>
      </c>
      <c r="D652" t="s">
        <v>32</v>
      </c>
      <c r="E652" t="s">
        <v>13</v>
      </c>
      <c r="F652" t="str">
        <f t="shared" si="30"/>
        <v>Male</v>
      </c>
      <c r="G652">
        <v>30</v>
      </c>
      <c r="H652">
        <v>0</v>
      </c>
      <c r="I652">
        <v>0</v>
      </c>
      <c r="J652">
        <v>7.8958000000000004</v>
      </c>
      <c r="K652" t="s">
        <v>14</v>
      </c>
      <c r="L652" t="s">
        <v>15</v>
      </c>
      <c r="M652" t="str">
        <f t="shared" si="31"/>
        <v>Man</v>
      </c>
      <c r="N652" t="b">
        <v>1</v>
      </c>
      <c r="O652" t="s">
        <v>16</v>
      </c>
      <c r="P652" t="s">
        <v>17</v>
      </c>
      <c r="Q652" t="str">
        <f t="shared" si="32"/>
        <v>No</v>
      </c>
      <c r="R652" t="b">
        <v>1</v>
      </c>
    </row>
    <row r="653" spans="1:18" x14ac:dyDescent="0.3">
      <c r="A653">
        <v>1</v>
      </c>
      <c r="B653" t="s">
        <v>27</v>
      </c>
      <c r="C653">
        <v>2</v>
      </c>
      <c r="D653" t="s">
        <v>31</v>
      </c>
      <c r="E653" t="s">
        <v>18</v>
      </c>
      <c r="F653" t="str">
        <f t="shared" si="30"/>
        <v>Female</v>
      </c>
      <c r="G653">
        <v>18</v>
      </c>
      <c r="H653">
        <v>0</v>
      </c>
      <c r="I653">
        <v>1</v>
      </c>
      <c r="J653">
        <v>23</v>
      </c>
      <c r="K653" t="s">
        <v>25</v>
      </c>
      <c r="L653" t="s">
        <v>20</v>
      </c>
      <c r="M653" t="str">
        <f t="shared" si="31"/>
        <v>Woman</v>
      </c>
      <c r="N653" t="b">
        <v>0</v>
      </c>
      <c r="O653" t="s">
        <v>16</v>
      </c>
      <c r="P653" t="s">
        <v>22</v>
      </c>
      <c r="Q653" t="str">
        <f t="shared" si="32"/>
        <v>Yes</v>
      </c>
      <c r="R653" t="b">
        <v>0</v>
      </c>
    </row>
    <row r="654" spans="1:18" x14ac:dyDescent="0.3">
      <c r="A654">
        <v>0</v>
      </c>
      <c r="B654" t="s">
        <v>26</v>
      </c>
      <c r="C654">
        <v>3</v>
      </c>
      <c r="D654" t="s">
        <v>32</v>
      </c>
      <c r="E654" t="s">
        <v>13</v>
      </c>
      <c r="F654" t="str">
        <f t="shared" si="30"/>
        <v>Male</v>
      </c>
      <c r="G654">
        <v>21</v>
      </c>
      <c r="H654">
        <v>0</v>
      </c>
      <c r="I654">
        <v>0</v>
      </c>
      <c r="J654">
        <v>8.4332999999999991</v>
      </c>
      <c r="K654" t="s">
        <v>14</v>
      </c>
      <c r="L654" t="s">
        <v>15</v>
      </c>
      <c r="M654" t="str">
        <f t="shared" si="31"/>
        <v>Man</v>
      </c>
      <c r="N654" t="b">
        <v>1</v>
      </c>
      <c r="O654" t="s">
        <v>16</v>
      </c>
      <c r="P654" t="s">
        <v>17</v>
      </c>
      <c r="Q654" t="str">
        <f t="shared" si="32"/>
        <v>No</v>
      </c>
      <c r="R654" t="b">
        <v>1</v>
      </c>
    </row>
    <row r="655" spans="1:18" x14ac:dyDescent="0.3">
      <c r="A655">
        <v>1</v>
      </c>
      <c r="B655" t="s">
        <v>27</v>
      </c>
      <c r="C655">
        <v>3</v>
      </c>
      <c r="D655" t="s">
        <v>32</v>
      </c>
      <c r="E655" t="s">
        <v>18</v>
      </c>
      <c r="F655" t="str">
        <f t="shared" si="30"/>
        <v>Female</v>
      </c>
      <c r="G655">
        <v>30</v>
      </c>
      <c r="H655">
        <v>0</v>
      </c>
      <c r="I655">
        <v>0</v>
      </c>
      <c r="J655">
        <v>7.8292000000000002</v>
      </c>
      <c r="K655" t="s">
        <v>14</v>
      </c>
      <c r="L655" t="s">
        <v>20</v>
      </c>
      <c r="M655" t="str">
        <f t="shared" si="31"/>
        <v>Woman</v>
      </c>
      <c r="N655" t="b">
        <v>0</v>
      </c>
      <c r="O655" t="s">
        <v>23</v>
      </c>
      <c r="P655" t="s">
        <v>22</v>
      </c>
      <c r="Q655" t="str">
        <f t="shared" si="32"/>
        <v>Yes</v>
      </c>
      <c r="R655" t="b">
        <v>1</v>
      </c>
    </row>
    <row r="656" spans="1:18" x14ac:dyDescent="0.3">
      <c r="A656">
        <v>0</v>
      </c>
      <c r="B656" t="s">
        <v>26</v>
      </c>
      <c r="C656">
        <v>3</v>
      </c>
      <c r="D656" t="s">
        <v>32</v>
      </c>
      <c r="E656" t="s">
        <v>18</v>
      </c>
      <c r="F656" t="str">
        <f t="shared" si="30"/>
        <v>Female</v>
      </c>
      <c r="G656">
        <v>18</v>
      </c>
      <c r="H656">
        <v>0</v>
      </c>
      <c r="I656">
        <v>0</v>
      </c>
      <c r="J656">
        <v>6.75</v>
      </c>
      <c r="K656" t="s">
        <v>14</v>
      </c>
      <c r="L656" t="s">
        <v>20</v>
      </c>
      <c r="M656" t="str">
        <f t="shared" si="31"/>
        <v>Woman</v>
      </c>
      <c r="N656" t="b">
        <v>0</v>
      </c>
      <c r="O656" t="s">
        <v>23</v>
      </c>
      <c r="P656" t="s">
        <v>17</v>
      </c>
      <c r="Q656" t="str">
        <f t="shared" si="32"/>
        <v>No</v>
      </c>
      <c r="R656" t="b">
        <v>1</v>
      </c>
    </row>
    <row r="657" spans="1:18" x14ac:dyDescent="0.3">
      <c r="A657">
        <v>0</v>
      </c>
      <c r="B657" t="s">
        <v>26</v>
      </c>
      <c r="C657">
        <v>2</v>
      </c>
      <c r="D657" t="s">
        <v>31</v>
      </c>
      <c r="E657" t="s">
        <v>13</v>
      </c>
      <c r="F657" t="str">
        <f t="shared" si="30"/>
        <v>Male</v>
      </c>
      <c r="G657">
        <v>24</v>
      </c>
      <c r="H657">
        <v>2</v>
      </c>
      <c r="I657">
        <v>0</v>
      </c>
      <c r="J657">
        <v>73.5</v>
      </c>
      <c r="K657" t="s">
        <v>25</v>
      </c>
      <c r="L657" t="s">
        <v>15</v>
      </c>
      <c r="M657" t="str">
        <f t="shared" si="31"/>
        <v>Man</v>
      </c>
      <c r="N657" t="b">
        <v>1</v>
      </c>
      <c r="O657" t="s">
        <v>16</v>
      </c>
      <c r="P657" t="s">
        <v>17</v>
      </c>
      <c r="Q657" t="str">
        <f t="shared" si="32"/>
        <v>No</v>
      </c>
      <c r="R657" t="b">
        <v>0</v>
      </c>
    </row>
    <row r="658" spans="1:18" x14ac:dyDescent="0.3">
      <c r="A658">
        <v>0</v>
      </c>
      <c r="B658" t="s">
        <v>26</v>
      </c>
      <c r="C658">
        <v>3</v>
      </c>
      <c r="D658" t="s">
        <v>32</v>
      </c>
      <c r="E658" t="s">
        <v>13</v>
      </c>
      <c r="F658" t="str">
        <f t="shared" si="30"/>
        <v>Male</v>
      </c>
      <c r="G658">
        <v>30</v>
      </c>
      <c r="H658">
        <v>0</v>
      </c>
      <c r="I658">
        <v>0</v>
      </c>
      <c r="J658">
        <v>7.8958000000000004</v>
      </c>
      <c r="K658" t="s">
        <v>14</v>
      </c>
      <c r="L658" t="s">
        <v>15</v>
      </c>
      <c r="M658" t="str">
        <f t="shared" si="31"/>
        <v>Man</v>
      </c>
      <c r="N658" t="b">
        <v>1</v>
      </c>
      <c r="O658" t="s">
        <v>16</v>
      </c>
      <c r="P658" t="s">
        <v>17</v>
      </c>
      <c r="Q658" t="str">
        <f t="shared" si="32"/>
        <v>No</v>
      </c>
      <c r="R658" t="b">
        <v>1</v>
      </c>
    </row>
    <row r="659" spans="1:18" x14ac:dyDescent="0.3">
      <c r="A659">
        <v>0</v>
      </c>
      <c r="B659" t="s">
        <v>26</v>
      </c>
      <c r="C659">
        <v>3</v>
      </c>
      <c r="D659" t="s">
        <v>32</v>
      </c>
      <c r="E659" t="s">
        <v>18</v>
      </c>
      <c r="F659" t="str">
        <f t="shared" si="30"/>
        <v>Female</v>
      </c>
      <c r="G659">
        <v>32</v>
      </c>
      <c r="H659">
        <v>1</v>
      </c>
      <c r="I659">
        <v>1</v>
      </c>
      <c r="J659">
        <v>15.5</v>
      </c>
      <c r="K659" t="s">
        <v>14</v>
      </c>
      <c r="L659" t="s">
        <v>20</v>
      </c>
      <c r="M659" t="str">
        <f t="shared" si="31"/>
        <v>Woman</v>
      </c>
      <c r="N659" t="b">
        <v>0</v>
      </c>
      <c r="O659" t="s">
        <v>23</v>
      </c>
      <c r="P659" t="s">
        <v>17</v>
      </c>
      <c r="Q659" t="str">
        <f t="shared" si="32"/>
        <v>No</v>
      </c>
      <c r="R659" t="b">
        <v>0</v>
      </c>
    </row>
    <row r="660" spans="1:18" x14ac:dyDescent="0.3">
      <c r="A660">
        <v>0</v>
      </c>
      <c r="B660" t="s">
        <v>26</v>
      </c>
      <c r="C660">
        <v>2</v>
      </c>
      <c r="D660" t="s">
        <v>31</v>
      </c>
      <c r="E660" t="s">
        <v>13</v>
      </c>
      <c r="F660" t="str">
        <f t="shared" si="30"/>
        <v>Male</v>
      </c>
      <c r="G660">
        <v>23</v>
      </c>
      <c r="H660">
        <v>0</v>
      </c>
      <c r="I660">
        <v>0</v>
      </c>
      <c r="J660">
        <v>13</v>
      </c>
      <c r="K660" t="s">
        <v>25</v>
      </c>
      <c r="L660" t="s">
        <v>15</v>
      </c>
      <c r="M660" t="str">
        <f t="shared" si="31"/>
        <v>Man</v>
      </c>
      <c r="N660" t="b">
        <v>1</v>
      </c>
      <c r="O660" t="s">
        <v>16</v>
      </c>
      <c r="P660" t="s">
        <v>17</v>
      </c>
      <c r="Q660" t="str">
        <f t="shared" si="32"/>
        <v>No</v>
      </c>
      <c r="R660" t="b">
        <v>1</v>
      </c>
    </row>
    <row r="661" spans="1:18" x14ac:dyDescent="0.3">
      <c r="A661">
        <v>0</v>
      </c>
      <c r="B661" t="s">
        <v>26</v>
      </c>
      <c r="C661">
        <v>1</v>
      </c>
      <c r="D661" t="s">
        <v>30</v>
      </c>
      <c r="E661" t="s">
        <v>13</v>
      </c>
      <c r="F661" t="str">
        <f t="shared" si="30"/>
        <v>Male</v>
      </c>
      <c r="G661">
        <v>58</v>
      </c>
      <c r="H661">
        <v>0</v>
      </c>
      <c r="I661">
        <v>2</v>
      </c>
      <c r="J661">
        <v>113.27500000000001</v>
      </c>
      <c r="K661" t="s">
        <v>19</v>
      </c>
      <c r="L661" t="s">
        <v>15</v>
      </c>
      <c r="M661" t="str">
        <f t="shared" si="31"/>
        <v>Man</v>
      </c>
      <c r="N661" t="b">
        <v>1</v>
      </c>
      <c r="O661" t="s">
        <v>21</v>
      </c>
      <c r="P661" t="s">
        <v>17</v>
      </c>
      <c r="Q661" t="str">
        <f t="shared" si="32"/>
        <v>No</v>
      </c>
      <c r="R661" t="b">
        <v>0</v>
      </c>
    </row>
    <row r="662" spans="1:18" x14ac:dyDescent="0.3">
      <c r="A662">
        <v>1</v>
      </c>
      <c r="B662" t="s">
        <v>27</v>
      </c>
      <c r="C662">
        <v>1</v>
      </c>
      <c r="D662" t="s">
        <v>30</v>
      </c>
      <c r="E662" t="s">
        <v>13</v>
      </c>
      <c r="F662" t="str">
        <f t="shared" si="30"/>
        <v>Male</v>
      </c>
      <c r="G662">
        <v>50</v>
      </c>
      <c r="H662">
        <v>2</v>
      </c>
      <c r="I662">
        <v>0</v>
      </c>
      <c r="J662">
        <v>133.65</v>
      </c>
      <c r="K662" t="s">
        <v>19</v>
      </c>
      <c r="L662" t="s">
        <v>15</v>
      </c>
      <c r="M662" t="str">
        <f t="shared" si="31"/>
        <v>Man</v>
      </c>
      <c r="N662" t="b">
        <v>1</v>
      </c>
      <c r="O662" t="s">
        <v>16</v>
      </c>
      <c r="P662" t="s">
        <v>22</v>
      </c>
      <c r="Q662" t="str">
        <f t="shared" si="32"/>
        <v>Yes</v>
      </c>
      <c r="R662" t="b">
        <v>0</v>
      </c>
    </row>
    <row r="663" spans="1:18" x14ac:dyDescent="0.3">
      <c r="A663">
        <v>0</v>
      </c>
      <c r="B663" t="s">
        <v>26</v>
      </c>
      <c r="C663">
        <v>3</v>
      </c>
      <c r="D663" t="s">
        <v>32</v>
      </c>
      <c r="E663" t="s">
        <v>13</v>
      </c>
      <c r="F663" t="str">
        <f t="shared" si="30"/>
        <v>Male</v>
      </c>
      <c r="G663">
        <v>40</v>
      </c>
      <c r="H663">
        <v>0</v>
      </c>
      <c r="I663">
        <v>0</v>
      </c>
      <c r="J663">
        <v>7.2249999999999996</v>
      </c>
      <c r="K663" t="s">
        <v>14</v>
      </c>
      <c r="L663" t="s">
        <v>15</v>
      </c>
      <c r="M663" t="str">
        <f t="shared" si="31"/>
        <v>Man</v>
      </c>
      <c r="N663" t="b">
        <v>1</v>
      </c>
      <c r="O663" t="s">
        <v>21</v>
      </c>
      <c r="P663" t="s">
        <v>17</v>
      </c>
      <c r="Q663" t="str">
        <f t="shared" si="32"/>
        <v>No</v>
      </c>
      <c r="R663" t="b">
        <v>1</v>
      </c>
    </row>
    <row r="664" spans="1:18" x14ac:dyDescent="0.3">
      <c r="A664">
        <v>0</v>
      </c>
      <c r="B664" t="s">
        <v>26</v>
      </c>
      <c r="C664">
        <v>1</v>
      </c>
      <c r="D664" t="s">
        <v>30</v>
      </c>
      <c r="E664" t="s">
        <v>13</v>
      </c>
      <c r="F664" t="str">
        <f t="shared" si="30"/>
        <v>Male</v>
      </c>
      <c r="G664">
        <v>47</v>
      </c>
      <c r="H664">
        <v>0</v>
      </c>
      <c r="I664">
        <v>0</v>
      </c>
      <c r="J664">
        <v>25.587499999999999</v>
      </c>
      <c r="K664" t="s">
        <v>19</v>
      </c>
      <c r="L664" t="s">
        <v>15</v>
      </c>
      <c r="M664" t="str">
        <f t="shared" si="31"/>
        <v>Man</v>
      </c>
      <c r="N664" t="b">
        <v>1</v>
      </c>
      <c r="O664" t="s">
        <v>16</v>
      </c>
      <c r="P664" t="s">
        <v>17</v>
      </c>
      <c r="Q664" t="str">
        <f t="shared" si="32"/>
        <v>No</v>
      </c>
      <c r="R664" t="b">
        <v>1</v>
      </c>
    </row>
    <row r="665" spans="1:18" x14ac:dyDescent="0.3">
      <c r="A665">
        <v>0</v>
      </c>
      <c r="B665" t="s">
        <v>26</v>
      </c>
      <c r="C665">
        <v>3</v>
      </c>
      <c r="D665" t="s">
        <v>32</v>
      </c>
      <c r="E665" t="s">
        <v>13</v>
      </c>
      <c r="F665" t="str">
        <f t="shared" si="30"/>
        <v>Male</v>
      </c>
      <c r="G665">
        <v>36</v>
      </c>
      <c r="H665">
        <v>0</v>
      </c>
      <c r="I665">
        <v>0</v>
      </c>
      <c r="J665">
        <v>7.4958</v>
      </c>
      <c r="K665" t="s">
        <v>14</v>
      </c>
      <c r="L665" t="s">
        <v>15</v>
      </c>
      <c r="M665" t="str">
        <f t="shared" si="31"/>
        <v>Man</v>
      </c>
      <c r="N665" t="b">
        <v>1</v>
      </c>
      <c r="O665" t="s">
        <v>16</v>
      </c>
      <c r="P665" t="s">
        <v>17</v>
      </c>
      <c r="Q665" t="str">
        <f t="shared" si="32"/>
        <v>No</v>
      </c>
      <c r="R665" t="b">
        <v>1</v>
      </c>
    </row>
    <row r="666" spans="1:18" x14ac:dyDescent="0.3">
      <c r="A666">
        <v>1</v>
      </c>
      <c r="B666" t="s">
        <v>27</v>
      </c>
      <c r="C666">
        <v>3</v>
      </c>
      <c r="D666" t="s">
        <v>32</v>
      </c>
      <c r="E666" t="s">
        <v>13</v>
      </c>
      <c r="F666" t="str">
        <f t="shared" si="30"/>
        <v>Male</v>
      </c>
      <c r="G666">
        <v>20</v>
      </c>
      <c r="H666">
        <v>1</v>
      </c>
      <c r="I666">
        <v>0</v>
      </c>
      <c r="J666">
        <v>7.9249999999999998</v>
      </c>
      <c r="K666" t="s">
        <v>14</v>
      </c>
      <c r="L666" t="s">
        <v>15</v>
      </c>
      <c r="M666" t="str">
        <f t="shared" si="31"/>
        <v>Man</v>
      </c>
      <c r="N666" t="b">
        <v>1</v>
      </c>
      <c r="O666" t="s">
        <v>16</v>
      </c>
      <c r="P666" t="s">
        <v>22</v>
      </c>
      <c r="Q666" t="str">
        <f t="shared" si="32"/>
        <v>Yes</v>
      </c>
      <c r="R666" t="b">
        <v>0</v>
      </c>
    </row>
    <row r="667" spans="1:18" x14ac:dyDescent="0.3">
      <c r="A667">
        <v>0</v>
      </c>
      <c r="B667" t="s">
        <v>26</v>
      </c>
      <c r="C667">
        <v>2</v>
      </c>
      <c r="D667" t="s">
        <v>31</v>
      </c>
      <c r="E667" t="s">
        <v>13</v>
      </c>
      <c r="F667" t="str">
        <f t="shared" si="30"/>
        <v>Male</v>
      </c>
      <c r="G667">
        <v>32</v>
      </c>
      <c r="H667">
        <v>2</v>
      </c>
      <c r="I667">
        <v>0</v>
      </c>
      <c r="J667">
        <v>73.5</v>
      </c>
      <c r="K667" t="s">
        <v>25</v>
      </c>
      <c r="L667" t="s">
        <v>15</v>
      </c>
      <c r="M667" t="str">
        <f t="shared" si="31"/>
        <v>Man</v>
      </c>
      <c r="N667" t="b">
        <v>1</v>
      </c>
      <c r="O667" t="s">
        <v>16</v>
      </c>
      <c r="P667" t="s">
        <v>17</v>
      </c>
      <c r="Q667" t="str">
        <f t="shared" si="32"/>
        <v>No</v>
      </c>
      <c r="R667" t="b">
        <v>0</v>
      </c>
    </row>
    <row r="668" spans="1:18" x14ac:dyDescent="0.3">
      <c r="A668">
        <v>0</v>
      </c>
      <c r="B668" t="s">
        <v>26</v>
      </c>
      <c r="C668">
        <v>2</v>
      </c>
      <c r="D668" t="s">
        <v>31</v>
      </c>
      <c r="E668" t="s">
        <v>13</v>
      </c>
      <c r="F668" t="str">
        <f t="shared" si="30"/>
        <v>Male</v>
      </c>
      <c r="G668">
        <v>25</v>
      </c>
      <c r="H668">
        <v>0</v>
      </c>
      <c r="I668">
        <v>0</v>
      </c>
      <c r="J668">
        <v>13</v>
      </c>
      <c r="K668" t="s">
        <v>25</v>
      </c>
      <c r="L668" t="s">
        <v>15</v>
      </c>
      <c r="M668" t="str">
        <f t="shared" si="31"/>
        <v>Man</v>
      </c>
      <c r="N668" t="b">
        <v>1</v>
      </c>
      <c r="O668" t="s">
        <v>16</v>
      </c>
      <c r="P668" t="s">
        <v>17</v>
      </c>
      <c r="Q668" t="str">
        <f t="shared" si="32"/>
        <v>No</v>
      </c>
      <c r="R668" t="b">
        <v>1</v>
      </c>
    </row>
    <row r="669" spans="1:18" x14ac:dyDescent="0.3">
      <c r="A669">
        <v>0</v>
      </c>
      <c r="B669" t="s">
        <v>26</v>
      </c>
      <c r="C669">
        <v>3</v>
      </c>
      <c r="D669" t="s">
        <v>32</v>
      </c>
      <c r="E669" t="s">
        <v>13</v>
      </c>
      <c r="F669" t="str">
        <f t="shared" si="30"/>
        <v>Male</v>
      </c>
      <c r="G669">
        <v>30</v>
      </c>
      <c r="H669">
        <v>0</v>
      </c>
      <c r="I669">
        <v>0</v>
      </c>
      <c r="J669">
        <v>7.7750000000000004</v>
      </c>
      <c r="K669" t="s">
        <v>14</v>
      </c>
      <c r="L669" t="s">
        <v>15</v>
      </c>
      <c r="M669" t="str">
        <f t="shared" si="31"/>
        <v>Man</v>
      </c>
      <c r="N669" t="b">
        <v>1</v>
      </c>
      <c r="O669" t="s">
        <v>16</v>
      </c>
      <c r="P669" t="s">
        <v>17</v>
      </c>
      <c r="Q669" t="str">
        <f t="shared" si="32"/>
        <v>No</v>
      </c>
      <c r="R669" t="b">
        <v>1</v>
      </c>
    </row>
    <row r="670" spans="1:18" x14ac:dyDescent="0.3">
      <c r="A670">
        <v>0</v>
      </c>
      <c r="B670" t="s">
        <v>26</v>
      </c>
      <c r="C670">
        <v>3</v>
      </c>
      <c r="D670" t="s">
        <v>32</v>
      </c>
      <c r="E670" t="s">
        <v>13</v>
      </c>
      <c r="F670" t="str">
        <f t="shared" si="30"/>
        <v>Male</v>
      </c>
      <c r="G670">
        <v>43</v>
      </c>
      <c r="H670">
        <v>0</v>
      </c>
      <c r="I670">
        <v>0</v>
      </c>
      <c r="J670">
        <v>8.0500000000000007</v>
      </c>
      <c r="K670" t="s">
        <v>14</v>
      </c>
      <c r="L670" t="s">
        <v>15</v>
      </c>
      <c r="M670" t="str">
        <f t="shared" si="31"/>
        <v>Man</v>
      </c>
      <c r="N670" t="b">
        <v>1</v>
      </c>
      <c r="O670" t="s">
        <v>16</v>
      </c>
      <c r="P670" t="s">
        <v>17</v>
      </c>
      <c r="Q670" t="str">
        <f t="shared" si="32"/>
        <v>No</v>
      </c>
      <c r="R670" t="b">
        <v>1</v>
      </c>
    </row>
    <row r="671" spans="1:18" x14ac:dyDescent="0.3">
      <c r="A671">
        <v>1</v>
      </c>
      <c r="B671" t="s">
        <v>27</v>
      </c>
      <c r="C671">
        <v>1</v>
      </c>
      <c r="D671" t="s">
        <v>30</v>
      </c>
      <c r="E671" t="s">
        <v>18</v>
      </c>
      <c r="F671" t="str">
        <f t="shared" si="30"/>
        <v>Female</v>
      </c>
      <c r="G671">
        <v>30</v>
      </c>
      <c r="H671">
        <v>1</v>
      </c>
      <c r="I671">
        <v>0</v>
      </c>
      <c r="J671">
        <v>52</v>
      </c>
      <c r="K671" t="s">
        <v>19</v>
      </c>
      <c r="L671" t="s">
        <v>20</v>
      </c>
      <c r="M671" t="str">
        <f t="shared" si="31"/>
        <v>Woman</v>
      </c>
      <c r="N671" t="b">
        <v>0</v>
      </c>
      <c r="O671" t="s">
        <v>16</v>
      </c>
      <c r="P671" t="s">
        <v>22</v>
      </c>
      <c r="Q671" t="str">
        <f t="shared" si="32"/>
        <v>Yes</v>
      </c>
      <c r="R671" t="b">
        <v>0</v>
      </c>
    </row>
    <row r="672" spans="1:18" x14ac:dyDescent="0.3">
      <c r="A672">
        <v>1</v>
      </c>
      <c r="B672" t="s">
        <v>27</v>
      </c>
      <c r="C672">
        <v>2</v>
      </c>
      <c r="D672" t="s">
        <v>31</v>
      </c>
      <c r="E672" t="s">
        <v>18</v>
      </c>
      <c r="F672" t="str">
        <f t="shared" si="30"/>
        <v>Female</v>
      </c>
      <c r="G672">
        <v>40</v>
      </c>
      <c r="H672">
        <v>1</v>
      </c>
      <c r="I672">
        <v>1</v>
      </c>
      <c r="J672">
        <v>39</v>
      </c>
      <c r="K672" t="s">
        <v>25</v>
      </c>
      <c r="L672" t="s">
        <v>20</v>
      </c>
      <c r="M672" t="str">
        <f t="shared" si="31"/>
        <v>Woman</v>
      </c>
      <c r="N672" t="b">
        <v>0</v>
      </c>
      <c r="O672" t="s">
        <v>16</v>
      </c>
      <c r="P672" t="s">
        <v>22</v>
      </c>
      <c r="Q672" t="str">
        <f t="shared" si="32"/>
        <v>Yes</v>
      </c>
      <c r="R672" t="b">
        <v>0</v>
      </c>
    </row>
    <row r="673" spans="1:18" x14ac:dyDescent="0.3">
      <c r="A673">
        <v>0</v>
      </c>
      <c r="B673" t="s">
        <v>26</v>
      </c>
      <c r="C673">
        <v>1</v>
      </c>
      <c r="D673" t="s">
        <v>30</v>
      </c>
      <c r="E673" t="s">
        <v>13</v>
      </c>
      <c r="F673" t="str">
        <f t="shared" si="30"/>
        <v>Male</v>
      </c>
      <c r="G673">
        <v>31</v>
      </c>
      <c r="H673">
        <v>1</v>
      </c>
      <c r="I673">
        <v>0</v>
      </c>
      <c r="J673">
        <v>52</v>
      </c>
      <c r="K673" t="s">
        <v>19</v>
      </c>
      <c r="L673" t="s">
        <v>15</v>
      </c>
      <c r="M673" t="str">
        <f t="shared" si="31"/>
        <v>Man</v>
      </c>
      <c r="N673" t="b">
        <v>1</v>
      </c>
      <c r="O673" t="s">
        <v>16</v>
      </c>
      <c r="P673" t="s">
        <v>17</v>
      </c>
      <c r="Q673" t="str">
        <f t="shared" si="32"/>
        <v>No</v>
      </c>
      <c r="R673" t="b">
        <v>0</v>
      </c>
    </row>
    <row r="674" spans="1:18" x14ac:dyDescent="0.3">
      <c r="A674">
        <v>0</v>
      </c>
      <c r="B674" t="s">
        <v>26</v>
      </c>
      <c r="C674">
        <v>2</v>
      </c>
      <c r="D674" t="s">
        <v>31</v>
      </c>
      <c r="E674" t="s">
        <v>13</v>
      </c>
      <c r="F674" t="str">
        <f t="shared" si="30"/>
        <v>Male</v>
      </c>
      <c r="G674">
        <v>70</v>
      </c>
      <c r="H674">
        <v>0</v>
      </c>
      <c r="I674">
        <v>0</v>
      </c>
      <c r="J674">
        <v>10.5</v>
      </c>
      <c r="K674" t="s">
        <v>25</v>
      </c>
      <c r="L674" t="s">
        <v>15</v>
      </c>
      <c r="M674" t="str">
        <f t="shared" si="31"/>
        <v>Man</v>
      </c>
      <c r="N674" t="b">
        <v>1</v>
      </c>
      <c r="O674" t="s">
        <v>16</v>
      </c>
      <c r="P674" t="s">
        <v>17</v>
      </c>
      <c r="Q674" t="str">
        <f t="shared" si="32"/>
        <v>No</v>
      </c>
      <c r="R674" t="b">
        <v>1</v>
      </c>
    </row>
    <row r="675" spans="1:18" x14ac:dyDescent="0.3">
      <c r="A675">
        <v>1</v>
      </c>
      <c r="B675" t="s">
        <v>27</v>
      </c>
      <c r="C675">
        <v>2</v>
      </c>
      <c r="D675" t="s">
        <v>31</v>
      </c>
      <c r="E675" t="s">
        <v>13</v>
      </c>
      <c r="F675" t="str">
        <f t="shared" si="30"/>
        <v>Male</v>
      </c>
      <c r="G675">
        <v>31</v>
      </c>
      <c r="H675">
        <v>0</v>
      </c>
      <c r="I675">
        <v>0</v>
      </c>
      <c r="J675">
        <v>13</v>
      </c>
      <c r="K675" t="s">
        <v>25</v>
      </c>
      <c r="L675" t="s">
        <v>15</v>
      </c>
      <c r="M675" t="str">
        <f t="shared" si="31"/>
        <v>Man</v>
      </c>
      <c r="N675" t="b">
        <v>1</v>
      </c>
      <c r="O675" t="s">
        <v>16</v>
      </c>
      <c r="P675" t="s">
        <v>22</v>
      </c>
      <c r="Q675" t="str">
        <f t="shared" si="32"/>
        <v>Yes</v>
      </c>
      <c r="R675" t="b">
        <v>1</v>
      </c>
    </row>
    <row r="676" spans="1:18" x14ac:dyDescent="0.3">
      <c r="A676">
        <v>0</v>
      </c>
      <c r="B676" t="s">
        <v>26</v>
      </c>
      <c r="C676">
        <v>2</v>
      </c>
      <c r="D676" t="s">
        <v>31</v>
      </c>
      <c r="E676" t="s">
        <v>13</v>
      </c>
      <c r="F676" t="str">
        <f t="shared" si="30"/>
        <v>Male</v>
      </c>
      <c r="G676">
        <v>30</v>
      </c>
      <c r="H676">
        <v>0</v>
      </c>
      <c r="I676">
        <v>0</v>
      </c>
      <c r="J676">
        <v>0</v>
      </c>
      <c r="K676" t="s">
        <v>25</v>
      </c>
      <c r="L676" t="s">
        <v>15</v>
      </c>
      <c r="M676" t="str">
        <f t="shared" si="31"/>
        <v>Man</v>
      </c>
      <c r="N676" t="b">
        <v>1</v>
      </c>
      <c r="O676" t="s">
        <v>16</v>
      </c>
      <c r="P676" t="s">
        <v>17</v>
      </c>
      <c r="Q676" t="str">
        <f t="shared" si="32"/>
        <v>No</v>
      </c>
      <c r="R676" t="b">
        <v>1</v>
      </c>
    </row>
    <row r="677" spans="1:18" x14ac:dyDescent="0.3">
      <c r="A677">
        <v>0</v>
      </c>
      <c r="B677" t="s">
        <v>26</v>
      </c>
      <c r="C677">
        <v>3</v>
      </c>
      <c r="D677" t="s">
        <v>32</v>
      </c>
      <c r="E677" t="s">
        <v>13</v>
      </c>
      <c r="F677" t="str">
        <f t="shared" si="30"/>
        <v>Male</v>
      </c>
      <c r="G677">
        <v>18</v>
      </c>
      <c r="H677">
        <v>0</v>
      </c>
      <c r="I677">
        <v>0</v>
      </c>
      <c r="J677">
        <v>7.7750000000000004</v>
      </c>
      <c r="K677" t="s">
        <v>14</v>
      </c>
      <c r="L677" t="s">
        <v>15</v>
      </c>
      <c r="M677" t="str">
        <f t="shared" si="31"/>
        <v>Man</v>
      </c>
      <c r="N677" t="b">
        <v>1</v>
      </c>
      <c r="O677" t="s">
        <v>16</v>
      </c>
      <c r="P677" t="s">
        <v>17</v>
      </c>
      <c r="Q677" t="str">
        <f t="shared" si="32"/>
        <v>No</v>
      </c>
      <c r="R677" t="b">
        <v>1</v>
      </c>
    </row>
    <row r="678" spans="1:18" x14ac:dyDescent="0.3">
      <c r="A678">
        <v>0</v>
      </c>
      <c r="B678" t="s">
        <v>26</v>
      </c>
      <c r="C678">
        <v>3</v>
      </c>
      <c r="D678" t="s">
        <v>32</v>
      </c>
      <c r="E678" t="s">
        <v>13</v>
      </c>
      <c r="F678" t="str">
        <f t="shared" si="30"/>
        <v>Male</v>
      </c>
      <c r="G678">
        <v>24.5</v>
      </c>
      <c r="H678">
        <v>0</v>
      </c>
      <c r="I678">
        <v>0</v>
      </c>
      <c r="J678">
        <v>8.0500000000000007</v>
      </c>
      <c r="K678" t="s">
        <v>14</v>
      </c>
      <c r="L678" t="s">
        <v>15</v>
      </c>
      <c r="M678" t="str">
        <f t="shared" si="31"/>
        <v>Man</v>
      </c>
      <c r="N678" t="b">
        <v>1</v>
      </c>
      <c r="O678" t="s">
        <v>16</v>
      </c>
      <c r="P678" t="s">
        <v>17</v>
      </c>
      <c r="Q678" t="str">
        <f t="shared" si="32"/>
        <v>No</v>
      </c>
      <c r="R678" t="b">
        <v>1</v>
      </c>
    </row>
    <row r="679" spans="1:18" x14ac:dyDescent="0.3">
      <c r="A679">
        <v>1</v>
      </c>
      <c r="B679" t="s">
        <v>27</v>
      </c>
      <c r="C679">
        <v>3</v>
      </c>
      <c r="D679" t="s">
        <v>32</v>
      </c>
      <c r="E679" t="s">
        <v>18</v>
      </c>
      <c r="F679" t="str">
        <f t="shared" si="30"/>
        <v>Female</v>
      </c>
      <c r="G679">
        <v>18</v>
      </c>
      <c r="H679">
        <v>0</v>
      </c>
      <c r="I679">
        <v>0</v>
      </c>
      <c r="J679">
        <v>9.8416999999999994</v>
      </c>
      <c r="K679" t="s">
        <v>14</v>
      </c>
      <c r="L679" t="s">
        <v>20</v>
      </c>
      <c r="M679" t="str">
        <f t="shared" si="31"/>
        <v>Woman</v>
      </c>
      <c r="N679" t="b">
        <v>0</v>
      </c>
      <c r="O679" t="s">
        <v>16</v>
      </c>
      <c r="P679" t="s">
        <v>22</v>
      </c>
      <c r="Q679" t="str">
        <f t="shared" si="32"/>
        <v>Yes</v>
      </c>
      <c r="R679" t="b">
        <v>1</v>
      </c>
    </row>
    <row r="680" spans="1:18" x14ac:dyDescent="0.3">
      <c r="A680">
        <v>0</v>
      </c>
      <c r="B680" t="s">
        <v>26</v>
      </c>
      <c r="C680">
        <v>3</v>
      </c>
      <c r="D680" t="s">
        <v>32</v>
      </c>
      <c r="E680" t="s">
        <v>18</v>
      </c>
      <c r="F680" t="str">
        <f t="shared" si="30"/>
        <v>Female</v>
      </c>
      <c r="G680">
        <v>43</v>
      </c>
      <c r="H680">
        <v>1</v>
      </c>
      <c r="I680">
        <v>6</v>
      </c>
      <c r="J680">
        <v>46.9</v>
      </c>
      <c r="K680" t="s">
        <v>14</v>
      </c>
      <c r="L680" t="s">
        <v>20</v>
      </c>
      <c r="M680" t="str">
        <f t="shared" si="31"/>
        <v>Woman</v>
      </c>
      <c r="N680" t="b">
        <v>0</v>
      </c>
      <c r="O680" t="s">
        <v>16</v>
      </c>
      <c r="P680" t="s">
        <v>17</v>
      </c>
      <c r="Q680" t="str">
        <f t="shared" si="32"/>
        <v>No</v>
      </c>
      <c r="R680" t="b">
        <v>0</v>
      </c>
    </row>
    <row r="681" spans="1:18" x14ac:dyDescent="0.3">
      <c r="A681">
        <v>1</v>
      </c>
      <c r="B681" t="s">
        <v>27</v>
      </c>
      <c r="C681">
        <v>1</v>
      </c>
      <c r="D681" t="s">
        <v>30</v>
      </c>
      <c r="E681" t="s">
        <v>13</v>
      </c>
      <c r="F681" t="str">
        <f t="shared" si="30"/>
        <v>Male</v>
      </c>
      <c r="G681">
        <v>36</v>
      </c>
      <c r="H681">
        <v>0</v>
      </c>
      <c r="I681">
        <v>1</v>
      </c>
      <c r="J681">
        <v>512.32920000000001</v>
      </c>
      <c r="K681" t="s">
        <v>19</v>
      </c>
      <c r="L681" t="s">
        <v>15</v>
      </c>
      <c r="M681" t="str">
        <f t="shared" si="31"/>
        <v>Man</v>
      </c>
      <c r="N681" t="b">
        <v>1</v>
      </c>
      <c r="O681" t="s">
        <v>21</v>
      </c>
      <c r="P681" t="s">
        <v>22</v>
      </c>
      <c r="Q681" t="str">
        <f t="shared" si="32"/>
        <v>Yes</v>
      </c>
      <c r="R681" t="b">
        <v>0</v>
      </c>
    </row>
    <row r="682" spans="1:18" x14ac:dyDescent="0.3">
      <c r="A682">
        <v>0</v>
      </c>
      <c r="B682" t="s">
        <v>26</v>
      </c>
      <c r="C682">
        <v>3</v>
      </c>
      <c r="D682" t="s">
        <v>32</v>
      </c>
      <c r="E682" t="s">
        <v>18</v>
      </c>
      <c r="F682" t="str">
        <f t="shared" si="30"/>
        <v>Female</v>
      </c>
      <c r="G682">
        <v>30</v>
      </c>
      <c r="H682">
        <v>0</v>
      </c>
      <c r="I682">
        <v>0</v>
      </c>
      <c r="J682">
        <v>8.1374999999999993</v>
      </c>
      <c r="K682" t="s">
        <v>14</v>
      </c>
      <c r="L682" t="s">
        <v>20</v>
      </c>
      <c r="M682" t="str">
        <f t="shared" si="31"/>
        <v>Woman</v>
      </c>
      <c r="N682" t="b">
        <v>0</v>
      </c>
      <c r="O682" t="s">
        <v>23</v>
      </c>
      <c r="P682" t="s">
        <v>17</v>
      </c>
      <c r="Q682" t="str">
        <f t="shared" si="32"/>
        <v>No</v>
      </c>
      <c r="R682" t="b">
        <v>1</v>
      </c>
    </row>
    <row r="683" spans="1:18" x14ac:dyDescent="0.3">
      <c r="A683">
        <v>1</v>
      </c>
      <c r="B683" t="s">
        <v>27</v>
      </c>
      <c r="C683">
        <v>1</v>
      </c>
      <c r="D683" t="s">
        <v>30</v>
      </c>
      <c r="E683" t="s">
        <v>13</v>
      </c>
      <c r="F683" t="str">
        <f t="shared" si="30"/>
        <v>Male</v>
      </c>
      <c r="G683">
        <v>27</v>
      </c>
      <c r="H683">
        <v>0</v>
      </c>
      <c r="I683">
        <v>0</v>
      </c>
      <c r="J683">
        <v>76.729200000000006</v>
      </c>
      <c r="K683" t="s">
        <v>19</v>
      </c>
      <c r="L683" t="s">
        <v>15</v>
      </c>
      <c r="M683" t="str">
        <f t="shared" si="31"/>
        <v>Man</v>
      </c>
      <c r="N683" t="b">
        <v>1</v>
      </c>
      <c r="O683" t="s">
        <v>21</v>
      </c>
      <c r="P683" t="s">
        <v>22</v>
      </c>
      <c r="Q683" t="str">
        <f t="shared" si="32"/>
        <v>Yes</v>
      </c>
      <c r="R683" t="b">
        <v>1</v>
      </c>
    </row>
    <row r="684" spans="1:18" x14ac:dyDescent="0.3">
      <c r="A684">
        <v>0</v>
      </c>
      <c r="B684" t="s">
        <v>26</v>
      </c>
      <c r="C684">
        <v>3</v>
      </c>
      <c r="D684" t="s">
        <v>32</v>
      </c>
      <c r="E684" t="s">
        <v>13</v>
      </c>
      <c r="F684" t="str">
        <f t="shared" si="30"/>
        <v>Male</v>
      </c>
      <c r="G684">
        <v>20</v>
      </c>
      <c r="H684">
        <v>0</v>
      </c>
      <c r="I684">
        <v>0</v>
      </c>
      <c r="J684">
        <v>9.2249999999999996</v>
      </c>
      <c r="K684" t="s">
        <v>14</v>
      </c>
      <c r="L684" t="s">
        <v>15</v>
      </c>
      <c r="M684" t="str">
        <f t="shared" si="31"/>
        <v>Man</v>
      </c>
      <c r="N684" t="b">
        <v>1</v>
      </c>
      <c r="O684" t="s">
        <v>16</v>
      </c>
      <c r="P684" t="s">
        <v>17</v>
      </c>
      <c r="Q684" t="str">
        <f t="shared" si="32"/>
        <v>No</v>
      </c>
      <c r="R684" t="b">
        <v>1</v>
      </c>
    </row>
    <row r="685" spans="1:18" x14ac:dyDescent="0.3">
      <c r="A685">
        <v>0</v>
      </c>
      <c r="B685" t="s">
        <v>26</v>
      </c>
      <c r="C685">
        <v>3</v>
      </c>
      <c r="D685" t="s">
        <v>32</v>
      </c>
      <c r="E685" t="s">
        <v>13</v>
      </c>
      <c r="F685" t="str">
        <f t="shared" si="30"/>
        <v>Male</v>
      </c>
      <c r="G685">
        <v>14</v>
      </c>
      <c r="H685">
        <v>5</v>
      </c>
      <c r="I685">
        <v>2</v>
      </c>
      <c r="J685">
        <v>46.9</v>
      </c>
      <c r="K685" t="s">
        <v>14</v>
      </c>
      <c r="L685" t="s">
        <v>24</v>
      </c>
      <c r="M685" t="str">
        <f t="shared" si="31"/>
        <v>Child</v>
      </c>
      <c r="N685" t="b">
        <v>0</v>
      </c>
      <c r="O685" t="s">
        <v>16</v>
      </c>
      <c r="P685" t="s">
        <v>17</v>
      </c>
      <c r="Q685" t="str">
        <f t="shared" si="32"/>
        <v>No</v>
      </c>
      <c r="R685" t="b">
        <v>0</v>
      </c>
    </row>
    <row r="686" spans="1:18" x14ac:dyDescent="0.3">
      <c r="A686">
        <v>0</v>
      </c>
      <c r="B686" t="s">
        <v>26</v>
      </c>
      <c r="C686">
        <v>2</v>
      </c>
      <c r="D686" t="s">
        <v>31</v>
      </c>
      <c r="E686" t="s">
        <v>13</v>
      </c>
      <c r="F686" t="str">
        <f t="shared" si="30"/>
        <v>Male</v>
      </c>
      <c r="G686">
        <v>60</v>
      </c>
      <c r="H686">
        <v>1</v>
      </c>
      <c r="I686">
        <v>1</v>
      </c>
      <c r="J686">
        <v>39</v>
      </c>
      <c r="K686" t="s">
        <v>25</v>
      </c>
      <c r="L686" t="s">
        <v>15</v>
      </c>
      <c r="M686" t="str">
        <f t="shared" si="31"/>
        <v>Man</v>
      </c>
      <c r="N686" t="b">
        <v>1</v>
      </c>
      <c r="O686" t="s">
        <v>16</v>
      </c>
      <c r="P686" t="s">
        <v>17</v>
      </c>
      <c r="Q686" t="str">
        <f t="shared" si="32"/>
        <v>No</v>
      </c>
      <c r="R686" t="b">
        <v>0</v>
      </c>
    </row>
    <row r="687" spans="1:18" x14ac:dyDescent="0.3">
      <c r="A687">
        <v>0</v>
      </c>
      <c r="B687" t="s">
        <v>26</v>
      </c>
      <c r="C687">
        <v>2</v>
      </c>
      <c r="D687" t="s">
        <v>31</v>
      </c>
      <c r="E687" t="s">
        <v>13</v>
      </c>
      <c r="F687" t="str">
        <f t="shared" si="30"/>
        <v>Male</v>
      </c>
      <c r="G687">
        <v>25</v>
      </c>
      <c r="H687">
        <v>1</v>
      </c>
      <c r="I687">
        <v>2</v>
      </c>
      <c r="J687">
        <v>41.5792</v>
      </c>
      <c r="K687" t="s">
        <v>25</v>
      </c>
      <c r="L687" t="s">
        <v>15</v>
      </c>
      <c r="M687" t="str">
        <f t="shared" si="31"/>
        <v>Man</v>
      </c>
      <c r="N687" t="b">
        <v>1</v>
      </c>
      <c r="O687" t="s">
        <v>21</v>
      </c>
      <c r="P687" t="s">
        <v>17</v>
      </c>
      <c r="Q687" t="str">
        <f t="shared" si="32"/>
        <v>No</v>
      </c>
      <c r="R687" t="b">
        <v>0</v>
      </c>
    </row>
    <row r="688" spans="1:18" x14ac:dyDescent="0.3">
      <c r="A688">
        <v>0</v>
      </c>
      <c r="B688" t="s">
        <v>26</v>
      </c>
      <c r="C688">
        <v>3</v>
      </c>
      <c r="D688" t="s">
        <v>32</v>
      </c>
      <c r="E688" t="s">
        <v>13</v>
      </c>
      <c r="F688" t="str">
        <f t="shared" si="30"/>
        <v>Male</v>
      </c>
      <c r="G688">
        <v>14</v>
      </c>
      <c r="H688">
        <v>4</v>
      </c>
      <c r="I688">
        <v>1</v>
      </c>
      <c r="J688">
        <v>39.6875</v>
      </c>
      <c r="K688" t="s">
        <v>14</v>
      </c>
      <c r="L688" t="s">
        <v>24</v>
      </c>
      <c r="M688" t="str">
        <f t="shared" si="31"/>
        <v>Child</v>
      </c>
      <c r="N688" t="b">
        <v>0</v>
      </c>
      <c r="O688" t="s">
        <v>16</v>
      </c>
      <c r="P688" t="s">
        <v>17</v>
      </c>
      <c r="Q688" t="str">
        <f t="shared" si="32"/>
        <v>No</v>
      </c>
      <c r="R688" t="b">
        <v>0</v>
      </c>
    </row>
    <row r="689" spans="1:18" x14ac:dyDescent="0.3">
      <c r="A689">
        <v>0</v>
      </c>
      <c r="B689" t="s">
        <v>26</v>
      </c>
      <c r="C689">
        <v>3</v>
      </c>
      <c r="D689" t="s">
        <v>32</v>
      </c>
      <c r="E689" t="s">
        <v>13</v>
      </c>
      <c r="F689" t="str">
        <f t="shared" si="30"/>
        <v>Male</v>
      </c>
      <c r="G689">
        <v>19</v>
      </c>
      <c r="H689">
        <v>0</v>
      </c>
      <c r="I689">
        <v>0</v>
      </c>
      <c r="J689">
        <v>10.1708</v>
      </c>
      <c r="K689" t="s">
        <v>14</v>
      </c>
      <c r="L689" t="s">
        <v>15</v>
      </c>
      <c r="M689" t="str">
        <f t="shared" si="31"/>
        <v>Man</v>
      </c>
      <c r="N689" t="b">
        <v>1</v>
      </c>
      <c r="O689" t="s">
        <v>16</v>
      </c>
      <c r="P689" t="s">
        <v>17</v>
      </c>
      <c r="Q689" t="str">
        <f t="shared" si="32"/>
        <v>No</v>
      </c>
      <c r="R689" t="b">
        <v>1</v>
      </c>
    </row>
    <row r="690" spans="1:18" x14ac:dyDescent="0.3">
      <c r="A690">
        <v>0</v>
      </c>
      <c r="B690" t="s">
        <v>26</v>
      </c>
      <c r="C690">
        <v>3</v>
      </c>
      <c r="D690" t="s">
        <v>32</v>
      </c>
      <c r="E690" t="s">
        <v>13</v>
      </c>
      <c r="F690" t="str">
        <f t="shared" si="30"/>
        <v>Male</v>
      </c>
      <c r="G690">
        <v>18</v>
      </c>
      <c r="H690">
        <v>0</v>
      </c>
      <c r="I690">
        <v>0</v>
      </c>
      <c r="J690">
        <v>7.7957999999999998</v>
      </c>
      <c r="K690" t="s">
        <v>14</v>
      </c>
      <c r="L690" t="s">
        <v>15</v>
      </c>
      <c r="M690" t="str">
        <f t="shared" si="31"/>
        <v>Man</v>
      </c>
      <c r="N690" t="b">
        <v>1</v>
      </c>
      <c r="O690" t="s">
        <v>16</v>
      </c>
      <c r="P690" t="s">
        <v>17</v>
      </c>
      <c r="Q690" t="str">
        <f t="shared" si="32"/>
        <v>No</v>
      </c>
      <c r="R690" t="b">
        <v>1</v>
      </c>
    </row>
    <row r="691" spans="1:18" x14ac:dyDescent="0.3">
      <c r="A691">
        <v>1</v>
      </c>
      <c r="B691" t="s">
        <v>27</v>
      </c>
      <c r="C691">
        <v>1</v>
      </c>
      <c r="D691" t="s">
        <v>30</v>
      </c>
      <c r="E691" t="s">
        <v>18</v>
      </c>
      <c r="F691" t="str">
        <f t="shared" si="30"/>
        <v>Female</v>
      </c>
      <c r="G691">
        <v>15</v>
      </c>
      <c r="H691">
        <v>0</v>
      </c>
      <c r="I691">
        <v>1</v>
      </c>
      <c r="J691">
        <v>211.33750000000001</v>
      </c>
      <c r="K691" t="s">
        <v>19</v>
      </c>
      <c r="L691" t="s">
        <v>24</v>
      </c>
      <c r="M691" t="str">
        <f t="shared" si="31"/>
        <v>Child</v>
      </c>
      <c r="N691" t="b">
        <v>0</v>
      </c>
      <c r="O691" t="s">
        <v>16</v>
      </c>
      <c r="P691" t="s">
        <v>22</v>
      </c>
      <c r="Q691" t="str">
        <f t="shared" si="32"/>
        <v>Yes</v>
      </c>
      <c r="R691" t="b">
        <v>0</v>
      </c>
    </row>
    <row r="692" spans="1:18" x14ac:dyDescent="0.3">
      <c r="A692">
        <v>1</v>
      </c>
      <c r="B692" t="s">
        <v>27</v>
      </c>
      <c r="C692">
        <v>1</v>
      </c>
      <c r="D692" t="s">
        <v>30</v>
      </c>
      <c r="E692" t="s">
        <v>13</v>
      </c>
      <c r="F692" t="str">
        <f t="shared" si="30"/>
        <v>Male</v>
      </c>
      <c r="G692">
        <v>31</v>
      </c>
      <c r="H692">
        <v>1</v>
      </c>
      <c r="I692">
        <v>0</v>
      </c>
      <c r="J692">
        <v>57</v>
      </c>
      <c r="K692" t="s">
        <v>19</v>
      </c>
      <c r="L692" t="s">
        <v>15</v>
      </c>
      <c r="M692" t="str">
        <f t="shared" si="31"/>
        <v>Man</v>
      </c>
      <c r="N692" t="b">
        <v>1</v>
      </c>
      <c r="O692" t="s">
        <v>16</v>
      </c>
      <c r="P692" t="s">
        <v>22</v>
      </c>
      <c r="Q692" t="str">
        <f t="shared" si="32"/>
        <v>Yes</v>
      </c>
      <c r="R692" t="b">
        <v>0</v>
      </c>
    </row>
    <row r="693" spans="1:18" x14ac:dyDescent="0.3">
      <c r="A693">
        <v>1</v>
      </c>
      <c r="B693" t="s">
        <v>27</v>
      </c>
      <c r="C693">
        <v>3</v>
      </c>
      <c r="D693" t="s">
        <v>32</v>
      </c>
      <c r="E693" t="s">
        <v>18</v>
      </c>
      <c r="F693" t="str">
        <f t="shared" si="30"/>
        <v>Female</v>
      </c>
      <c r="G693">
        <v>4</v>
      </c>
      <c r="H693">
        <v>0</v>
      </c>
      <c r="I693">
        <v>1</v>
      </c>
      <c r="J693">
        <v>13.416700000000001</v>
      </c>
      <c r="K693" t="s">
        <v>14</v>
      </c>
      <c r="L693" t="s">
        <v>24</v>
      </c>
      <c r="M693" t="str">
        <f t="shared" si="31"/>
        <v>Child</v>
      </c>
      <c r="N693" t="b">
        <v>0</v>
      </c>
      <c r="O693" t="s">
        <v>21</v>
      </c>
      <c r="P693" t="s">
        <v>22</v>
      </c>
      <c r="Q693" t="str">
        <f t="shared" si="32"/>
        <v>Yes</v>
      </c>
      <c r="R693" t="b">
        <v>0</v>
      </c>
    </row>
    <row r="694" spans="1:18" x14ac:dyDescent="0.3">
      <c r="A694">
        <v>1</v>
      </c>
      <c r="B694" t="s">
        <v>27</v>
      </c>
      <c r="C694">
        <v>3</v>
      </c>
      <c r="D694" t="s">
        <v>32</v>
      </c>
      <c r="E694" t="s">
        <v>13</v>
      </c>
      <c r="F694" t="str">
        <f t="shared" si="30"/>
        <v>Male</v>
      </c>
      <c r="G694">
        <v>30</v>
      </c>
      <c r="H694">
        <v>0</v>
      </c>
      <c r="I694">
        <v>0</v>
      </c>
      <c r="J694">
        <v>56.495800000000003</v>
      </c>
      <c r="K694" t="s">
        <v>14</v>
      </c>
      <c r="L694" t="s">
        <v>15</v>
      </c>
      <c r="M694" t="str">
        <f t="shared" si="31"/>
        <v>Man</v>
      </c>
      <c r="N694" t="b">
        <v>1</v>
      </c>
      <c r="O694" t="s">
        <v>16</v>
      </c>
      <c r="P694" t="s">
        <v>22</v>
      </c>
      <c r="Q694" t="str">
        <f t="shared" si="32"/>
        <v>Yes</v>
      </c>
      <c r="R694" t="b">
        <v>1</v>
      </c>
    </row>
    <row r="695" spans="1:18" x14ac:dyDescent="0.3">
      <c r="A695">
        <v>0</v>
      </c>
      <c r="B695" t="s">
        <v>26</v>
      </c>
      <c r="C695">
        <v>3</v>
      </c>
      <c r="D695" t="s">
        <v>32</v>
      </c>
      <c r="E695" t="s">
        <v>13</v>
      </c>
      <c r="F695" t="str">
        <f t="shared" si="30"/>
        <v>Male</v>
      </c>
      <c r="G695">
        <v>25</v>
      </c>
      <c r="H695">
        <v>0</v>
      </c>
      <c r="I695">
        <v>0</v>
      </c>
      <c r="J695">
        <v>7.2249999999999996</v>
      </c>
      <c r="K695" t="s">
        <v>14</v>
      </c>
      <c r="L695" t="s">
        <v>15</v>
      </c>
      <c r="M695" t="str">
        <f t="shared" si="31"/>
        <v>Man</v>
      </c>
      <c r="N695" t="b">
        <v>1</v>
      </c>
      <c r="O695" t="s">
        <v>21</v>
      </c>
      <c r="P695" t="s">
        <v>17</v>
      </c>
      <c r="Q695" t="str">
        <f t="shared" si="32"/>
        <v>No</v>
      </c>
      <c r="R695" t="b">
        <v>1</v>
      </c>
    </row>
    <row r="696" spans="1:18" x14ac:dyDescent="0.3">
      <c r="A696">
        <v>0</v>
      </c>
      <c r="B696" t="s">
        <v>26</v>
      </c>
      <c r="C696">
        <v>1</v>
      </c>
      <c r="D696" t="s">
        <v>30</v>
      </c>
      <c r="E696" t="s">
        <v>13</v>
      </c>
      <c r="F696" t="str">
        <f t="shared" si="30"/>
        <v>Male</v>
      </c>
      <c r="G696">
        <v>60</v>
      </c>
      <c r="H696">
        <v>0</v>
      </c>
      <c r="I696">
        <v>0</v>
      </c>
      <c r="J696">
        <v>26.55</v>
      </c>
      <c r="K696" t="s">
        <v>19</v>
      </c>
      <c r="L696" t="s">
        <v>15</v>
      </c>
      <c r="M696" t="str">
        <f t="shared" si="31"/>
        <v>Man</v>
      </c>
      <c r="N696" t="b">
        <v>1</v>
      </c>
      <c r="O696" t="s">
        <v>16</v>
      </c>
      <c r="P696" t="s">
        <v>17</v>
      </c>
      <c r="Q696" t="str">
        <f t="shared" si="32"/>
        <v>No</v>
      </c>
      <c r="R696" t="b">
        <v>1</v>
      </c>
    </row>
    <row r="697" spans="1:18" x14ac:dyDescent="0.3">
      <c r="A697">
        <v>0</v>
      </c>
      <c r="B697" t="s">
        <v>26</v>
      </c>
      <c r="C697">
        <v>2</v>
      </c>
      <c r="D697" t="s">
        <v>31</v>
      </c>
      <c r="E697" t="s">
        <v>13</v>
      </c>
      <c r="F697" t="str">
        <f t="shared" si="30"/>
        <v>Male</v>
      </c>
      <c r="G697">
        <v>52</v>
      </c>
      <c r="H697">
        <v>0</v>
      </c>
      <c r="I697">
        <v>0</v>
      </c>
      <c r="J697">
        <v>13.5</v>
      </c>
      <c r="K697" t="s">
        <v>25</v>
      </c>
      <c r="L697" t="s">
        <v>15</v>
      </c>
      <c r="M697" t="str">
        <f t="shared" si="31"/>
        <v>Man</v>
      </c>
      <c r="N697" t="b">
        <v>1</v>
      </c>
      <c r="O697" t="s">
        <v>16</v>
      </c>
      <c r="P697" t="s">
        <v>17</v>
      </c>
      <c r="Q697" t="str">
        <f t="shared" si="32"/>
        <v>No</v>
      </c>
      <c r="R697" t="b">
        <v>1</v>
      </c>
    </row>
    <row r="698" spans="1:18" x14ac:dyDescent="0.3">
      <c r="A698">
        <v>0</v>
      </c>
      <c r="B698" t="s">
        <v>26</v>
      </c>
      <c r="C698">
        <v>3</v>
      </c>
      <c r="D698" t="s">
        <v>32</v>
      </c>
      <c r="E698" t="s">
        <v>13</v>
      </c>
      <c r="F698" t="str">
        <f t="shared" si="30"/>
        <v>Male</v>
      </c>
      <c r="G698">
        <v>44</v>
      </c>
      <c r="H698">
        <v>0</v>
      </c>
      <c r="I698">
        <v>0</v>
      </c>
      <c r="J698">
        <v>8.0500000000000007</v>
      </c>
      <c r="K698" t="s">
        <v>14</v>
      </c>
      <c r="L698" t="s">
        <v>15</v>
      </c>
      <c r="M698" t="str">
        <f t="shared" si="31"/>
        <v>Man</v>
      </c>
      <c r="N698" t="b">
        <v>1</v>
      </c>
      <c r="O698" t="s">
        <v>16</v>
      </c>
      <c r="P698" t="s">
        <v>17</v>
      </c>
      <c r="Q698" t="str">
        <f t="shared" si="32"/>
        <v>No</v>
      </c>
      <c r="R698" t="b">
        <v>1</v>
      </c>
    </row>
    <row r="699" spans="1:18" x14ac:dyDescent="0.3">
      <c r="A699">
        <v>1</v>
      </c>
      <c r="B699" t="s">
        <v>27</v>
      </c>
      <c r="C699">
        <v>3</v>
      </c>
      <c r="D699" t="s">
        <v>32</v>
      </c>
      <c r="E699" t="s">
        <v>18</v>
      </c>
      <c r="F699" t="str">
        <f t="shared" si="30"/>
        <v>Female</v>
      </c>
      <c r="G699">
        <v>30</v>
      </c>
      <c r="H699">
        <v>0</v>
      </c>
      <c r="I699">
        <v>0</v>
      </c>
      <c r="J699">
        <v>7.7332999999999998</v>
      </c>
      <c r="K699" t="s">
        <v>14</v>
      </c>
      <c r="L699" t="s">
        <v>20</v>
      </c>
      <c r="M699" t="str">
        <f t="shared" si="31"/>
        <v>Woman</v>
      </c>
      <c r="N699" t="b">
        <v>0</v>
      </c>
      <c r="O699" t="s">
        <v>23</v>
      </c>
      <c r="P699" t="s">
        <v>22</v>
      </c>
      <c r="Q699" t="str">
        <f t="shared" si="32"/>
        <v>Yes</v>
      </c>
      <c r="R699" t="b">
        <v>1</v>
      </c>
    </row>
    <row r="700" spans="1:18" x14ac:dyDescent="0.3">
      <c r="A700">
        <v>0</v>
      </c>
      <c r="B700" t="s">
        <v>26</v>
      </c>
      <c r="C700">
        <v>1</v>
      </c>
      <c r="D700" t="s">
        <v>30</v>
      </c>
      <c r="E700" t="s">
        <v>13</v>
      </c>
      <c r="F700" t="str">
        <f t="shared" si="30"/>
        <v>Male</v>
      </c>
      <c r="G700">
        <v>49</v>
      </c>
      <c r="H700">
        <v>1</v>
      </c>
      <c r="I700">
        <v>1</v>
      </c>
      <c r="J700">
        <v>110.88330000000001</v>
      </c>
      <c r="K700" t="s">
        <v>19</v>
      </c>
      <c r="L700" t="s">
        <v>15</v>
      </c>
      <c r="M700" t="str">
        <f t="shared" si="31"/>
        <v>Man</v>
      </c>
      <c r="N700" t="b">
        <v>1</v>
      </c>
      <c r="O700" t="s">
        <v>21</v>
      </c>
      <c r="P700" t="s">
        <v>17</v>
      </c>
      <c r="Q700" t="str">
        <f t="shared" si="32"/>
        <v>No</v>
      </c>
      <c r="R700" t="b">
        <v>0</v>
      </c>
    </row>
    <row r="701" spans="1:18" x14ac:dyDescent="0.3">
      <c r="A701">
        <v>0</v>
      </c>
      <c r="B701" t="s">
        <v>26</v>
      </c>
      <c r="C701">
        <v>3</v>
      </c>
      <c r="D701" t="s">
        <v>32</v>
      </c>
      <c r="E701" t="s">
        <v>13</v>
      </c>
      <c r="F701" t="str">
        <f t="shared" si="30"/>
        <v>Male</v>
      </c>
      <c r="G701">
        <v>42</v>
      </c>
      <c r="H701">
        <v>0</v>
      </c>
      <c r="I701">
        <v>0</v>
      </c>
      <c r="J701">
        <v>7.65</v>
      </c>
      <c r="K701" t="s">
        <v>14</v>
      </c>
      <c r="L701" t="s">
        <v>15</v>
      </c>
      <c r="M701" t="str">
        <f t="shared" si="31"/>
        <v>Man</v>
      </c>
      <c r="N701" t="b">
        <v>1</v>
      </c>
      <c r="O701" t="s">
        <v>16</v>
      </c>
      <c r="P701" t="s">
        <v>17</v>
      </c>
      <c r="Q701" t="str">
        <f t="shared" si="32"/>
        <v>No</v>
      </c>
      <c r="R701" t="b">
        <v>1</v>
      </c>
    </row>
    <row r="702" spans="1:18" x14ac:dyDescent="0.3">
      <c r="A702">
        <v>1</v>
      </c>
      <c r="B702" t="s">
        <v>27</v>
      </c>
      <c r="C702">
        <v>1</v>
      </c>
      <c r="D702" t="s">
        <v>30</v>
      </c>
      <c r="E702" t="s">
        <v>18</v>
      </c>
      <c r="F702" t="str">
        <f t="shared" si="30"/>
        <v>Female</v>
      </c>
      <c r="G702">
        <v>18</v>
      </c>
      <c r="H702">
        <v>1</v>
      </c>
      <c r="I702">
        <v>0</v>
      </c>
      <c r="J702">
        <v>227.52500000000001</v>
      </c>
      <c r="K702" t="s">
        <v>19</v>
      </c>
      <c r="L702" t="s">
        <v>20</v>
      </c>
      <c r="M702" t="str">
        <f t="shared" si="31"/>
        <v>Woman</v>
      </c>
      <c r="N702" t="b">
        <v>0</v>
      </c>
      <c r="O702" t="s">
        <v>21</v>
      </c>
      <c r="P702" t="s">
        <v>22</v>
      </c>
      <c r="Q702" t="str">
        <f t="shared" si="32"/>
        <v>Yes</v>
      </c>
      <c r="R702" t="b">
        <v>0</v>
      </c>
    </row>
    <row r="703" spans="1:18" x14ac:dyDescent="0.3">
      <c r="A703">
        <v>1</v>
      </c>
      <c r="B703" t="s">
        <v>27</v>
      </c>
      <c r="C703">
        <v>1</v>
      </c>
      <c r="D703" t="s">
        <v>30</v>
      </c>
      <c r="E703" t="s">
        <v>13</v>
      </c>
      <c r="F703" t="str">
        <f t="shared" si="30"/>
        <v>Male</v>
      </c>
      <c r="G703">
        <v>35</v>
      </c>
      <c r="H703">
        <v>0</v>
      </c>
      <c r="I703">
        <v>0</v>
      </c>
      <c r="J703">
        <v>26.287500000000001</v>
      </c>
      <c r="K703" t="s">
        <v>19</v>
      </c>
      <c r="L703" t="s">
        <v>15</v>
      </c>
      <c r="M703" t="str">
        <f t="shared" si="31"/>
        <v>Man</v>
      </c>
      <c r="N703" t="b">
        <v>1</v>
      </c>
      <c r="O703" t="s">
        <v>16</v>
      </c>
      <c r="P703" t="s">
        <v>22</v>
      </c>
      <c r="Q703" t="str">
        <f t="shared" si="32"/>
        <v>Yes</v>
      </c>
      <c r="R703" t="b">
        <v>1</v>
      </c>
    </row>
    <row r="704" spans="1:18" x14ac:dyDescent="0.3">
      <c r="A704">
        <v>0</v>
      </c>
      <c r="B704" t="s">
        <v>26</v>
      </c>
      <c r="C704">
        <v>3</v>
      </c>
      <c r="D704" t="s">
        <v>32</v>
      </c>
      <c r="E704" t="s">
        <v>18</v>
      </c>
      <c r="F704" t="str">
        <f t="shared" si="30"/>
        <v>Female</v>
      </c>
      <c r="G704">
        <v>18</v>
      </c>
      <c r="H704">
        <v>0</v>
      </c>
      <c r="I704">
        <v>1</v>
      </c>
      <c r="J704">
        <v>14.4542</v>
      </c>
      <c r="K704" t="s">
        <v>14</v>
      </c>
      <c r="L704" t="s">
        <v>20</v>
      </c>
      <c r="M704" t="str">
        <f t="shared" si="31"/>
        <v>Woman</v>
      </c>
      <c r="N704" t="b">
        <v>0</v>
      </c>
      <c r="O704" t="s">
        <v>21</v>
      </c>
      <c r="P704" t="s">
        <v>17</v>
      </c>
      <c r="Q704" t="str">
        <f t="shared" si="32"/>
        <v>No</v>
      </c>
      <c r="R704" t="b">
        <v>0</v>
      </c>
    </row>
    <row r="705" spans="1:18" x14ac:dyDescent="0.3">
      <c r="A705">
        <v>0</v>
      </c>
      <c r="B705" t="s">
        <v>26</v>
      </c>
      <c r="C705">
        <v>3</v>
      </c>
      <c r="D705" t="s">
        <v>32</v>
      </c>
      <c r="E705" t="s">
        <v>13</v>
      </c>
      <c r="F705" t="str">
        <f t="shared" si="30"/>
        <v>Male</v>
      </c>
      <c r="G705">
        <v>25</v>
      </c>
      <c r="H705">
        <v>0</v>
      </c>
      <c r="I705">
        <v>0</v>
      </c>
      <c r="J705">
        <v>7.7416999999999998</v>
      </c>
      <c r="K705" t="s">
        <v>14</v>
      </c>
      <c r="L705" t="s">
        <v>15</v>
      </c>
      <c r="M705" t="str">
        <f t="shared" si="31"/>
        <v>Man</v>
      </c>
      <c r="N705" t="b">
        <v>1</v>
      </c>
      <c r="O705" t="s">
        <v>23</v>
      </c>
      <c r="P705" t="s">
        <v>17</v>
      </c>
      <c r="Q705" t="str">
        <f t="shared" si="32"/>
        <v>No</v>
      </c>
      <c r="R705" t="b">
        <v>1</v>
      </c>
    </row>
    <row r="706" spans="1:18" x14ac:dyDescent="0.3">
      <c r="A706">
        <v>0</v>
      </c>
      <c r="B706" t="s">
        <v>26</v>
      </c>
      <c r="C706">
        <v>3</v>
      </c>
      <c r="D706" t="s">
        <v>32</v>
      </c>
      <c r="E706" t="s">
        <v>13</v>
      </c>
      <c r="F706" t="str">
        <f t="shared" si="30"/>
        <v>Male</v>
      </c>
      <c r="G706">
        <v>26</v>
      </c>
      <c r="H706">
        <v>1</v>
      </c>
      <c r="I706">
        <v>0</v>
      </c>
      <c r="J706">
        <v>7.8541999999999996</v>
      </c>
      <c r="K706" t="s">
        <v>14</v>
      </c>
      <c r="L706" t="s">
        <v>15</v>
      </c>
      <c r="M706" t="str">
        <f t="shared" si="31"/>
        <v>Man</v>
      </c>
      <c r="N706" t="b">
        <v>1</v>
      </c>
      <c r="O706" t="s">
        <v>16</v>
      </c>
      <c r="P706" t="s">
        <v>17</v>
      </c>
      <c r="Q706" t="str">
        <f t="shared" si="32"/>
        <v>No</v>
      </c>
      <c r="R706" t="b">
        <v>0</v>
      </c>
    </row>
    <row r="707" spans="1:18" x14ac:dyDescent="0.3">
      <c r="A707">
        <v>0</v>
      </c>
      <c r="B707" t="s">
        <v>26</v>
      </c>
      <c r="C707">
        <v>2</v>
      </c>
      <c r="D707" t="s">
        <v>31</v>
      </c>
      <c r="E707" t="s">
        <v>13</v>
      </c>
      <c r="F707" t="str">
        <f t="shared" ref="F707:F770" si="33">PROPER(E707)</f>
        <v>Male</v>
      </c>
      <c r="G707">
        <v>39</v>
      </c>
      <c r="H707">
        <v>0</v>
      </c>
      <c r="I707">
        <v>0</v>
      </c>
      <c r="J707">
        <v>26</v>
      </c>
      <c r="K707" t="s">
        <v>25</v>
      </c>
      <c r="L707" t="s">
        <v>15</v>
      </c>
      <c r="M707" t="str">
        <f t="shared" ref="M707:M770" si="34">PROPER(L707)</f>
        <v>Man</v>
      </c>
      <c r="N707" t="b">
        <v>1</v>
      </c>
      <c r="O707" t="s">
        <v>16</v>
      </c>
      <c r="P707" t="s">
        <v>17</v>
      </c>
      <c r="Q707" t="str">
        <f t="shared" ref="Q707:Q770" si="35">PROPER(P707)</f>
        <v>No</v>
      </c>
      <c r="R707" t="b">
        <v>1</v>
      </c>
    </row>
    <row r="708" spans="1:18" x14ac:dyDescent="0.3">
      <c r="A708">
        <v>1</v>
      </c>
      <c r="B708" t="s">
        <v>27</v>
      </c>
      <c r="C708">
        <v>2</v>
      </c>
      <c r="D708" t="s">
        <v>31</v>
      </c>
      <c r="E708" t="s">
        <v>18</v>
      </c>
      <c r="F708" t="str">
        <f t="shared" si="33"/>
        <v>Female</v>
      </c>
      <c r="G708">
        <v>45</v>
      </c>
      <c r="H708">
        <v>0</v>
      </c>
      <c r="I708">
        <v>0</v>
      </c>
      <c r="J708">
        <v>13.5</v>
      </c>
      <c r="K708" t="s">
        <v>25</v>
      </c>
      <c r="L708" t="s">
        <v>20</v>
      </c>
      <c r="M708" t="str">
        <f t="shared" si="34"/>
        <v>Woman</v>
      </c>
      <c r="N708" t="b">
        <v>0</v>
      </c>
      <c r="O708" t="s">
        <v>16</v>
      </c>
      <c r="P708" t="s">
        <v>22</v>
      </c>
      <c r="Q708" t="str">
        <f t="shared" si="35"/>
        <v>Yes</v>
      </c>
      <c r="R708" t="b">
        <v>1</v>
      </c>
    </row>
    <row r="709" spans="1:18" x14ac:dyDescent="0.3">
      <c r="A709">
        <v>1</v>
      </c>
      <c r="B709" t="s">
        <v>27</v>
      </c>
      <c r="C709">
        <v>1</v>
      </c>
      <c r="D709" t="s">
        <v>30</v>
      </c>
      <c r="E709" t="s">
        <v>13</v>
      </c>
      <c r="F709" t="str">
        <f t="shared" si="33"/>
        <v>Male</v>
      </c>
      <c r="G709">
        <v>42</v>
      </c>
      <c r="H709">
        <v>0</v>
      </c>
      <c r="I709">
        <v>0</v>
      </c>
      <c r="J709">
        <v>26.287500000000001</v>
      </c>
      <c r="K709" t="s">
        <v>19</v>
      </c>
      <c r="L709" t="s">
        <v>15</v>
      </c>
      <c r="M709" t="str">
        <f t="shared" si="34"/>
        <v>Man</v>
      </c>
      <c r="N709" t="b">
        <v>1</v>
      </c>
      <c r="O709" t="s">
        <v>16</v>
      </c>
      <c r="P709" t="s">
        <v>22</v>
      </c>
      <c r="Q709" t="str">
        <f t="shared" si="35"/>
        <v>Yes</v>
      </c>
      <c r="R709" t="b">
        <v>1</v>
      </c>
    </row>
    <row r="710" spans="1:18" x14ac:dyDescent="0.3">
      <c r="A710">
        <v>1</v>
      </c>
      <c r="B710" t="s">
        <v>27</v>
      </c>
      <c r="C710">
        <v>1</v>
      </c>
      <c r="D710" t="s">
        <v>30</v>
      </c>
      <c r="E710" t="s">
        <v>18</v>
      </c>
      <c r="F710" t="str">
        <f t="shared" si="33"/>
        <v>Female</v>
      </c>
      <c r="G710">
        <v>22</v>
      </c>
      <c r="H710">
        <v>0</v>
      </c>
      <c r="I710">
        <v>0</v>
      </c>
      <c r="J710">
        <v>151.55000000000001</v>
      </c>
      <c r="K710" t="s">
        <v>19</v>
      </c>
      <c r="L710" t="s">
        <v>20</v>
      </c>
      <c r="M710" t="str">
        <f t="shared" si="34"/>
        <v>Woman</v>
      </c>
      <c r="N710" t="b">
        <v>0</v>
      </c>
      <c r="O710" t="s">
        <v>16</v>
      </c>
      <c r="P710" t="s">
        <v>22</v>
      </c>
      <c r="Q710" t="str">
        <f t="shared" si="35"/>
        <v>Yes</v>
      </c>
      <c r="R710" t="b">
        <v>1</v>
      </c>
    </row>
    <row r="711" spans="1:18" x14ac:dyDescent="0.3">
      <c r="A711">
        <v>1</v>
      </c>
      <c r="B711" t="s">
        <v>27</v>
      </c>
      <c r="C711">
        <v>3</v>
      </c>
      <c r="D711" t="s">
        <v>32</v>
      </c>
      <c r="E711" t="s">
        <v>13</v>
      </c>
      <c r="F711" t="str">
        <f t="shared" si="33"/>
        <v>Male</v>
      </c>
      <c r="G711">
        <v>30</v>
      </c>
      <c r="H711">
        <v>1</v>
      </c>
      <c r="I711">
        <v>1</v>
      </c>
      <c r="J711">
        <v>15.245799999999999</v>
      </c>
      <c r="K711" t="s">
        <v>14</v>
      </c>
      <c r="L711" t="s">
        <v>15</v>
      </c>
      <c r="M711" t="str">
        <f t="shared" si="34"/>
        <v>Man</v>
      </c>
      <c r="N711" t="b">
        <v>1</v>
      </c>
      <c r="O711" t="s">
        <v>21</v>
      </c>
      <c r="P711" t="s">
        <v>22</v>
      </c>
      <c r="Q711" t="str">
        <f t="shared" si="35"/>
        <v>Yes</v>
      </c>
      <c r="R711" t="b">
        <v>0</v>
      </c>
    </row>
    <row r="712" spans="1:18" x14ac:dyDescent="0.3">
      <c r="A712">
        <v>1</v>
      </c>
      <c r="B712" t="s">
        <v>27</v>
      </c>
      <c r="C712">
        <v>1</v>
      </c>
      <c r="D712" t="s">
        <v>30</v>
      </c>
      <c r="E712" t="s">
        <v>18</v>
      </c>
      <c r="F712" t="str">
        <f t="shared" si="33"/>
        <v>Female</v>
      </c>
      <c r="G712">
        <v>24</v>
      </c>
      <c r="H712">
        <v>0</v>
      </c>
      <c r="I712">
        <v>0</v>
      </c>
      <c r="J712">
        <v>49.504199999999997</v>
      </c>
      <c r="K712" t="s">
        <v>19</v>
      </c>
      <c r="L712" t="s">
        <v>20</v>
      </c>
      <c r="M712" t="str">
        <f t="shared" si="34"/>
        <v>Woman</v>
      </c>
      <c r="N712" t="b">
        <v>0</v>
      </c>
      <c r="O712" t="s">
        <v>21</v>
      </c>
      <c r="P712" t="s">
        <v>22</v>
      </c>
      <c r="Q712" t="str">
        <f t="shared" si="35"/>
        <v>Yes</v>
      </c>
      <c r="R712" t="b">
        <v>1</v>
      </c>
    </row>
    <row r="713" spans="1:18" x14ac:dyDescent="0.3">
      <c r="A713">
        <v>0</v>
      </c>
      <c r="B713" t="s">
        <v>26</v>
      </c>
      <c r="C713">
        <v>1</v>
      </c>
      <c r="D713" t="s">
        <v>30</v>
      </c>
      <c r="E713" t="s">
        <v>13</v>
      </c>
      <c r="F713" t="str">
        <f t="shared" si="33"/>
        <v>Male</v>
      </c>
      <c r="G713">
        <v>30</v>
      </c>
      <c r="H713">
        <v>0</v>
      </c>
      <c r="I713">
        <v>0</v>
      </c>
      <c r="J713">
        <v>26.55</v>
      </c>
      <c r="K713" t="s">
        <v>19</v>
      </c>
      <c r="L713" t="s">
        <v>15</v>
      </c>
      <c r="M713" t="str">
        <f t="shared" si="34"/>
        <v>Man</v>
      </c>
      <c r="N713" t="b">
        <v>1</v>
      </c>
      <c r="O713" t="s">
        <v>16</v>
      </c>
      <c r="P713" t="s">
        <v>17</v>
      </c>
      <c r="Q713" t="str">
        <f t="shared" si="35"/>
        <v>No</v>
      </c>
      <c r="R713" t="b">
        <v>1</v>
      </c>
    </row>
    <row r="714" spans="1:18" x14ac:dyDescent="0.3">
      <c r="A714">
        <v>1</v>
      </c>
      <c r="B714" t="s">
        <v>27</v>
      </c>
      <c r="C714">
        <v>1</v>
      </c>
      <c r="D714" t="s">
        <v>30</v>
      </c>
      <c r="E714" t="s">
        <v>13</v>
      </c>
      <c r="F714" t="str">
        <f t="shared" si="33"/>
        <v>Male</v>
      </c>
      <c r="G714">
        <v>48</v>
      </c>
      <c r="H714">
        <v>1</v>
      </c>
      <c r="I714">
        <v>0</v>
      </c>
      <c r="J714">
        <v>52</v>
      </c>
      <c r="K714" t="s">
        <v>19</v>
      </c>
      <c r="L714" t="s">
        <v>15</v>
      </c>
      <c r="M714" t="str">
        <f t="shared" si="34"/>
        <v>Man</v>
      </c>
      <c r="N714" t="b">
        <v>1</v>
      </c>
      <c r="O714" t="s">
        <v>16</v>
      </c>
      <c r="P714" t="s">
        <v>22</v>
      </c>
      <c r="Q714" t="str">
        <f t="shared" si="35"/>
        <v>Yes</v>
      </c>
      <c r="R714" t="b">
        <v>0</v>
      </c>
    </row>
    <row r="715" spans="1:18" x14ac:dyDescent="0.3">
      <c r="A715">
        <v>0</v>
      </c>
      <c r="B715" t="s">
        <v>26</v>
      </c>
      <c r="C715">
        <v>3</v>
      </c>
      <c r="D715" t="s">
        <v>32</v>
      </c>
      <c r="E715" t="s">
        <v>13</v>
      </c>
      <c r="F715" t="str">
        <f t="shared" si="33"/>
        <v>Male</v>
      </c>
      <c r="G715">
        <v>29</v>
      </c>
      <c r="H715">
        <v>0</v>
      </c>
      <c r="I715">
        <v>0</v>
      </c>
      <c r="J715">
        <v>9.4832999999999998</v>
      </c>
      <c r="K715" t="s">
        <v>14</v>
      </c>
      <c r="L715" t="s">
        <v>15</v>
      </c>
      <c r="M715" t="str">
        <f t="shared" si="34"/>
        <v>Man</v>
      </c>
      <c r="N715" t="b">
        <v>1</v>
      </c>
      <c r="O715" t="s">
        <v>16</v>
      </c>
      <c r="P715" t="s">
        <v>17</v>
      </c>
      <c r="Q715" t="str">
        <f t="shared" si="35"/>
        <v>No</v>
      </c>
      <c r="R715" t="b">
        <v>1</v>
      </c>
    </row>
    <row r="716" spans="1:18" x14ac:dyDescent="0.3">
      <c r="A716">
        <v>0</v>
      </c>
      <c r="B716" t="s">
        <v>26</v>
      </c>
      <c r="C716">
        <v>2</v>
      </c>
      <c r="D716" t="s">
        <v>31</v>
      </c>
      <c r="E716" t="s">
        <v>13</v>
      </c>
      <c r="F716" t="str">
        <f t="shared" si="33"/>
        <v>Male</v>
      </c>
      <c r="G716">
        <v>52</v>
      </c>
      <c r="H716">
        <v>0</v>
      </c>
      <c r="I716">
        <v>0</v>
      </c>
      <c r="J716">
        <v>13</v>
      </c>
      <c r="K716" t="s">
        <v>25</v>
      </c>
      <c r="L716" t="s">
        <v>15</v>
      </c>
      <c r="M716" t="str">
        <f t="shared" si="34"/>
        <v>Man</v>
      </c>
      <c r="N716" t="b">
        <v>1</v>
      </c>
      <c r="O716" t="s">
        <v>16</v>
      </c>
      <c r="P716" t="s">
        <v>17</v>
      </c>
      <c r="Q716" t="str">
        <f t="shared" si="35"/>
        <v>No</v>
      </c>
      <c r="R716" t="b">
        <v>1</v>
      </c>
    </row>
    <row r="717" spans="1:18" x14ac:dyDescent="0.3">
      <c r="A717">
        <v>0</v>
      </c>
      <c r="B717" t="s">
        <v>26</v>
      </c>
      <c r="C717">
        <v>3</v>
      </c>
      <c r="D717" t="s">
        <v>32</v>
      </c>
      <c r="E717" t="s">
        <v>13</v>
      </c>
      <c r="F717" t="str">
        <f t="shared" si="33"/>
        <v>Male</v>
      </c>
      <c r="G717">
        <v>19</v>
      </c>
      <c r="H717">
        <v>0</v>
      </c>
      <c r="I717">
        <v>0</v>
      </c>
      <c r="J717">
        <v>7.65</v>
      </c>
      <c r="K717" t="s">
        <v>14</v>
      </c>
      <c r="L717" t="s">
        <v>15</v>
      </c>
      <c r="M717" t="str">
        <f t="shared" si="34"/>
        <v>Man</v>
      </c>
      <c r="N717" t="b">
        <v>1</v>
      </c>
      <c r="O717" t="s">
        <v>16</v>
      </c>
      <c r="P717" t="s">
        <v>17</v>
      </c>
      <c r="Q717" t="str">
        <f t="shared" si="35"/>
        <v>No</v>
      </c>
      <c r="R717" t="b">
        <v>1</v>
      </c>
    </row>
    <row r="718" spans="1:18" x14ac:dyDescent="0.3">
      <c r="A718">
        <v>1</v>
      </c>
      <c r="B718" t="s">
        <v>27</v>
      </c>
      <c r="C718">
        <v>1</v>
      </c>
      <c r="D718" t="s">
        <v>30</v>
      </c>
      <c r="E718" t="s">
        <v>18</v>
      </c>
      <c r="F718" t="str">
        <f t="shared" si="33"/>
        <v>Female</v>
      </c>
      <c r="G718">
        <v>38</v>
      </c>
      <c r="H718">
        <v>0</v>
      </c>
      <c r="I718">
        <v>0</v>
      </c>
      <c r="J718">
        <v>227.52500000000001</v>
      </c>
      <c r="K718" t="s">
        <v>19</v>
      </c>
      <c r="L718" t="s">
        <v>20</v>
      </c>
      <c r="M718" t="str">
        <f t="shared" si="34"/>
        <v>Woman</v>
      </c>
      <c r="N718" t="b">
        <v>0</v>
      </c>
      <c r="O718" t="s">
        <v>21</v>
      </c>
      <c r="P718" t="s">
        <v>22</v>
      </c>
      <c r="Q718" t="str">
        <f t="shared" si="35"/>
        <v>Yes</v>
      </c>
      <c r="R718" t="b">
        <v>1</v>
      </c>
    </row>
    <row r="719" spans="1:18" x14ac:dyDescent="0.3">
      <c r="A719">
        <v>1</v>
      </c>
      <c r="B719" t="s">
        <v>27</v>
      </c>
      <c r="C719">
        <v>2</v>
      </c>
      <c r="D719" t="s">
        <v>31</v>
      </c>
      <c r="E719" t="s">
        <v>18</v>
      </c>
      <c r="F719" t="str">
        <f t="shared" si="33"/>
        <v>Female</v>
      </c>
      <c r="G719">
        <v>27</v>
      </c>
      <c r="H719">
        <v>0</v>
      </c>
      <c r="I719">
        <v>0</v>
      </c>
      <c r="J719">
        <v>10.5</v>
      </c>
      <c r="K719" t="s">
        <v>25</v>
      </c>
      <c r="L719" t="s">
        <v>20</v>
      </c>
      <c r="M719" t="str">
        <f t="shared" si="34"/>
        <v>Woman</v>
      </c>
      <c r="N719" t="b">
        <v>0</v>
      </c>
      <c r="O719" t="s">
        <v>16</v>
      </c>
      <c r="P719" t="s">
        <v>22</v>
      </c>
      <c r="Q719" t="str">
        <f t="shared" si="35"/>
        <v>Yes</v>
      </c>
      <c r="R719" t="b">
        <v>1</v>
      </c>
    </row>
    <row r="720" spans="1:18" x14ac:dyDescent="0.3">
      <c r="A720">
        <v>0</v>
      </c>
      <c r="B720" t="s">
        <v>26</v>
      </c>
      <c r="C720">
        <v>3</v>
      </c>
      <c r="D720" t="s">
        <v>32</v>
      </c>
      <c r="E720" t="s">
        <v>13</v>
      </c>
      <c r="F720" t="str">
        <f t="shared" si="33"/>
        <v>Male</v>
      </c>
      <c r="G720">
        <v>30</v>
      </c>
      <c r="H720">
        <v>0</v>
      </c>
      <c r="I720">
        <v>0</v>
      </c>
      <c r="J720">
        <v>15.5</v>
      </c>
      <c r="K720" t="s">
        <v>14</v>
      </c>
      <c r="L720" t="s">
        <v>15</v>
      </c>
      <c r="M720" t="str">
        <f t="shared" si="34"/>
        <v>Man</v>
      </c>
      <c r="N720" t="b">
        <v>1</v>
      </c>
      <c r="O720" t="s">
        <v>23</v>
      </c>
      <c r="P720" t="s">
        <v>17</v>
      </c>
      <c r="Q720" t="str">
        <f t="shared" si="35"/>
        <v>No</v>
      </c>
      <c r="R720" t="b">
        <v>1</v>
      </c>
    </row>
    <row r="721" spans="1:18" x14ac:dyDescent="0.3">
      <c r="A721">
        <v>0</v>
      </c>
      <c r="B721" t="s">
        <v>26</v>
      </c>
      <c r="C721">
        <v>3</v>
      </c>
      <c r="D721" t="s">
        <v>32</v>
      </c>
      <c r="E721" t="s">
        <v>13</v>
      </c>
      <c r="F721" t="str">
        <f t="shared" si="33"/>
        <v>Male</v>
      </c>
      <c r="G721">
        <v>33</v>
      </c>
      <c r="H721">
        <v>0</v>
      </c>
      <c r="I721">
        <v>0</v>
      </c>
      <c r="J721">
        <v>7.7750000000000004</v>
      </c>
      <c r="K721" t="s">
        <v>14</v>
      </c>
      <c r="L721" t="s">
        <v>15</v>
      </c>
      <c r="M721" t="str">
        <f t="shared" si="34"/>
        <v>Man</v>
      </c>
      <c r="N721" t="b">
        <v>1</v>
      </c>
      <c r="O721" t="s">
        <v>16</v>
      </c>
      <c r="P721" t="s">
        <v>17</v>
      </c>
      <c r="Q721" t="str">
        <f t="shared" si="35"/>
        <v>No</v>
      </c>
      <c r="R721" t="b">
        <v>1</v>
      </c>
    </row>
    <row r="722" spans="1:18" x14ac:dyDescent="0.3">
      <c r="A722">
        <v>1</v>
      </c>
      <c r="B722" t="s">
        <v>27</v>
      </c>
      <c r="C722">
        <v>2</v>
      </c>
      <c r="D722" t="s">
        <v>31</v>
      </c>
      <c r="E722" t="s">
        <v>18</v>
      </c>
      <c r="F722" t="str">
        <f t="shared" si="33"/>
        <v>Female</v>
      </c>
      <c r="G722">
        <v>6</v>
      </c>
      <c r="H722">
        <v>0</v>
      </c>
      <c r="I722">
        <v>1</v>
      </c>
      <c r="J722">
        <v>33</v>
      </c>
      <c r="K722" t="s">
        <v>25</v>
      </c>
      <c r="L722" t="s">
        <v>24</v>
      </c>
      <c r="M722" t="str">
        <f t="shared" si="34"/>
        <v>Child</v>
      </c>
      <c r="N722" t="b">
        <v>0</v>
      </c>
      <c r="O722" t="s">
        <v>16</v>
      </c>
      <c r="P722" t="s">
        <v>22</v>
      </c>
      <c r="Q722" t="str">
        <f t="shared" si="35"/>
        <v>Yes</v>
      </c>
      <c r="R722" t="b">
        <v>0</v>
      </c>
    </row>
    <row r="723" spans="1:18" x14ac:dyDescent="0.3">
      <c r="A723">
        <v>0</v>
      </c>
      <c r="B723" t="s">
        <v>26</v>
      </c>
      <c r="C723">
        <v>3</v>
      </c>
      <c r="D723" t="s">
        <v>32</v>
      </c>
      <c r="E723" t="s">
        <v>13</v>
      </c>
      <c r="F723" t="str">
        <f t="shared" si="33"/>
        <v>Male</v>
      </c>
      <c r="G723">
        <v>17</v>
      </c>
      <c r="H723">
        <v>1</v>
      </c>
      <c r="I723">
        <v>0</v>
      </c>
      <c r="J723">
        <v>7.0541999999999998</v>
      </c>
      <c r="K723" t="s">
        <v>14</v>
      </c>
      <c r="L723" t="s">
        <v>15</v>
      </c>
      <c r="M723" t="str">
        <f t="shared" si="34"/>
        <v>Man</v>
      </c>
      <c r="N723" t="b">
        <v>1</v>
      </c>
      <c r="O723" t="s">
        <v>16</v>
      </c>
      <c r="P723" t="s">
        <v>17</v>
      </c>
      <c r="Q723" t="str">
        <f t="shared" si="35"/>
        <v>No</v>
      </c>
      <c r="R723" t="b">
        <v>0</v>
      </c>
    </row>
    <row r="724" spans="1:18" x14ac:dyDescent="0.3">
      <c r="A724">
        <v>0</v>
      </c>
      <c r="B724" t="s">
        <v>26</v>
      </c>
      <c r="C724">
        <v>2</v>
      </c>
      <c r="D724" t="s">
        <v>31</v>
      </c>
      <c r="E724" t="s">
        <v>13</v>
      </c>
      <c r="F724" t="str">
        <f t="shared" si="33"/>
        <v>Male</v>
      </c>
      <c r="G724">
        <v>34</v>
      </c>
      <c r="H724">
        <v>0</v>
      </c>
      <c r="I724">
        <v>0</v>
      </c>
      <c r="J724">
        <v>13</v>
      </c>
      <c r="K724" t="s">
        <v>25</v>
      </c>
      <c r="L724" t="s">
        <v>15</v>
      </c>
      <c r="M724" t="str">
        <f t="shared" si="34"/>
        <v>Man</v>
      </c>
      <c r="N724" t="b">
        <v>1</v>
      </c>
      <c r="O724" t="s">
        <v>16</v>
      </c>
      <c r="P724" t="s">
        <v>17</v>
      </c>
      <c r="Q724" t="str">
        <f t="shared" si="35"/>
        <v>No</v>
      </c>
      <c r="R724" t="b">
        <v>1</v>
      </c>
    </row>
    <row r="725" spans="1:18" x14ac:dyDescent="0.3">
      <c r="A725">
        <v>0</v>
      </c>
      <c r="B725" t="s">
        <v>26</v>
      </c>
      <c r="C725">
        <v>2</v>
      </c>
      <c r="D725" t="s">
        <v>31</v>
      </c>
      <c r="E725" t="s">
        <v>13</v>
      </c>
      <c r="F725" t="str">
        <f t="shared" si="33"/>
        <v>Male</v>
      </c>
      <c r="G725">
        <v>50</v>
      </c>
      <c r="H725">
        <v>0</v>
      </c>
      <c r="I725">
        <v>0</v>
      </c>
      <c r="J725">
        <v>13</v>
      </c>
      <c r="K725" t="s">
        <v>25</v>
      </c>
      <c r="L725" t="s">
        <v>15</v>
      </c>
      <c r="M725" t="str">
        <f t="shared" si="34"/>
        <v>Man</v>
      </c>
      <c r="N725" t="b">
        <v>1</v>
      </c>
      <c r="O725" t="s">
        <v>16</v>
      </c>
      <c r="P725" t="s">
        <v>17</v>
      </c>
      <c r="Q725" t="str">
        <f t="shared" si="35"/>
        <v>No</v>
      </c>
      <c r="R725" t="b">
        <v>1</v>
      </c>
    </row>
    <row r="726" spans="1:18" x14ac:dyDescent="0.3">
      <c r="A726">
        <v>1</v>
      </c>
      <c r="B726" t="s">
        <v>27</v>
      </c>
      <c r="C726">
        <v>1</v>
      </c>
      <c r="D726" t="s">
        <v>30</v>
      </c>
      <c r="E726" t="s">
        <v>13</v>
      </c>
      <c r="F726" t="str">
        <f t="shared" si="33"/>
        <v>Male</v>
      </c>
      <c r="G726">
        <v>27</v>
      </c>
      <c r="H726">
        <v>1</v>
      </c>
      <c r="I726">
        <v>0</v>
      </c>
      <c r="J726">
        <v>53.1</v>
      </c>
      <c r="K726" t="s">
        <v>19</v>
      </c>
      <c r="L726" t="s">
        <v>15</v>
      </c>
      <c r="M726" t="str">
        <f t="shared" si="34"/>
        <v>Man</v>
      </c>
      <c r="N726" t="b">
        <v>1</v>
      </c>
      <c r="O726" t="s">
        <v>16</v>
      </c>
      <c r="P726" t="s">
        <v>22</v>
      </c>
      <c r="Q726" t="str">
        <f t="shared" si="35"/>
        <v>Yes</v>
      </c>
      <c r="R726" t="b">
        <v>0</v>
      </c>
    </row>
    <row r="727" spans="1:18" x14ac:dyDescent="0.3">
      <c r="A727">
        <v>0</v>
      </c>
      <c r="B727" t="s">
        <v>26</v>
      </c>
      <c r="C727">
        <v>3</v>
      </c>
      <c r="D727" t="s">
        <v>32</v>
      </c>
      <c r="E727" t="s">
        <v>13</v>
      </c>
      <c r="F727" t="str">
        <f t="shared" si="33"/>
        <v>Male</v>
      </c>
      <c r="G727">
        <v>20</v>
      </c>
      <c r="H727">
        <v>0</v>
      </c>
      <c r="I727">
        <v>0</v>
      </c>
      <c r="J727">
        <v>8.6624999999999996</v>
      </c>
      <c r="K727" t="s">
        <v>14</v>
      </c>
      <c r="L727" t="s">
        <v>15</v>
      </c>
      <c r="M727" t="str">
        <f t="shared" si="34"/>
        <v>Man</v>
      </c>
      <c r="N727" t="b">
        <v>1</v>
      </c>
      <c r="O727" t="s">
        <v>16</v>
      </c>
      <c r="P727" t="s">
        <v>17</v>
      </c>
      <c r="Q727" t="str">
        <f t="shared" si="35"/>
        <v>No</v>
      </c>
      <c r="R727" t="b">
        <v>1</v>
      </c>
    </row>
    <row r="728" spans="1:18" x14ac:dyDescent="0.3">
      <c r="A728">
        <v>1</v>
      </c>
      <c r="B728" t="s">
        <v>27</v>
      </c>
      <c r="C728">
        <v>2</v>
      </c>
      <c r="D728" t="s">
        <v>31</v>
      </c>
      <c r="E728" t="s">
        <v>18</v>
      </c>
      <c r="F728" t="str">
        <f t="shared" si="33"/>
        <v>Female</v>
      </c>
      <c r="G728">
        <v>30</v>
      </c>
      <c r="H728">
        <v>3</v>
      </c>
      <c r="I728">
        <v>0</v>
      </c>
      <c r="J728">
        <v>21</v>
      </c>
      <c r="K728" t="s">
        <v>25</v>
      </c>
      <c r="L728" t="s">
        <v>20</v>
      </c>
      <c r="M728" t="str">
        <f t="shared" si="34"/>
        <v>Woman</v>
      </c>
      <c r="N728" t="b">
        <v>0</v>
      </c>
      <c r="O728" t="s">
        <v>16</v>
      </c>
      <c r="P728" t="s">
        <v>22</v>
      </c>
      <c r="Q728" t="str">
        <f t="shared" si="35"/>
        <v>Yes</v>
      </c>
      <c r="R728" t="b">
        <v>0</v>
      </c>
    </row>
    <row r="729" spans="1:18" x14ac:dyDescent="0.3">
      <c r="A729">
        <v>1</v>
      </c>
      <c r="B729" t="s">
        <v>27</v>
      </c>
      <c r="C729">
        <v>3</v>
      </c>
      <c r="D729" t="s">
        <v>32</v>
      </c>
      <c r="E729" t="s">
        <v>18</v>
      </c>
      <c r="F729" t="str">
        <f t="shared" si="33"/>
        <v>Female</v>
      </c>
      <c r="G729">
        <v>30</v>
      </c>
      <c r="H729">
        <v>0</v>
      </c>
      <c r="I729">
        <v>0</v>
      </c>
      <c r="J729">
        <v>7.7374999999999998</v>
      </c>
      <c r="K729" t="s">
        <v>14</v>
      </c>
      <c r="L729" t="s">
        <v>20</v>
      </c>
      <c r="M729" t="str">
        <f t="shared" si="34"/>
        <v>Woman</v>
      </c>
      <c r="N729" t="b">
        <v>0</v>
      </c>
      <c r="O729" t="s">
        <v>23</v>
      </c>
      <c r="P729" t="s">
        <v>22</v>
      </c>
      <c r="Q729" t="str">
        <f t="shared" si="35"/>
        <v>Yes</v>
      </c>
      <c r="R729" t="b">
        <v>1</v>
      </c>
    </row>
    <row r="730" spans="1:18" x14ac:dyDescent="0.3">
      <c r="A730">
        <v>0</v>
      </c>
      <c r="B730" t="s">
        <v>26</v>
      </c>
      <c r="C730">
        <v>2</v>
      </c>
      <c r="D730" t="s">
        <v>31</v>
      </c>
      <c r="E730" t="s">
        <v>13</v>
      </c>
      <c r="F730" t="str">
        <f t="shared" si="33"/>
        <v>Male</v>
      </c>
      <c r="G730">
        <v>25</v>
      </c>
      <c r="H730">
        <v>1</v>
      </c>
      <c r="I730">
        <v>0</v>
      </c>
      <c r="J730">
        <v>26</v>
      </c>
      <c r="K730" t="s">
        <v>25</v>
      </c>
      <c r="L730" t="s">
        <v>15</v>
      </c>
      <c r="M730" t="str">
        <f t="shared" si="34"/>
        <v>Man</v>
      </c>
      <c r="N730" t="b">
        <v>1</v>
      </c>
      <c r="O730" t="s">
        <v>16</v>
      </c>
      <c r="P730" t="s">
        <v>17</v>
      </c>
      <c r="Q730" t="str">
        <f t="shared" si="35"/>
        <v>No</v>
      </c>
      <c r="R730" t="b">
        <v>0</v>
      </c>
    </row>
    <row r="731" spans="1:18" x14ac:dyDescent="0.3">
      <c r="A731">
        <v>0</v>
      </c>
      <c r="B731" t="s">
        <v>26</v>
      </c>
      <c r="C731">
        <v>3</v>
      </c>
      <c r="D731" t="s">
        <v>32</v>
      </c>
      <c r="E731" t="s">
        <v>18</v>
      </c>
      <c r="F731" t="str">
        <f t="shared" si="33"/>
        <v>Female</v>
      </c>
      <c r="G731">
        <v>25</v>
      </c>
      <c r="H731">
        <v>1</v>
      </c>
      <c r="I731">
        <v>0</v>
      </c>
      <c r="J731">
        <v>7.9249999999999998</v>
      </c>
      <c r="K731" t="s">
        <v>14</v>
      </c>
      <c r="L731" t="s">
        <v>20</v>
      </c>
      <c r="M731" t="str">
        <f t="shared" si="34"/>
        <v>Woman</v>
      </c>
      <c r="N731" t="b">
        <v>0</v>
      </c>
      <c r="O731" t="s">
        <v>16</v>
      </c>
      <c r="P731" t="s">
        <v>17</v>
      </c>
      <c r="Q731" t="str">
        <f t="shared" si="35"/>
        <v>No</v>
      </c>
      <c r="R731" t="b">
        <v>0</v>
      </c>
    </row>
    <row r="732" spans="1:18" x14ac:dyDescent="0.3">
      <c r="A732">
        <v>1</v>
      </c>
      <c r="B732" t="s">
        <v>27</v>
      </c>
      <c r="C732">
        <v>1</v>
      </c>
      <c r="D732" t="s">
        <v>30</v>
      </c>
      <c r="E732" t="s">
        <v>18</v>
      </c>
      <c r="F732" t="str">
        <f t="shared" si="33"/>
        <v>Female</v>
      </c>
      <c r="G732">
        <v>29</v>
      </c>
      <c r="H732">
        <v>0</v>
      </c>
      <c r="I732">
        <v>0</v>
      </c>
      <c r="J732">
        <v>211.33750000000001</v>
      </c>
      <c r="K732" t="s">
        <v>19</v>
      </c>
      <c r="L732" t="s">
        <v>20</v>
      </c>
      <c r="M732" t="str">
        <f t="shared" si="34"/>
        <v>Woman</v>
      </c>
      <c r="N732" t="b">
        <v>0</v>
      </c>
      <c r="O732" t="s">
        <v>16</v>
      </c>
      <c r="P732" t="s">
        <v>22</v>
      </c>
      <c r="Q732" t="str">
        <f t="shared" si="35"/>
        <v>Yes</v>
      </c>
      <c r="R732" t="b">
        <v>1</v>
      </c>
    </row>
    <row r="733" spans="1:18" x14ac:dyDescent="0.3">
      <c r="A733">
        <v>0</v>
      </c>
      <c r="B733" t="s">
        <v>26</v>
      </c>
      <c r="C733">
        <v>3</v>
      </c>
      <c r="D733" t="s">
        <v>32</v>
      </c>
      <c r="E733" t="s">
        <v>13</v>
      </c>
      <c r="F733" t="str">
        <f t="shared" si="33"/>
        <v>Male</v>
      </c>
      <c r="G733">
        <v>11</v>
      </c>
      <c r="H733">
        <v>0</v>
      </c>
      <c r="I733">
        <v>0</v>
      </c>
      <c r="J733">
        <v>18.787500000000001</v>
      </c>
      <c r="K733" t="s">
        <v>14</v>
      </c>
      <c r="L733" t="s">
        <v>24</v>
      </c>
      <c r="M733" t="str">
        <f t="shared" si="34"/>
        <v>Child</v>
      </c>
      <c r="N733" t="b">
        <v>0</v>
      </c>
      <c r="O733" t="s">
        <v>21</v>
      </c>
      <c r="P733" t="s">
        <v>17</v>
      </c>
      <c r="Q733" t="str">
        <f t="shared" si="35"/>
        <v>No</v>
      </c>
      <c r="R733" t="b">
        <v>1</v>
      </c>
    </row>
    <row r="734" spans="1:18" x14ac:dyDescent="0.3">
      <c r="A734">
        <v>0</v>
      </c>
      <c r="B734" t="s">
        <v>26</v>
      </c>
      <c r="C734">
        <v>2</v>
      </c>
      <c r="D734" t="s">
        <v>31</v>
      </c>
      <c r="E734" t="s">
        <v>13</v>
      </c>
      <c r="F734" t="str">
        <f t="shared" si="33"/>
        <v>Male</v>
      </c>
      <c r="G734">
        <v>30</v>
      </c>
      <c r="H734">
        <v>0</v>
      </c>
      <c r="I734">
        <v>0</v>
      </c>
      <c r="J734">
        <v>0</v>
      </c>
      <c r="K734" t="s">
        <v>25</v>
      </c>
      <c r="L734" t="s">
        <v>15</v>
      </c>
      <c r="M734" t="str">
        <f t="shared" si="34"/>
        <v>Man</v>
      </c>
      <c r="N734" t="b">
        <v>1</v>
      </c>
      <c r="O734" t="s">
        <v>16</v>
      </c>
      <c r="P734" t="s">
        <v>17</v>
      </c>
      <c r="Q734" t="str">
        <f t="shared" si="35"/>
        <v>No</v>
      </c>
      <c r="R734" t="b">
        <v>1</v>
      </c>
    </row>
    <row r="735" spans="1:18" x14ac:dyDescent="0.3">
      <c r="A735">
        <v>0</v>
      </c>
      <c r="B735" t="s">
        <v>26</v>
      </c>
      <c r="C735">
        <v>2</v>
      </c>
      <c r="D735" t="s">
        <v>31</v>
      </c>
      <c r="E735" t="s">
        <v>13</v>
      </c>
      <c r="F735" t="str">
        <f t="shared" si="33"/>
        <v>Male</v>
      </c>
      <c r="G735">
        <v>23</v>
      </c>
      <c r="H735">
        <v>0</v>
      </c>
      <c r="I735">
        <v>0</v>
      </c>
      <c r="J735">
        <v>13</v>
      </c>
      <c r="K735" t="s">
        <v>25</v>
      </c>
      <c r="L735" t="s">
        <v>15</v>
      </c>
      <c r="M735" t="str">
        <f t="shared" si="34"/>
        <v>Man</v>
      </c>
      <c r="N735" t="b">
        <v>1</v>
      </c>
      <c r="O735" t="s">
        <v>16</v>
      </c>
      <c r="P735" t="s">
        <v>17</v>
      </c>
      <c r="Q735" t="str">
        <f t="shared" si="35"/>
        <v>No</v>
      </c>
      <c r="R735" t="b">
        <v>1</v>
      </c>
    </row>
    <row r="736" spans="1:18" x14ac:dyDescent="0.3">
      <c r="A736">
        <v>0</v>
      </c>
      <c r="B736" t="s">
        <v>26</v>
      </c>
      <c r="C736">
        <v>2</v>
      </c>
      <c r="D736" t="s">
        <v>31</v>
      </c>
      <c r="E736" t="s">
        <v>13</v>
      </c>
      <c r="F736" t="str">
        <f t="shared" si="33"/>
        <v>Male</v>
      </c>
      <c r="G736">
        <v>23</v>
      </c>
      <c r="H736">
        <v>0</v>
      </c>
      <c r="I736">
        <v>0</v>
      </c>
      <c r="J736">
        <v>13</v>
      </c>
      <c r="K736" t="s">
        <v>25</v>
      </c>
      <c r="L736" t="s">
        <v>15</v>
      </c>
      <c r="M736" t="str">
        <f t="shared" si="34"/>
        <v>Man</v>
      </c>
      <c r="N736" t="b">
        <v>1</v>
      </c>
      <c r="O736" t="s">
        <v>16</v>
      </c>
      <c r="P736" t="s">
        <v>17</v>
      </c>
      <c r="Q736" t="str">
        <f t="shared" si="35"/>
        <v>No</v>
      </c>
      <c r="R736" t="b">
        <v>1</v>
      </c>
    </row>
    <row r="737" spans="1:18" x14ac:dyDescent="0.3">
      <c r="A737">
        <v>0</v>
      </c>
      <c r="B737" t="s">
        <v>26</v>
      </c>
      <c r="C737">
        <v>3</v>
      </c>
      <c r="D737" t="s">
        <v>32</v>
      </c>
      <c r="E737" t="s">
        <v>13</v>
      </c>
      <c r="F737" t="str">
        <f t="shared" si="33"/>
        <v>Male</v>
      </c>
      <c r="G737">
        <v>28.5</v>
      </c>
      <c r="H737">
        <v>0</v>
      </c>
      <c r="I737">
        <v>0</v>
      </c>
      <c r="J737">
        <v>16.100000000000001</v>
      </c>
      <c r="K737" t="s">
        <v>14</v>
      </c>
      <c r="L737" t="s">
        <v>15</v>
      </c>
      <c r="M737" t="str">
        <f t="shared" si="34"/>
        <v>Man</v>
      </c>
      <c r="N737" t="b">
        <v>1</v>
      </c>
      <c r="O737" t="s">
        <v>16</v>
      </c>
      <c r="P737" t="s">
        <v>17</v>
      </c>
      <c r="Q737" t="str">
        <f t="shared" si="35"/>
        <v>No</v>
      </c>
      <c r="R737" t="b">
        <v>1</v>
      </c>
    </row>
    <row r="738" spans="1:18" x14ac:dyDescent="0.3">
      <c r="A738">
        <v>0</v>
      </c>
      <c r="B738" t="s">
        <v>26</v>
      </c>
      <c r="C738">
        <v>3</v>
      </c>
      <c r="D738" t="s">
        <v>32</v>
      </c>
      <c r="E738" t="s">
        <v>18</v>
      </c>
      <c r="F738" t="str">
        <f t="shared" si="33"/>
        <v>Female</v>
      </c>
      <c r="G738">
        <v>48</v>
      </c>
      <c r="H738">
        <v>1</v>
      </c>
      <c r="I738">
        <v>3</v>
      </c>
      <c r="J738">
        <v>34.375</v>
      </c>
      <c r="K738" t="s">
        <v>14</v>
      </c>
      <c r="L738" t="s">
        <v>20</v>
      </c>
      <c r="M738" t="str">
        <f t="shared" si="34"/>
        <v>Woman</v>
      </c>
      <c r="N738" t="b">
        <v>0</v>
      </c>
      <c r="O738" t="s">
        <v>16</v>
      </c>
      <c r="P738" t="s">
        <v>17</v>
      </c>
      <c r="Q738" t="str">
        <f t="shared" si="35"/>
        <v>No</v>
      </c>
      <c r="R738" t="b">
        <v>0</v>
      </c>
    </row>
    <row r="739" spans="1:18" x14ac:dyDescent="0.3">
      <c r="A739">
        <v>1</v>
      </c>
      <c r="B739" t="s">
        <v>27</v>
      </c>
      <c r="C739">
        <v>1</v>
      </c>
      <c r="D739" t="s">
        <v>30</v>
      </c>
      <c r="E739" t="s">
        <v>13</v>
      </c>
      <c r="F739" t="str">
        <f t="shared" si="33"/>
        <v>Male</v>
      </c>
      <c r="G739">
        <v>35</v>
      </c>
      <c r="H739">
        <v>0</v>
      </c>
      <c r="I739">
        <v>0</v>
      </c>
      <c r="J739">
        <v>512.32920000000001</v>
      </c>
      <c r="K739" t="s">
        <v>19</v>
      </c>
      <c r="L739" t="s">
        <v>15</v>
      </c>
      <c r="M739" t="str">
        <f t="shared" si="34"/>
        <v>Man</v>
      </c>
      <c r="N739" t="b">
        <v>1</v>
      </c>
      <c r="O739" t="s">
        <v>21</v>
      </c>
      <c r="P739" t="s">
        <v>22</v>
      </c>
      <c r="Q739" t="str">
        <f t="shared" si="35"/>
        <v>Yes</v>
      </c>
      <c r="R739" t="b">
        <v>1</v>
      </c>
    </row>
    <row r="740" spans="1:18" x14ac:dyDescent="0.3">
      <c r="A740">
        <v>0</v>
      </c>
      <c r="B740" t="s">
        <v>26</v>
      </c>
      <c r="C740">
        <v>3</v>
      </c>
      <c r="D740" t="s">
        <v>32</v>
      </c>
      <c r="E740" t="s">
        <v>13</v>
      </c>
      <c r="F740" t="str">
        <f t="shared" si="33"/>
        <v>Male</v>
      </c>
      <c r="G740">
        <v>30</v>
      </c>
      <c r="H740">
        <v>0</v>
      </c>
      <c r="I740">
        <v>0</v>
      </c>
      <c r="J740">
        <v>7.8958000000000004</v>
      </c>
      <c r="K740" t="s">
        <v>14</v>
      </c>
      <c r="L740" t="s">
        <v>15</v>
      </c>
      <c r="M740" t="str">
        <f t="shared" si="34"/>
        <v>Man</v>
      </c>
      <c r="N740" t="b">
        <v>1</v>
      </c>
      <c r="O740" t="s">
        <v>16</v>
      </c>
      <c r="P740" t="s">
        <v>17</v>
      </c>
      <c r="Q740" t="str">
        <f t="shared" si="35"/>
        <v>No</v>
      </c>
      <c r="R740" t="b">
        <v>1</v>
      </c>
    </row>
    <row r="741" spans="1:18" x14ac:dyDescent="0.3">
      <c r="A741">
        <v>0</v>
      </c>
      <c r="B741" t="s">
        <v>26</v>
      </c>
      <c r="C741">
        <v>3</v>
      </c>
      <c r="D741" t="s">
        <v>32</v>
      </c>
      <c r="E741" t="s">
        <v>13</v>
      </c>
      <c r="F741" t="str">
        <f t="shared" si="33"/>
        <v>Male</v>
      </c>
      <c r="G741">
        <v>30</v>
      </c>
      <c r="H741">
        <v>0</v>
      </c>
      <c r="I741">
        <v>0</v>
      </c>
      <c r="J741">
        <v>7.8958000000000004</v>
      </c>
      <c r="K741" t="s">
        <v>14</v>
      </c>
      <c r="L741" t="s">
        <v>15</v>
      </c>
      <c r="M741" t="str">
        <f t="shared" si="34"/>
        <v>Man</v>
      </c>
      <c r="N741" t="b">
        <v>1</v>
      </c>
      <c r="O741" t="s">
        <v>16</v>
      </c>
      <c r="P741" t="s">
        <v>17</v>
      </c>
      <c r="Q741" t="str">
        <f t="shared" si="35"/>
        <v>No</v>
      </c>
      <c r="R741" t="b">
        <v>1</v>
      </c>
    </row>
    <row r="742" spans="1:18" x14ac:dyDescent="0.3">
      <c r="A742">
        <v>1</v>
      </c>
      <c r="B742" t="s">
        <v>27</v>
      </c>
      <c r="C742">
        <v>1</v>
      </c>
      <c r="D742" t="s">
        <v>30</v>
      </c>
      <c r="E742" t="s">
        <v>13</v>
      </c>
      <c r="F742" t="str">
        <f t="shared" si="33"/>
        <v>Male</v>
      </c>
      <c r="G742">
        <v>30</v>
      </c>
      <c r="H742">
        <v>0</v>
      </c>
      <c r="I742">
        <v>0</v>
      </c>
      <c r="J742">
        <v>30</v>
      </c>
      <c r="K742" t="s">
        <v>19</v>
      </c>
      <c r="L742" t="s">
        <v>15</v>
      </c>
      <c r="M742" t="str">
        <f t="shared" si="34"/>
        <v>Man</v>
      </c>
      <c r="N742" t="b">
        <v>1</v>
      </c>
      <c r="O742" t="s">
        <v>16</v>
      </c>
      <c r="P742" t="s">
        <v>22</v>
      </c>
      <c r="Q742" t="str">
        <f t="shared" si="35"/>
        <v>Yes</v>
      </c>
      <c r="R742" t="b">
        <v>1</v>
      </c>
    </row>
    <row r="743" spans="1:18" x14ac:dyDescent="0.3">
      <c r="A743">
        <v>0</v>
      </c>
      <c r="B743" t="s">
        <v>26</v>
      </c>
      <c r="C743">
        <v>1</v>
      </c>
      <c r="D743" t="s">
        <v>30</v>
      </c>
      <c r="E743" t="s">
        <v>13</v>
      </c>
      <c r="F743" t="str">
        <f t="shared" si="33"/>
        <v>Male</v>
      </c>
      <c r="G743">
        <v>36</v>
      </c>
      <c r="H743">
        <v>1</v>
      </c>
      <c r="I743">
        <v>0</v>
      </c>
      <c r="J743">
        <v>78.849999999999994</v>
      </c>
      <c r="K743" t="s">
        <v>19</v>
      </c>
      <c r="L743" t="s">
        <v>15</v>
      </c>
      <c r="M743" t="str">
        <f t="shared" si="34"/>
        <v>Man</v>
      </c>
      <c r="N743" t="b">
        <v>1</v>
      </c>
      <c r="O743" t="s">
        <v>16</v>
      </c>
      <c r="P743" t="s">
        <v>17</v>
      </c>
      <c r="Q743" t="str">
        <f t="shared" si="35"/>
        <v>No</v>
      </c>
      <c r="R743" t="b">
        <v>0</v>
      </c>
    </row>
    <row r="744" spans="1:18" x14ac:dyDescent="0.3">
      <c r="A744">
        <v>1</v>
      </c>
      <c r="B744" t="s">
        <v>27</v>
      </c>
      <c r="C744">
        <v>1</v>
      </c>
      <c r="D744" t="s">
        <v>30</v>
      </c>
      <c r="E744" t="s">
        <v>18</v>
      </c>
      <c r="F744" t="str">
        <f t="shared" si="33"/>
        <v>Female</v>
      </c>
      <c r="G744">
        <v>21</v>
      </c>
      <c r="H744">
        <v>2</v>
      </c>
      <c r="I744">
        <v>2</v>
      </c>
      <c r="J744">
        <v>262.375</v>
      </c>
      <c r="K744" t="s">
        <v>19</v>
      </c>
      <c r="L744" t="s">
        <v>20</v>
      </c>
      <c r="M744" t="str">
        <f t="shared" si="34"/>
        <v>Woman</v>
      </c>
      <c r="N744" t="b">
        <v>0</v>
      </c>
      <c r="O744" t="s">
        <v>21</v>
      </c>
      <c r="P744" t="s">
        <v>22</v>
      </c>
      <c r="Q744" t="str">
        <f t="shared" si="35"/>
        <v>Yes</v>
      </c>
      <c r="R744" t="b">
        <v>0</v>
      </c>
    </row>
    <row r="745" spans="1:18" x14ac:dyDescent="0.3">
      <c r="A745">
        <v>0</v>
      </c>
      <c r="B745" t="s">
        <v>26</v>
      </c>
      <c r="C745">
        <v>3</v>
      </c>
      <c r="D745" t="s">
        <v>32</v>
      </c>
      <c r="E745" t="s">
        <v>13</v>
      </c>
      <c r="F745" t="str">
        <f t="shared" si="33"/>
        <v>Male</v>
      </c>
      <c r="G745">
        <v>24</v>
      </c>
      <c r="H745">
        <v>1</v>
      </c>
      <c r="I745">
        <v>0</v>
      </c>
      <c r="J745">
        <v>16.100000000000001</v>
      </c>
      <c r="K745" t="s">
        <v>14</v>
      </c>
      <c r="L745" t="s">
        <v>15</v>
      </c>
      <c r="M745" t="str">
        <f t="shared" si="34"/>
        <v>Man</v>
      </c>
      <c r="N745" t="b">
        <v>1</v>
      </c>
      <c r="O745" t="s">
        <v>16</v>
      </c>
      <c r="P745" t="s">
        <v>17</v>
      </c>
      <c r="Q745" t="str">
        <f t="shared" si="35"/>
        <v>No</v>
      </c>
      <c r="R745" t="b">
        <v>0</v>
      </c>
    </row>
    <row r="746" spans="1:18" x14ac:dyDescent="0.3">
      <c r="A746">
        <v>1</v>
      </c>
      <c r="B746" t="s">
        <v>27</v>
      </c>
      <c r="C746">
        <v>3</v>
      </c>
      <c r="D746" t="s">
        <v>32</v>
      </c>
      <c r="E746" t="s">
        <v>13</v>
      </c>
      <c r="F746" t="str">
        <f t="shared" si="33"/>
        <v>Male</v>
      </c>
      <c r="G746">
        <v>31</v>
      </c>
      <c r="H746">
        <v>0</v>
      </c>
      <c r="I746">
        <v>0</v>
      </c>
      <c r="J746">
        <v>7.9249999999999998</v>
      </c>
      <c r="K746" t="s">
        <v>14</v>
      </c>
      <c r="L746" t="s">
        <v>15</v>
      </c>
      <c r="M746" t="str">
        <f t="shared" si="34"/>
        <v>Man</v>
      </c>
      <c r="N746" t="b">
        <v>1</v>
      </c>
      <c r="O746" t="s">
        <v>16</v>
      </c>
      <c r="P746" t="s">
        <v>22</v>
      </c>
      <c r="Q746" t="str">
        <f t="shared" si="35"/>
        <v>Yes</v>
      </c>
      <c r="R746" t="b">
        <v>1</v>
      </c>
    </row>
    <row r="747" spans="1:18" x14ac:dyDescent="0.3">
      <c r="A747">
        <v>0</v>
      </c>
      <c r="B747" t="s">
        <v>26</v>
      </c>
      <c r="C747">
        <v>1</v>
      </c>
      <c r="D747" t="s">
        <v>30</v>
      </c>
      <c r="E747" t="s">
        <v>13</v>
      </c>
      <c r="F747" t="str">
        <f t="shared" si="33"/>
        <v>Male</v>
      </c>
      <c r="G747">
        <v>70</v>
      </c>
      <c r="H747">
        <v>1</v>
      </c>
      <c r="I747">
        <v>1</v>
      </c>
      <c r="J747">
        <v>71</v>
      </c>
      <c r="K747" t="s">
        <v>19</v>
      </c>
      <c r="L747" t="s">
        <v>15</v>
      </c>
      <c r="M747" t="str">
        <f t="shared" si="34"/>
        <v>Man</v>
      </c>
      <c r="N747" t="b">
        <v>1</v>
      </c>
      <c r="O747" t="s">
        <v>16</v>
      </c>
      <c r="P747" t="s">
        <v>17</v>
      </c>
      <c r="Q747" t="str">
        <f t="shared" si="35"/>
        <v>No</v>
      </c>
      <c r="R747" t="b">
        <v>0</v>
      </c>
    </row>
    <row r="748" spans="1:18" x14ac:dyDescent="0.3">
      <c r="A748">
        <v>0</v>
      </c>
      <c r="B748" t="s">
        <v>26</v>
      </c>
      <c r="C748">
        <v>3</v>
      </c>
      <c r="D748" t="s">
        <v>32</v>
      </c>
      <c r="E748" t="s">
        <v>13</v>
      </c>
      <c r="F748" t="str">
        <f t="shared" si="33"/>
        <v>Male</v>
      </c>
      <c r="G748">
        <v>16</v>
      </c>
      <c r="H748">
        <v>1</v>
      </c>
      <c r="I748">
        <v>1</v>
      </c>
      <c r="J748">
        <v>20.25</v>
      </c>
      <c r="K748" t="s">
        <v>14</v>
      </c>
      <c r="L748" t="s">
        <v>15</v>
      </c>
      <c r="M748" t="str">
        <f t="shared" si="34"/>
        <v>Man</v>
      </c>
      <c r="N748" t="b">
        <v>1</v>
      </c>
      <c r="O748" t="s">
        <v>16</v>
      </c>
      <c r="P748" t="s">
        <v>17</v>
      </c>
      <c r="Q748" t="str">
        <f t="shared" si="35"/>
        <v>No</v>
      </c>
      <c r="R748" t="b">
        <v>0</v>
      </c>
    </row>
    <row r="749" spans="1:18" x14ac:dyDescent="0.3">
      <c r="A749">
        <v>1</v>
      </c>
      <c r="B749" t="s">
        <v>27</v>
      </c>
      <c r="C749">
        <v>2</v>
      </c>
      <c r="D749" t="s">
        <v>31</v>
      </c>
      <c r="E749" t="s">
        <v>18</v>
      </c>
      <c r="F749" t="str">
        <f t="shared" si="33"/>
        <v>Female</v>
      </c>
      <c r="G749">
        <v>30</v>
      </c>
      <c r="H749">
        <v>0</v>
      </c>
      <c r="I749">
        <v>0</v>
      </c>
      <c r="J749">
        <v>13</v>
      </c>
      <c r="K749" t="s">
        <v>25</v>
      </c>
      <c r="L749" t="s">
        <v>20</v>
      </c>
      <c r="M749" t="str">
        <f t="shared" si="34"/>
        <v>Woman</v>
      </c>
      <c r="N749" t="b">
        <v>0</v>
      </c>
      <c r="O749" t="s">
        <v>16</v>
      </c>
      <c r="P749" t="s">
        <v>22</v>
      </c>
      <c r="Q749" t="str">
        <f t="shared" si="35"/>
        <v>Yes</v>
      </c>
      <c r="R749" t="b">
        <v>1</v>
      </c>
    </row>
    <row r="750" spans="1:18" x14ac:dyDescent="0.3">
      <c r="A750">
        <v>0</v>
      </c>
      <c r="B750" t="s">
        <v>26</v>
      </c>
      <c r="C750">
        <v>1</v>
      </c>
      <c r="D750" t="s">
        <v>30</v>
      </c>
      <c r="E750" t="s">
        <v>13</v>
      </c>
      <c r="F750" t="str">
        <f t="shared" si="33"/>
        <v>Male</v>
      </c>
      <c r="G750">
        <v>19</v>
      </c>
      <c r="H750">
        <v>1</v>
      </c>
      <c r="I750">
        <v>0</v>
      </c>
      <c r="J750">
        <v>53.1</v>
      </c>
      <c r="K750" t="s">
        <v>19</v>
      </c>
      <c r="L750" t="s">
        <v>15</v>
      </c>
      <c r="M750" t="str">
        <f t="shared" si="34"/>
        <v>Man</v>
      </c>
      <c r="N750" t="b">
        <v>1</v>
      </c>
      <c r="O750" t="s">
        <v>16</v>
      </c>
      <c r="P750" t="s">
        <v>17</v>
      </c>
      <c r="Q750" t="str">
        <f t="shared" si="35"/>
        <v>No</v>
      </c>
      <c r="R750" t="b">
        <v>0</v>
      </c>
    </row>
    <row r="751" spans="1:18" x14ac:dyDescent="0.3">
      <c r="A751">
        <v>0</v>
      </c>
      <c r="B751" t="s">
        <v>26</v>
      </c>
      <c r="C751">
        <v>3</v>
      </c>
      <c r="D751" t="s">
        <v>32</v>
      </c>
      <c r="E751" t="s">
        <v>13</v>
      </c>
      <c r="F751" t="str">
        <f t="shared" si="33"/>
        <v>Male</v>
      </c>
      <c r="G751">
        <v>31</v>
      </c>
      <c r="H751">
        <v>0</v>
      </c>
      <c r="I751">
        <v>0</v>
      </c>
      <c r="J751">
        <v>7.75</v>
      </c>
      <c r="K751" t="s">
        <v>14</v>
      </c>
      <c r="L751" t="s">
        <v>15</v>
      </c>
      <c r="M751" t="str">
        <f t="shared" si="34"/>
        <v>Man</v>
      </c>
      <c r="N751" t="b">
        <v>1</v>
      </c>
      <c r="O751" t="s">
        <v>23</v>
      </c>
      <c r="P751" t="s">
        <v>17</v>
      </c>
      <c r="Q751" t="str">
        <f t="shared" si="35"/>
        <v>No</v>
      </c>
      <c r="R751" t="b">
        <v>1</v>
      </c>
    </row>
    <row r="752" spans="1:18" x14ac:dyDescent="0.3">
      <c r="A752">
        <v>1</v>
      </c>
      <c r="B752" t="s">
        <v>27</v>
      </c>
      <c r="C752">
        <v>2</v>
      </c>
      <c r="D752" t="s">
        <v>31</v>
      </c>
      <c r="E752" t="s">
        <v>18</v>
      </c>
      <c r="F752" t="str">
        <f t="shared" si="33"/>
        <v>Female</v>
      </c>
      <c r="G752">
        <v>4</v>
      </c>
      <c r="H752">
        <v>1</v>
      </c>
      <c r="I752">
        <v>1</v>
      </c>
      <c r="J752">
        <v>23</v>
      </c>
      <c r="K752" t="s">
        <v>25</v>
      </c>
      <c r="L752" t="s">
        <v>24</v>
      </c>
      <c r="M752" t="str">
        <f t="shared" si="34"/>
        <v>Child</v>
      </c>
      <c r="N752" t="b">
        <v>0</v>
      </c>
      <c r="O752" t="s">
        <v>16</v>
      </c>
      <c r="P752" t="s">
        <v>22</v>
      </c>
      <c r="Q752" t="str">
        <f t="shared" si="35"/>
        <v>Yes</v>
      </c>
      <c r="R752" t="b">
        <v>0</v>
      </c>
    </row>
    <row r="753" spans="1:18" x14ac:dyDescent="0.3">
      <c r="A753">
        <v>1</v>
      </c>
      <c r="B753" t="s">
        <v>27</v>
      </c>
      <c r="C753">
        <v>3</v>
      </c>
      <c r="D753" t="s">
        <v>32</v>
      </c>
      <c r="E753" t="s">
        <v>13</v>
      </c>
      <c r="F753" t="str">
        <f t="shared" si="33"/>
        <v>Male</v>
      </c>
      <c r="G753">
        <v>6</v>
      </c>
      <c r="H753">
        <v>0</v>
      </c>
      <c r="I753">
        <v>1</v>
      </c>
      <c r="J753">
        <v>12.475</v>
      </c>
      <c r="K753" t="s">
        <v>14</v>
      </c>
      <c r="L753" t="s">
        <v>24</v>
      </c>
      <c r="M753" t="str">
        <f t="shared" si="34"/>
        <v>Child</v>
      </c>
      <c r="N753" t="b">
        <v>0</v>
      </c>
      <c r="O753" t="s">
        <v>16</v>
      </c>
      <c r="P753" t="s">
        <v>22</v>
      </c>
      <c r="Q753" t="str">
        <f t="shared" si="35"/>
        <v>Yes</v>
      </c>
      <c r="R753" t="b">
        <v>0</v>
      </c>
    </row>
    <row r="754" spans="1:18" x14ac:dyDescent="0.3">
      <c r="A754">
        <v>0</v>
      </c>
      <c r="B754" t="s">
        <v>26</v>
      </c>
      <c r="C754">
        <v>3</v>
      </c>
      <c r="D754" t="s">
        <v>32</v>
      </c>
      <c r="E754" t="s">
        <v>13</v>
      </c>
      <c r="F754" t="str">
        <f t="shared" si="33"/>
        <v>Male</v>
      </c>
      <c r="G754">
        <v>33</v>
      </c>
      <c r="H754">
        <v>0</v>
      </c>
      <c r="I754">
        <v>0</v>
      </c>
      <c r="J754">
        <v>9.5</v>
      </c>
      <c r="K754" t="s">
        <v>14</v>
      </c>
      <c r="L754" t="s">
        <v>15</v>
      </c>
      <c r="M754" t="str">
        <f t="shared" si="34"/>
        <v>Man</v>
      </c>
      <c r="N754" t="b">
        <v>1</v>
      </c>
      <c r="O754" t="s">
        <v>16</v>
      </c>
      <c r="P754" t="s">
        <v>17</v>
      </c>
      <c r="Q754" t="str">
        <f t="shared" si="35"/>
        <v>No</v>
      </c>
      <c r="R754" t="b">
        <v>1</v>
      </c>
    </row>
    <row r="755" spans="1:18" x14ac:dyDescent="0.3">
      <c r="A755">
        <v>0</v>
      </c>
      <c r="B755" t="s">
        <v>26</v>
      </c>
      <c r="C755">
        <v>3</v>
      </c>
      <c r="D755" t="s">
        <v>32</v>
      </c>
      <c r="E755" t="s">
        <v>13</v>
      </c>
      <c r="F755" t="str">
        <f t="shared" si="33"/>
        <v>Male</v>
      </c>
      <c r="G755">
        <v>23</v>
      </c>
      <c r="H755">
        <v>0</v>
      </c>
      <c r="I755">
        <v>0</v>
      </c>
      <c r="J755">
        <v>7.8958000000000004</v>
      </c>
      <c r="K755" t="s">
        <v>14</v>
      </c>
      <c r="L755" t="s">
        <v>15</v>
      </c>
      <c r="M755" t="str">
        <f t="shared" si="34"/>
        <v>Man</v>
      </c>
      <c r="N755" t="b">
        <v>1</v>
      </c>
      <c r="O755" t="s">
        <v>16</v>
      </c>
      <c r="P755" t="s">
        <v>17</v>
      </c>
      <c r="Q755" t="str">
        <f t="shared" si="35"/>
        <v>No</v>
      </c>
      <c r="R755" t="b">
        <v>1</v>
      </c>
    </row>
    <row r="756" spans="1:18" x14ac:dyDescent="0.3">
      <c r="A756">
        <v>1</v>
      </c>
      <c r="B756" t="s">
        <v>27</v>
      </c>
      <c r="C756">
        <v>2</v>
      </c>
      <c r="D756" t="s">
        <v>31</v>
      </c>
      <c r="E756" t="s">
        <v>18</v>
      </c>
      <c r="F756" t="str">
        <f t="shared" si="33"/>
        <v>Female</v>
      </c>
      <c r="G756">
        <v>48</v>
      </c>
      <c r="H756">
        <v>1</v>
      </c>
      <c r="I756">
        <v>2</v>
      </c>
      <c r="J756">
        <v>65</v>
      </c>
      <c r="K756" t="s">
        <v>25</v>
      </c>
      <c r="L756" t="s">
        <v>20</v>
      </c>
      <c r="M756" t="str">
        <f t="shared" si="34"/>
        <v>Woman</v>
      </c>
      <c r="N756" t="b">
        <v>0</v>
      </c>
      <c r="O756" t="s">
        <v>16</v>
      </c>
      <c r="P756" t="s">
        <v>22</v>
      </c>
      <c r="Q756" t="str">
        <f t="shared" si="35"/>
        <v>Yes</v>
      </c>
      <c r="R756" t="b">
        <v>0</v>
      </c>
    </row>
    <row r="757" spans="1:18" x14ac:dyDescent="0.3">
      <c r="A757">
        <v>1</v>
      </c>
      <c r="B757" t="s">
        <v>27</v>
      </c>
      <c r="C757">
        <v>2</v>
      </c>
      <c r="D757" t="s">
        <v>31</v>
      </c>
      <c r="E757" t="s">
        <v>13</v>
      </c>
      <c r="F757" t="str">
        <f t="shared" si="33"/>
        <v>Male</v>
      </c>
      <c r="G757">
        <v>0.67</v>
      </c>
      <c r="H757">
        <v>1</v>
      </c>
      <c r="I757">
        <v>1</v>
      </c>
      <c r="J757">
        <v>14.5</v>
      </c>
      <c r="K757" t="s">
        <v>25</v>
      </c>
      <c r="L757" t="s">
        <v>24</v>
      </c>
      <c r="M757" t="str">
        <f t="shared" si="34"/>
        <v>Child</v>
      </c>
      <c r="N757" t="b">
        <v>0</v>
      </c>
      <c r="O757" t="s">
        <v>16</v>
      </c>
      <c r="P757" t="s">
        <v>22</v>
      </c>
      <c r="Q757" t="str">
        <f t="shared" si="35"/>
        <v>Yes</v>
      </c>
      <c r="R757" t="b">
        <v>0</v>
      </c>
    </row>
    <row r="758" spans="1:18" x14ac:dyDescent="0.3">
      <c r="A758">
        <v>0</v>
      </c>
      <c r="B758" t="s">
        <v>26</v>
      </c>
      <c r="C758">
        <v>3</v>
      </c>
      <c r="D758" t="s">
        <v>32</v>
      </c>
      <c r="E758" t="s">
        <v>13</v>
      </c>
      <c r="F758" t="str">
        <f t="shared" si="33"/>
        <v>Male</v>
      </c>
      <c r="G758">
        <v>28</v>
      </c>
      <c r="H758">
        <v>0</v>
      </c>
      <c r="I758">
        <v>0</v>
      </c>
      <c r="J758">
        <v>7.7957999999999998</v>
      </c>
      <c r="K758" t="s">
        <v>14</v>
      </c>
      <c r="L758" t="s">
        <v>15</v>
      </c>
      <c r="M758" t="str">
        <f t="shared" si="34"/>
        <v>Man</v>
      </c>
      <c r="N758" t="b">
        <v>1</v>
      </c>
      <c r="O758" t="s">
        <v>16</v>
      </c>
      <c r="P758" t="s">
        <v>17</v>
      </c>
      <c r="Q758" t="str">
        <f t="shared" si="35"/>
        <v>No</v>
      </c>
      <c r="R758" t="b">
        <v>1</v>
      </c>
    </row>
    <row r="759" spans="1:18" x14ac:dyDescent="0.3">
      <c r="A759">
        <v>0</v>
      </c>
      <c r="B759" t="s">
        <v>26</v>
      </c>
      <c r="C759">
        <v>2</v>
      </c>
      <c r="D759" t="s">
        <v>31</v>
      </c>
      <c r="E759" t="s">
        <v>13</v>
      </c>
      <c r="F759" t="str">
        <f t="shared" si="33"/>
        <v>Male</v>
      </c>
      <c r="G759">
        <v>18</v>
      </c>
      <c r="H759">
        <v>0</v>
      </c>
      <c r="I759">
        <v>0</v>
      </c>
      <c r="J759">
        <v>11.5</v>
      </c>
      <c r="K759" t="s">
        <v>25</v>
      </c>
      <c r="L759" t="s">
        <v>15</v>
      </c>
      <c r="M759" t="str">
        <f t="shared" si="34"/>
        <v>Man</v>
      </c>
      <c r="N759" t="b">
        <v>1</v>
      </c>
      <c r="O759" t="s">
        <v>16</v>
      </c>
      <c r="P759" t="s">
        <v>17</v>
      </c>
      <c r="Q759" t="str">
        <f t="shared" si="35"/>
        <v>No</v>
      </c>
      <c r="R759" t="b">
        <v>1</v>
      </c>
    </row>
    <row r="760" spans="1:18" x14ac:dyDescent="0.3">
      <c r="A760">
        <v>0</v>
      </c>
      <c r="B760" t="s">
        <v>26</v>
      </c>
      <c r="C760">
        <v>3</v>
      </c>
      <c r="D760" t="s">
        <v>32</v>
      </c>
      <c r="E760" t="s">
        <v>13</v>
      </c>
      <c r="F760" t="str">
        <f t="shared" si="33"/>
        <v>Male</v>
      </c>
      <c r="G760">
        <v>34</v>
      </c>
      <c r="H760">
        <v>0</v>
      </c>
      <c r="I760">
        <v>0</v>
      </c>
      <c r="J760">
        <v>8.0500000000000007</v>
      </c>
      <c r="K760" t="s">
        <v>14</v>
      </c>
      <c r="L760" t="s">
        <v>15</v>
      </c>
      <c r="M760" t="str">
        <f t="shared" si="34"/>
        <v>Man</v>
      </c>
      <c r="N760" t="b">
        <v>1</v>
      </c>
      <c r="O760" t="s">
        <v>16</v>
      </c>
      <c r="P760" t="s">
        <v>17</v>
      </c>
      <c r="Q760" t="str">
        <f t="shared" si="35"/>
        <v>No</v>
      </c>
      <c r="R760" t="b">
        <v>1</v>
      </c>
    </row>
    <row r="761" spans="1:18" x14ac:dyDescent="0.3">
      <c r="A761">
        <v>1</v>
      </c>
      <c r="B761" t="s">
        <v>27</v>
      </c>
      <c r="C761">
        <v>1</v>
      </c>
      <c r="D761" t="s">
        <v>30</v>
      </c>
      <c r="E761" t="s">
        <v>18</v>
      </c>
      <c r="F761" t="str">
        <f t="shared" si="33"/>
        <v>Female</v>
      </c>
      <c r="G761">
        <v>33</v>
      </c>
      <c r="H761">
        <v>0</v>
      </c>
      <c r="I761">
        <v>0</v>
      </c>
      <c r="J761">
        <v>86.5</v>
      </c>
      <c r="K761" t="s">
        <v>19</v>
      </c>
      <c r="L761" t="s">
        <v>20</v>
      </c>
      <c r="M761" t="str">
        <f t="shared" si="34"/>
        <v>Woman</v>
      </c>
      <c r="N761" t="b">
        <v>0</v>
      </c>
      <c r="O761" t="s">
        <v>16</v>
      </c>
      <c r="P761" t="s">
        <v>22</v>
      </c>
      <c r="Q761" t="str">
        <f t="shared" si="35"/>
        <v>Yes</v>
      </c>
      <c r="R761" t="b">
        <v>1</v>
      </c>
    </row>
    <row r="762" spans="1:18" x14ac:dyDescent="0.3">
      <c r="A762">
        <v>0</v>
      </c>
      <c r="B762" t="s">
        <v>26</v>
      </c>
      <c r="C762">
        <v>3</v>
      </c>
      <c r="D762" t="s">
        <v>32</v>
      </c>
      <c r="E762" t="s">
        <v>13</v>
      </c>
      <c r="F762" t="str">
        <f t="shared" si="33"/>
        <v>Male</v>
      </c>
      <c r="G762">
        <v>30</v>
      </c>
      <c r="H762">
        <v>0</v>
      </c>
      <c r="I762">
        <v>0</v>
      </c>
      <c r="J762">
        <v>14.5</v>
      </c>
      <c r="K762" t="s">
        <v>14</v>
      </c>
      <c r="L762" t="s">
        <v>15</v>
      </c>
      <c r="M762" t="str">
        <f t="shared" si="34"/>
        <v>Man</v>
      </c>
      <c r="N762" t="b">
        <v>1</v>
      </c>
      <c r="O762" t="s">
        <v>16</v>
      </c>
      <c r="P762" t="s">
        <v>17</v>
      </c>
      <c r="Q762" t="str">
        <f t="shared" si="35"/>
        <v>No</v>
      </c>
      <c r="R762" t="b">
        <v>1</v>
      </c>
    </row>
    <row r="763" spans="1:18" x14ac:dyDescent="0.3">
      <c r="A763">
        <v>0</v>
      </c>
      <c r="B763" t="s">
        <v>26</v>
      </c>
      <c r="C763">
        <v>3</v>
      </c>
      <c r="D763" t="s">
        <v>32</v>
      </c>
      <c r="E763" t="s">
        <v>13</v>
      </c>
      <c r="F763" t="str">
        <f t="shared" si="33"/>
        <v>Male</v>
      </c>
      <c r="G763">
        <v>41</v>
      </c>
      <c r="H763">
        <v>0</v>
      </c>
      <c r="I763">
        <v>0</v>
      </c>
      <c r="J763">
        <v>7.125</v>
      </c>
      <c r="K763" t="s">
        <v>14</v>
      </c>
      <c r="L763" t="s">
        <v>15</v>
      </c>
      <c r="M763" t="str">
        <f t="shared" si="34"/>
        <v>Man</v>
      </c>
      <c r="N763" t="b">
        <v>1</v>
      </c>
      <c r="O763" t="s">
        <v>16</v>
      </c>
      <c r="P763" t="s">
        <v>17</v>
      </c>
      <c r="Q763" t="str">
        <f t="shared" si="35"/>
        <v>No</v>
      </c>
      <c r="R763" t="b">
        <v>1</v>
      </c>
    </row>
    <row r="764" spans="1:18" x14ac:dyDescent="0.3">
      <c r="A764">
        <v>1</v>
      </c>
      <c r="B764" t="s">
        <v>27</v>
      </c>
      <c r="C764">
        <v>3</v>
      </c>
      <c r="D764" t="s">
        <v>32</v>
      </c>
      <c r="E764" t="s">
        <v>13</v>
      </c>
      <c r="F764" t="str">
        <f t="shared" si="33"/>
        <v>Male</v>
      </c>
      <c r="G764">
        <v>20</v>
      </c>
      <c r="H764">
        <v>0</v>
      </c>
      <c r="I764">
        <v>0</v>
      </c>
      <c r="J764">
        <v>7.2291999999999996</v>
      </c>
      <c r="K764" t="s">
        <v>14</v>
      </c>
      <c r="L764" t="s">
        <v>15</v>
      </c>
      <c r="M764" t="str">
        <f t="shared" si="34"/>
        <v>Man</v>
      </c>
      <c r="N764" t="b">
        <v>1</v>
      </c>
      <c r="O764" t="s">
        <v>21</v>
      </c>
      <c r="P764" t="s">
        <v>22</v>
      </c>
      <c r="Q764" t="str">
        <f t="shared" si="35"/>
        <v>Yes</v>
      </c>
      <c r="R764" t="b">
        <v>1</v>
      </c>
    </row>
    <row r="765" spans="1:18" x14ac:dyDescent="0.3">
      <c r="A765">
        <v>1</v>
      </c>
      <c r="B765" t="s">
        <v>27</v>
      </c>
      <c r="C765">
        <v>1</v>
      </c>
      <c r="D765" t="s">
        <v>30</v>
      </c>
      <c r="E765" t="s">
        <v>18</v>
      </c>
      <c r="F765" t="str">
        <f t="shared" si="33"/>
        <v>Female</v>
      </c>
      <c r="G765">
        <v>36</v>
      </c>
      <c r="H765">
        <v>1</v>
      </c>
      <c r="I765">
        <v>2</v>
      </c>
      <c r="J765">
        <v>120</v>
      </c>
      <c r="K765" t="s">
        <v>19</v>
      </c>
      <c r="L765" t="s">
        <v>20</v>
      </c>
      <c r="M765" t="str">
        <f t="shared" si="34"/>
        <v>Woman</v>
      </c>
      <c r="N765" t="b">
        <v>0</v>
      </c>
      <c r="O765" t="s">
        <v>16</v>
      </c>
      <c r="P765" t="s">
        <v>22</v>
      </c>
      <c r="Q765" t="str">
        <f t="shared" si="35"/>
        <v>Yes</v>
      </c>
      <c r="R765" t="b">
        <v>0</v>
      </c>
    </row>
    <row r="766" spans="1:18" x14ac:dyDescent="0.3">
      <c r="A766">
        <v>0</v>
      </c>
      <c r="B766" t="s">
        <v>26</v>
      </c>
      <c r="C766">
        <v>3</v>
      </c>
      <c r="D766" t="s">
        <v>32</v>
      </c>
      <c r="E766" t="s">
        <v>13</v>
      </c>
      <c r="F766" t="str">
        <f t="shared" si="33"/>
        <v>Male</v>
      </c>
      <c r="G766">
        <v>16</v>
      </c>
      <c r="H766">
        <v>0</v>
      </c>
      <c r="I766">
        <v>0</v>
      </c>
      <c r="J766">
        <v>7.7750000000000004</v>
      </c>
      <c r="K766" t="s">
        <v>14</v>
      </c>
      <c r="L766" t="s">
        <v>15</v>
      </c>
      <c r="M766" t="str">
        <f t="shared" si="34"/>
        <v>Man</v>
      </c>
      <c r="N766" t="b">
        <v>1</v>
      </c>
      <c r="O766" t="s">
        <v>16</v>
      </c>
      <c r="P766" t="s">
        <v>17</v>
      </c>
      <c r="Q766" t="str">
        <f t="shared" si="35"/>
        <v>No</v>
      </c>
      <c r="R766" t="b">
        <v>1</v>
      </c>
    </row>
    <row r="767" spans="1:18" x14ac:dyDescent="0.3">
      <c r="A767">
        <v>1</v>
      </c>
      <c r="B767" t="s">
        <v>27</v>
      </c>
      <c r="C767">
        <v>1</v>
      </c>
      <c r="D767" t="s">
        <v>30</v>
      </c>
      <c r="E767" t="s">
        <v>18</v>
      </c>
      <c r="F767" t="str">
        <f t="shared" si="33"/>
        <v>Female</v>
      </c>
      <c r="G767">
        <v>51</v>
      </c>
      <c r="H767">
        <v>1</v>
      </c>
      <c r="I767">
        <v>0</v>
      </c>
      <c r="J767">
        <v>77.958299999999994</v>
      </c>
      <c r="K767" t="s">
        <v>19</v>
      </c>
      <c r="L767" t="s">
        <v>20</v>
      </c>
      <c r="M767" t="str">
        <f t="shared" si="34"/>
        <v>Woman</v>
      </c>
      <c r="N767" t="b">
        <v>0</v>
      </c>
      <c r="O767" t="s">
        <v>16</v>
      </c>
      <c r="P767" t="s">
        <v>22</v>
      </c>
      <c r="Q767" t="str">
        <f t="shared" si="35"/>
        <v>Yes</v>
      </c>
      <c r="R767" t="b">
        <v>0</v>
      </c>
    </row>
    <row r="768" spans="1:18" x14ac:dyDescent="0.3">
      <c r="A768">
        <v>0</v>
      </c>
      <c r="B768" t="s">
        <v>26</v>
      </c>
      <c r="C768">
        <v>1</v>
      </c>
      <c r="D768" t="s">
        <v>30</v>
      </c>
      <c r="E768" t="s">
        <v>13</v>
      </c>
      <c r="F768" t="str">
        <f t="shared" si="33"/>
        <v>Male</v>
      </c>
      <c r="G768">
        <v>30</v>
      </c>
      <c r="H768">
        <v>0</v>
      </c>
      <c r="I768">
        <v>0</v>
      </c>
      <c r="J768">
        <v>39.6</v>
      </c>
      <c r="K768" t="s">
        <v>19</v>
      </c>
      <c r="L768" t="s">
        <v>15</v>
      </c>
      <c r="M768" t="str">
        <f t="shared" si="34"/>
        <v>Man</v>
      </c>
      <c r="N768" t="b">
        <v>1</v>
      </c>
      <c r="O768" t="s">
        <v>21</v>
      </c>
      <c r="P768" t="s">
        <v>17</v>
      </c>
      <c r="Q768" t="str">
        <f t="shared" si="35"/>
        <v>No</v>
      </c>
      <c r="R768" t="b">
        <v>1</v>
      </c>
    </row>
    <row r="769" spans="1:18" x14ac:dyDescent="0.3">
      <c r="A769">
        <v>0</v>
      </c>
      <c r="B769" t="s">
        <v>26</v>
      </c>
      <c r="C769">
        <v>3</v>
      </c>
      <c r="D769" t="s">
        <v>32</v>
      </c>
      <c r="E769" t="s">
        <v>18</v>
      </c>
      <c r="F769" t="str">
        <f t="shared" si="33"/>
        <v>Female</v>
      </c>
      <c r="G769">
        <v>30.5</v>
      </c>
      <c r="H769">
        <v>0</v>
      </c>
      <c r="I769">
        <v>0</v>
      </c>
      <c r="J769">
        <v>7.75</v>
      </c>
      <c r="K769" t="s">
        <v>14</v>
      </c>
      <c r="L769" t="s">
        <v>20</v>
      </c>
      <c r="M769" t="str">
        <f t="shared" si="34"/>
        <v>Woman</v>
      </c>
      <c r="N769" t="b">
        <v>0</v>
      </c>
      <c r="O769" t="s">
        <v>23</v>
      </c>
      <c r="P769" t="s">
        <v>17</v>
      </c>
      <c r="Q769" t="str">
        <f t="shared" si="35"/>
        <v>No</v>
      </c>
      <c r="R769" t="b">
        <v>1</v>
      </c>
    </row>
    <row r="770" spans="1:18" x14ac:dyDescent="0.3">
      <c r="A770">
        <v>0</v>
      </c>
      <c r="B770" t="s">
        <v>26</v>
      </c>
      <c r="C770">
        <v>3</v>
      </c>
      <c r="D770" t="s">
        <v>32</v>
      </c>
      <c r="E770" t="s">
        <v>13</v>
      </c>
      <c r="F770" t="str">
        <f t="shared" si="33"/>
        <v>Male</v>
      </c>
      <c r="G770">
        <v>30</v>
      </c>
      <c r="H770">
        <v>1</v>
      </c>
      <c r="I770">
        <v>0</v>
      </c>
      <c r="J770">
        <v>24.15</v>
      </c>
      <c r="K770" t="s">
        <v>14</v>
      </c>
      <c r="L770" t="s">
        <v>15</v>
      </c>
      <c r="M770" t="str">
        <f t="shared" si="34"/>
        <v>Man</v>
      </c>
      <c r="N770" t="b">
        <v>1</v>
      </c>
      <c r="O770" t="s">
        <v>23</v>
      </c>
      <c r="P770" t="s">
        <v>17</v>
      </c>
      <c r="Q770" t="str">
        <f t="shared" si="35"/>
        <v>No</v>
      </c>
      <c r="R770" t="b">
        <v>0</v>
      </c>
    </row>
    <row r="771" spans="1:18" x14ac:dyDescent="0.3">
      <c r="A771">
        <v>0</v>
      </c>
      <c r="B771" t="s">
        <v>26</v>
      </c>
      <c r="C771">
        <v>3</v>
      </c>
      <c r="D771" t="s">
        <v>32</v>
      </c>
      <c r="E771" t="s">
        <v>13</v>
      </c>
      <c r="F771" t="str">
        <f t="shared" ref="F771:F834" si="36">PROPER(E771)</f>
        <v>Male</v>
      </c>
      <c r="G771">
        <v>32</v>
      </c>
      <c r="H771">
        <v>0</v>
      </c>
      <c r="I771">
        <v>0</v>
      </c>
      <c r="J771">
        <v>8.3625000000000007</v>
      </c>
      <c r="K771" t="s">
        <v>14</v>
      </c>
      <c r="L771" t="s">
        <v>15</v>
      </c>
      <c r="M771" t="str">
        <f t="shared" ref="M771:M834" si="37">PROPER(L771)</f>
        <v>Man</v>
      </c>
      <c r="N771" t="b">
        <v>1</v>
      </c>
      <c r="O771" t="s">
        <v>16</v>
      </c>
      <c r="P771" t="s">
        <v>17</v>
      </c>
      <c r="Q771" t="str">
        <f t="shared" ref="Q771:Q834" si="38">PROPER(P771)</f>
        <v>No</v>
      </c>
      <c r="R771" t="b">
        <v>1</v>
      </c>
    </row>
    <row r="772" spans="1:18" x14ac:dyDescent="0.3">
      <c r="A772">
        <v>0</v>
      </c>
      <c r="B772" t="s">
        <v>26</v>
      </c>
      <c r="C772">
        <v>3</v>
      </c>
      <c r="D772" t="s">
        <v>32</v>
      </c>
      <c r="E772" t="s">
        <v>13</v>
      </c>
      <c r="F772" t="str">
        <f t="shared" si="36"/>
        <v>Male</v>
      </c>
      <c r="G772">
        <v>24</v>
      </c>
      <c r="H772">
        <v>0</v>
      </c>
      <c r="I772">
        <v>0</v>
      </c>
      <c r="J772">
        <v>9.5</v>
      </c>
      <c r="K772" t="s">
        <v>14</v>
      </c>
      <c r="L772" t="s">
        <v>15</v>
      </c>
      <c r="M772" t="str">
        <f t="shared" si="37"/>
        <v>Man</v>
      </c>
      <c r="N772" t="b">
        <v>1</v>
      </c>
      <c r="O772" t="s">
        <v>16</v>
      </c>
      <c r="P772" t="s">
        <v>17</v>
      </c>
      <c r="Q772" t="str">
        <f t="shared" si="38"/>
        <v>No</v>
      </c>
      <c r="R772" t="b">
        <v>1</v>
      </c>
    </row>
    <row r="773" spans="1:18" x14ac:dyDescent="0.3">
      <c r="A773">
        <v>0</v>
      </c>
      <c r="B773" t="s">
        <v>26</v>
      </c>
      <c r="C773">
        <v>3</v>
      </c>
      <c r="D773" t="s">
        <v>32</v>
      </c>
      <c r="E773" t="s">
        <v>13</v>
      </c>
      <c r="F773" t="str">
        <f t="shared" si="36"/>
        <v>Male</v>
      </c>
      <c r="G773">
        <v>48</v>
      </c>
      <c r="H773">
        <v>0</v>
      </c>
      <c r="I773">
        <v>0</v>
      </c>
      <c r="J773">
        <v>7.8541999999999996</v>
      </c>
      <c r="K773" t="s">
        <v>14</v>
      </c>
      <c r="L773" t="s">
        <v>15</v>
      </c>
      <c r="M773" t="str">
        <f t="shared" si="37"/>
        <v>Man</v>
      </c>
      <c r="N773" t="b">
        <v>1</v>
      </c>
      <c r="O773" t="s">
        <v>16</v>
      </c>
      <c r="P773" t="s">
        <v>17</v>
      </c>
      <c r="Q773" t="str">
        <f t="shared" si="38"/>
        <v>No</v>
      </c>
      <c r="R773" t="b">
        <v>1</v>
      </c>
    </row>
    <row r="774" spans="1:18" x14ac:dyDescent="0.3">
      <c r="A774">
        <v>0</v>
      </c>
      <c r="B774" t="s">
        <v>26</v>
      </c>
      <c r="C774">
        <v>2</v>
      </c>
      <c r="D774" t="s">
        <v>31</v>
      </c>
      <c r="E774" t="s">
        <v>18</v>
      </c>
      <c r="F774" t="str">
        <f t="shared" si="36"/>
        <v>Female</v>
      </c>
      <c r="G774">
        <v>57</v>
      </c>
      <c r="H774">
        <v>0</v>
      </c>
      <c r="I774">
        <v>0</v>
      </c>
      <c r="J774">
        <v>10.5</v>
      </c>
      <c r="K774" t="s">
        <v>25</v>
      </c>
      <c r="L774" t="s">
        <v>20</v>
      </c>
      <c r="M774" t="str">
        <f t="shared" si="37"/>
        <v>Woman</v>
      </c>
      <c r="N774" t="b">
        <v>0</v>
      </c>
      <c r="O774" t="s">
        <v>16</v>
      </c>
      <c r="P774" t="s">
        <v>17</v>
      </c>
      <c r="Q774" t="str">
        <f t="shared" si="38"/>
        <v>No</v>
      </c>
      <c r="R774" t="b">
        <v>1</v>
      </c>
    </row>
    <row r="775" spans="1:18" x14ac:dyDescent="0.3">
      <c r="A775">
        <v>0</v>
      </c>
      <c r="B775" t="s">
        <v>26</v>
      </c>
      <c r="C775">
        <v>3</v>
      </c>
      <c r="D775" t="s">
        <v>32</v>
      </c>
      <c r="E775" t="s">
        <v>13</v>
      </c>
      <c r="F775" t="str">
        <f t="shared" si="36"/>
        <v>Male</v>
      </c>
      <c r="G775">
        <v>30</v>
      </c>
      <c r="H775">
        <v>0</v>
      </c>
      <c r="I775">
        <v>0</v>
      </c>
      <c r="J775">
        <v>7.2249999999999996</v>
      </c>
      <c r="K775" t="s">
        <v>14</v>
      </c>
      <c r="L775" t="s">
        <v>15</v>
      </c>
      <c r="M775" t="str">
        <f t="shared" si="37"/>
        <v>Man</v>
      </c>
      <c r="N775" t="b">
        <v>1</v>
      </c>
      <c r="O775" t="s">
        <v>21</v>
      </c>
      <c r="P775" t="s">
        <v>17</v>
      </c>
      <c r="Q775" t="str">
        <f t="shared" si="38"/>
        <v>No</v>
      </c>
      <c r="R775" t="b">
        <v>1</v>
      </c>
    </row>
    <row r="776" spans="1:18" x14ac:dyDescent="0.3">
      <c r="A776">
        <v>1</v>
      </c>
      <c r="B776" t="s">
        <v>27</v>
      </c>
      <c r="C776">
        <v>2</v>
      </c>
      <c r="D776" t="s">
        <v>31</v>
      </c>
      <c r="E776" t="s">
        <v>18</v>
      </c>
      <c r="F776" t="str">
        <f t="shared" si="36"/>
        <v>Female</v>
      </c>
      <c r="G776">
        <v>54</v>
      </c>
      <c r="H776">
        <v>1</v>
      </c>
      <c r="I776">
        <v>3</v>
      </c>
      <c r="J776">
        <v>23</v>
      </c>
      <c r="K776" t="s">
        <v>25</v>
      </c>
      <c r="L776" t="s">
        <v>20</v>
      </c>
      <c r="M776" t="str">
        <f t="shared" si="37"/>
        <v>Woman</v>
      </c>
      <c r="N776" t="b">
        <v>0</v>
      </c>
      <c r="O776" t="s">
        <v>16</v>
      </c>
      <c r="P776" t="s">
        <v>22</v>
      </c>
      <c r="Q776" t="str">
        <f t="shared" si="38"/>
        <v>Yes</v>
      </c>
      <c r="R776" t="b">
        <v>0</v>
      </c>
    </row>
    <row r="777" spans="1:18" x14ac:dyDescent="0.3">
      <c r="A777">
        <v>0</v>
      </c>
      <c r="B777" t="s">
        <v>26</v>
      </c>
      <c r="C777">
        <v>3</v>
      </c>
      <c r="D777" t="s">
        <v>32</v>
      </c>
      <c r="E777" t="s">
        <v>13</v>
      </c>
      <c r="F777" t="str">
        <f t="shared" si="36"/>
        <v>Male</v>
      </c>
      <c r="G777">
        <v>18</v>
      </c>
      <c r="H777">
        <v>0</v>
      </c>
      <c r="I777">
        <v>0</v>
      </c>
      <c r="J777">
        <v>7.75</v>
      </c>
      <c r="K777" t="s">
        <v>14</v>
      </c>
      <c r="L777" t="s">
        <v>15</v>
      </c>
      <c r="M777" t="str">
        <f t="shared" si="37"/>
        <v>Man</v>
      </c>
      <c r="N777" t="b">
        <v>1</v>
      </c>
      <c r="O777" t="s">
        <v>16</v>
      </c>
      <c r="P777" t="s">
        <v>17</v>
      </c>
      <c r="Q777" t="str">
        <f t="shared" si="38"/>
        <v>No</v>
      </c>
      <c r="R777" t="b">
        <v>1</v>
      </c>
    </row>
    <row r="778" spans="1:18" x14ac:dyDescent="0.3">
      <c r="A778">
        <v>0</v>
      </c>
      <c r="B778" t="s">
        <v>26</v>
      </c>
      <c r="C778">
        <v>3</v>
      </c>
      <c r="D778" t="s">
        <v>32</v>
      </c>
      <c r="E778" t="s">
        <v>13</v>
      </c>
      <c r="F778" t="str">
        <f t="shared" si="36"/>
        <v>Male</v>
      </c>
      <c r="G778">
        <v>30</v>
      </c>
      <c r="H778">
        <v>0</v>
      </c>
      <c r="I778">
        <v>0</v>
      </c>
      <c r="J778">
        <v>7.75</v>
      </c>
      <c r="K778" t="s">
        <v>14</v>
      </c>
      <c r="L778" t="s">
        <v>15</v>
      </c>
      <c r="M778" t="str">
        <f t="shared" si="37"/>
        <v>Man</v>
      </c>
      <c r="N778" t="b">
        <v>1</v>
      </c>
      <c r="O778" t="s">
        <v>23</v>
      </c>
      <c r="P778" t="s">
        <v>17</v>
      </c>
      <c r="Q778" t="str">
        <f t="shared" si="38"/>
        <v>No</v>
      </c>
      <c r="R778" t="b">
        <v>1</v>
      </c>
    </row>
    <row r="779" spans="1:18" x14ac:dyDescent="0.3">
      <c r="A779">
        <v>1</v>
      </c>
      <c r="B779" t="s">
        <v>27</v>
      </c>
      <c r="C779">
        <v>3</v>
      </c>
      <c r="D779" t="s">
        <v>32</v>
      </c>
      <c r="E779" t="s">
        <v>18</v>
      </c>
      <c r="F779" t="str">
        <f t="shared" si="36"/>
        <v>Female</v>
      </c>
      <c r="G779">
        <v>5</v>
      </c>
      <c r="H779">
        <v>0</v>
      </c>
      <c r="I779">
        <v>0</v>
      </c>
      <c r="J779">
        <v>12.475</v>
      </c>
      <c r="K779" t="s">
        <v>14</v>
      </c>
      <c r="L779" t="s">
        <v>24</v>
      </c>
      <c r="M779" t="str">
        <f t="shared" si="37"/>
        <v>Child</v>
      </c>
      <c r="N779" t="b">
        <v>0</v>
      </c>
      <c r="O779" t="s">
        <v>16</v>
      </c>
      <c r="P779" t="s">
        <v>22</v>
      </c>
      <c r="Q779" t="str">
        <f t="shared" si="38"/>
        <v>Yes</v>
      </c>
      <c r="R779" t="b">
        <v>1</v>
      </c>
    </row>
    <row r="780" spans="1:18" x14ac:dyDescent="0.3">
      <c r="A780">
        <v>0</v>
      </c>
      <c r="B780" t="s">
        <v>26</v>
      </c>
      <c r="C780">
        <v>3</v>
      </c>
      <c r="D780" t="s">
        <v>32</v>
      </c>
      <c r="E780" t="s">
        <v>13</v>
      </c>
      <c r="F780" t="str">
        <f t="shared" si="36"/>
        <v>Male</v>
      </c>
      <c r="G780">
        <v>30</v>
      </c>
      <c r="H780">
        <v>0</v>
      </c>
      <c r="I780">
        <v>0</v>
      </c>
      <c r="J780">
        <v>7.7374999999999998</v>
      </c>
      <c r="K780" t="s">
        <v>14</v>
      </c>
      <c r="L780" t="s">
        <v>15</v>
      </c>
      <c r="M780" t="str">
        <f t="shared" si="37"/>
        <v>Man</v>
      </c>
      <c r="N780" t="b">
        <v>1</v>
      </c>
      <c r="O780" t="s">
        <v>23</v>
      </c>
      <c r="P780" t="s">
        <v>17</v>
      </c>
      <c r="Q780" t="str">
        <f t="shared" si="38"/>
        <v>No</v>
      </c>
      <c r="R780" t="b">
        <v>1</v>
      </c>
    </row>
    <row r="781" spans="1:18" x14ac:dyDescent="0.3">
      <c r="A781">
        <v>1</v>
      </c>
      <c r="B781" t="s">
        <v>27</v>
      </c>
      <c r="C781">
        <v>1</v>
      </c>
      <c r="D781" t="s">
        <v>30</v>
      </c>
      <c r="E781" t="s">
        <v>18</v>
      </c>
      <c r="F781" t="str">
        <f t="shared" si="36"/>
        <v>Female</v>
      </c>
      <c r="G781">
        <v>43</v>
      </c>
      <c r="H781">
        <v>0</v>
      </c>
      <c r="I781">
        <v>1</v>
      </c>
      <c r="J781">
        <v>211.33750000000001</v>
      </c>
      <c r="K781" t="s">
        <v>19</v>
      </c>
      <c r="L781" t="s">
        <v>20</v>
      </c>
      <c r="M781" t="str">
        <f t="shared" si="37"/>
        <v>Woman</v>
      </c>
      <c r="N781" t="b">
        <v>0</v>
      </c>
      <c r="O781" t="s">
        <v>16</v>
      </c>
      <c r="P781" t="s">
        <v>22</v>
      </c>
      <c r="Q781" t="str">
        <f t="shared" si="38"/>
        <v>Yes</v>
      </c>
      <c r="R781" t="b">
        <v>0</v>
      </c>
    </row>
    <row r="782" spans="1:18" x14ac:dyDescent="0.3">
      <c r="A782">
        <v>1</v>
      </c>
      <c r="B782" t="s">
        <v>27</v>
      </c>
      <c r="C782">
        <v>3</v>
      </c>
      <c r="D782" t="s">
        <v>32</v>
      </c>
      <c r="E782" t="s">
        <v>18</v>
      </c>
      <c r="F782" t="str">
        <f t="shared" si="36"/>
        <v>Female</v>
      </c>
      <c r="G782">
        <v>13</v>
      </c>
      <c r="H782">
        <v>0</v>
      </c>
      <c r="I782">
        <v>0</v>
      </c>
      <c r="J782">
        <v>7.2291999999999996</v>
      </c>
      <c r="K782" t="s">
        <v>14</v>
      </c>
      <c r="L782" t="s">
        <v>24</v>
      </c>
      <c r="M782" t="str">
        <f t="shared" si="37"/>
        <v>Child</v>
      </c>
      <c r="N782" t="b">
        <v>0</v>
      </c>
      <c r="O782" t="s">
        <v>21</v>
      </c>
      <c r="P782" t="s">
        <v>22</v>
      </c>
      <c r="Q782" t="str">
        <f t="shared" si="38"/>
        <v>Yes</v>
      </c>
      <c r="R782" t="b">
        <v>1</v>
      </c>
    </row>
    <row r="783" spans="1:18" x14ac:dyDescent="0.3">
      <c r="A783">
        <v>1</v>
      </c>
      <c r="B783" t="s">
        <v>27</v>
      </c>
      <c r="C783">
        <v>1</v>
      </c>
      <c r="D783" t="s">
        <v>30</v>
      </c>
      <c r="E783" t="s">
        <v>18</v>
      </c>
      <c r="F783" t="str">
        <f t="shared" si="36"/>
        <v>Female</v>
      </c>
      <c r="G783">
        <v>17</v>
      </c>
      <c r="H783">
        <v>1</v>
      </c>
      <c r="I783">
        <v>0</v>
      </c>
      <c r="J783">
        <v>57</v>
      </c>
      <c r="K783" t="s">
        <v>19</v>
      </c>
      <c r="L783" t="s">
        <v>20</v>
      </c>
      <c r="M783" t="str">
        <f t="shared" si="37"/>
        <v>Woman</v>
      </c>
      <c r="N783" t="b">
        <v>0</v>
      </c>
      <c r="O783" t="s">
        <v>16</v>
      </c>
      <c r="P783" t="s">
        <v>22</v>
      </c>
      <c r="Q783" t="str">
        <f t="shared" si="38"/>
        <v>Yes</v>
      </c>
      <c r="R783" t="b">
        <v>0</v>
      </c>
    </row>
    <row r="784" spans="1:18" x14ac:dyDescent="0.3">
      <c r="A784">
        <v>0</v>
      </c>
      <c r="B784" t="s">
        <v>26</v>
      </c>
      <c r="C784">
        <v>1</v>
      </c>
      <c r="D784" t="s">
        <v>30</v>
      </c>
      <c r="E784" t="s">
        <v>13</v>
      </c>
      <c r="F784" t="str">
        <f t="shared" si="36"/>
        <v>Male</v>
      </c>
      <c r="G784">
        <v>29</v>
      </c>
      <c r="H784">
        <v>0</v>
      </c>
      <c r="I784">
        <v>0</v>
      </c>
      <c r="J784">
        <v>30</v>
      </c>
      <c r="K784" t="s">
        <v>19</v>
      </c>
      <c r="L784" t="s">
        <v>15</v>
      </c>
      <c r="M784" t="str">
        <f t="shared" si="37"/>
        <v>Man</v>
      </c>
      <c r="N784" t="b">
        <v>1</v>
      </c>
      <c r="O784" t="s">
        <v>16</v>
      </c>
      <c r="P784" t="s">
        <v>17</v>
      </c>
      <c r="Q784" t="str">
        <f t="shared" si="38"/>
        <v>No</v>
      </c>
      <c r="R784" t="b">
        <v>1</v>
      </c>
    </row>
    <row r="785" spans="1:18" x14ac:dyDescent="0.3">
      <c r="A785">
        <v>0</v>
      </c>
      <c r="B785" t="s">
        <v>26</v>
      </c>
      <c r="C785">
        <v>3</v>
      </c>
      <c r="D785" t="s">
        <v>32</v>
      </c>
      <c r="E785" t="s">
        <v>13</v>
      </c>
      <c r="F785" t="str">
        <f t="shared" si="36"/>
        <v>Male</v>
      </c>
      <c r="G785">
        <v>30</v>
      </c>
      <c r="H785">
        <v>1</v>
      </c>
      <c r="I785">
        <v>2</v>
      </c>
      <c r="J785">
        <v>23.45</v>
      </c>
      <c r="K785" t="s">
        <v>14</v>
      </c>
      <c r="L785" t="s">
        <v>15</v>
      </c>
      <c r="M785" t="str">
        <f t="shared" si="37"/>
        <v>Man</v>
      </c>
      <c r="N785" t="b">
        <v>1</v>
      </c>
      <c r="O785" t="s">
        <v>16</v>
      </c>
      <c r="P785" t="s">
        <v>17</v>
      </c>
      <c r="Q785" t="str">
        <f t="shared" si="38"/>
        <v>No</v>
      </c>
      <c r="R785" t="b">
        <v>0</v>
      </c>
    </row>
    <row r="786" spans="1:18" x14ac:dyDescent="0.3">
      <c r="A786">
        <v>0</v>
      </c>
      <c r="B786" t="s">
        <v>26</v>
      </c>
      <c r="C786">
        <v>3</v>
      </c>
      <c r="D786" t="s">
        <v>32</v>
      </c>
      <c r="E786" t="s">
        <v>13</v>
      </c>
      <c r="F786" t="str">
        <f t="shared" si="36"/>
        <v>Male</v>
      </c>
      <c r="G786">
        <v>25</v>
      </c>
      <c r="H786">
        <v>0</v>
      </c>
      <c r="I786">
        <v>0</v>
      </c>
      <c r="J786">
        <v>7.05</v>
      </c>
      <c r="K786" t="s">
        <v>14</v>
      </c>
      <c r="L786" t="s">
        <v>15</v>
      </c>
      <c r="M786" t="str">
        <f t="shared" si="37"/>
        <v>Man</v>
      </c>
      <c r="N786" t="b">
        <v>1</v>
      </c>
      <c r="O786" t="s">
        <v>16</v>
      </c>
      <c r="P786" t="s">
        <v>17</v>
      </c>
      <c r="Q786" t="str">
        <f t="shared" si="38"/>
        <v>No</v>
      </c>
      <c r="R786" t="b">
        <v>1</v>
      </c>
    </row>
    <row r="787" spans="1:18" x14ac:dyDescent="0.3">
      <c r="A787">
        <v>0</v>
      </c>
      <c r="B787" t="s">
        <v>26</v>
      </c>
      <c r="C787">
        <v>3</v>
      </c>
      <c r="D787" t="s">
        <v>32</v>
      </c>
      <c r="E787" t="s">
        <v>13</v>
      </c>
      <c r="F787" t="str">
        <f t="shared" si="36"/>
        <v>Male</v>
      </c>
      <c r="G787">
        <v>25</v>
      </c>
      <c r="H787">
        <v>0</v>
      </c>
      <c r="I787">
        <v>0</v>
      </c>
      <c r="J787">
        <v>7.25</v>
      </c>
      <c r="K787" t="s">
        <v>14</v>
      </c>
      <c r="L787" t="s">
        <v>15</v>
      </c>
      <c r="M787" t="str">
        <f t="shared" si="37"/>
        <v>Man</v>
      </c>
      <c r="N787" t="b">
        <v>1</v>
      </c>
      <c r="O787" t="s">
        <v>16</v>
      </c>
      <c r="P787" t="s">
        <v>17</v>
      </c>
      <c r="Q787" t="str">
        <f t="shared" si="38"/>
        <v>No</v>
      </c>
      <c r="R787" t="b">
        <v>1</v>
      </c>
    </row>
    <row r="788" spans="1:18" x14ac:dyDescent="0.3">
      <c r="A788">
        <v>1</v>
      </c>
      <c r="B788" t="s">
        <v>27</v>
      </c>
      <c r="C788">
        <v>3</v>
      </c>
      <c r="D788" t="s">
        <v>32</v>
      </c>
      <c r="E788" t="s">
        <v>18</v>
      </c>
      <c r="F788" t="str">
        <f t="shared" si="36"/>
        <v>Female</v>
      </c>
      <c r="G788">
        <v>18</v>
      </c>
      <c r="H788">
        <v>0</v>
      </c>
      <c r="I788">
        <v>0</v>
      </c>
      <c r="J788">
        <v>7.4958</v>
      </c>
      <c r="K788" t="s">
        <v>14</v>
      </c>
      <c r="L788" t="s">
        <v>20</v>
      </c>
      <c r="M788" t="str">
        <f t="shared" si="37"/>
        <v>Woman</v>
      </c>
      <c r="N788" t="b">
        <v>0</v>
      </c>
      <c r="O788" t="s">
        <v>16</v>
      </c>
      <c r="P788" t="s">
        <v>22</v>
      </c>
      <c r="Q788" t="str">
        <f t="shared" si="38"/>
        <v>Yes</v>
      </c>
      <c r="R788" t="b">
        <v>1</v>
      </c>
    </row>
    <row r="789" spans="1:18" x14ac:dyDescent="0.3">
      <c r="A789">
        <v>0</v>
      </c>
      <c r="B789" t="s">
        <v>26</v>
      </c>
      <c r="C789">
        <v>3</v>
      </c>
      <c r="D789" t="s">
        <v>32</v>
      </c>
      <c r="E789" t="s">
        <v>13</v>
      </c>
      <c r="F789" t="str">
        <f t="shared" si="36"/>
        <v>Male</v>
      </c>
      <c r="G789">
        <v>8</v>
      </c>
      <c r="H789">
        <v>4</v>
      </c>
      <c r="I789">
        <v>1</v>
      </c>
      <c r="J789">
        <v>29.125</v>
      </c>
      <c r="K789" t="s">
        <v>14</v>
      </c>
      <c r="L789" t="s">
        <v>24</v>
      </c>
      <c r="M789" t="str">
        <f t="shared" si="37"/>
        <v>Child</v>
      </c>
      <c r="N789" t="b">
        <v>0</v>
      </c>
      <c r="O789" t="s">
        <v>23</v>
      </c>
      <c r="P789" t="s">
        <v>17</v>
      </c>
      <c r="Q789" t="str">
        <f t="shared" si="38"/>
        <v>No</v>
      </c>
      <c r="R789" t="b">
        <v>0</v>
      </c>
    </row>
    <row r="790" spans="1:18" x14ac:dyDescent="0.3">
      <c r="A790">
        <v>1</v>
      </c>
      <c r="B790" t="s">
        <v>27</v>
      </c>
      <c r="C790">
        <v>3</v>
      </c>
      <c r="D790" t="s">
        <v>32</v>
      </c>
      <c r="E790" t="s">
        <v>13</v>
      </c>
      <c r="F790" t="str">
        <f t="shared" si="36"/>
        <v>Male</v>
      </c>
      <c r="G790">
        <v>1</v>
      </c>
      <c r="H790">
        <v>1</v>
      </c>
      <c r="I790">
        <v>2</v>
      </c>
      <c r="J790">
        <v>20.574999999999999</v>
      </c>
      <c r="K790" t="s">
        <v>14</v>
      </c>
      <c r="L790" t="s">
        <v>24</v>
      </c>
      <c r="M790" t="str">
        <f t="shared" si="37"/>
        <v>Child</v>
      </c>
      <c r="N790" t="b">
        <v>0</v>
      </c>
      <c r="O790" t="s">
        <v>16</v>
      </c>
      <c r="P790" t="s">
        <v>22</v>
      </c>
      <c r="Q790" t="str">
        <f t="shared" si="38"/>
        <v>Yes</v>
      </c>
      <c r="R790" t="b">
        <v>0</v>
      </c>
    </row>
    <row r="791" spans="1:18" x14ac:dyDescent="0.3">
      <c r="A791">
        <v>0</v>
      </c>
      <c r="B791" t="s">
        <v>26</v>
      </c>
      <c r="C791">
        <v>1</v>
      </c>
      <c r="D791" t="s">
        <v>30</v>
      </c>
      <c r="E791" t="s">
        <v>13</v>
      </c>
      <c r="F791" t="str">
        <f t="shared" si="36"/>
        <v>Male</v>
      </c>
      <c r="G791">
        <v>46</v>
      </c>
      <c r="H791">
        <v>0</v>
      </c>
      <c r="I791">
        <v>0</v>
      </c>
      <c r="J791">
        <v>79.2</v>
      </c>
      <c r="K791" t="s">
        <v>19</v>
      </c>
      <c r="L791" t="s">
        <v>15</v>
      </c>
      <c r="M791" t="str">
        <f t="shared" si="37"/>
        <v>Man</v>
      </c>
      <c r="N791" t="b">
        <v>1</v>
      </c>
      <c r="O791" t="s">
        <v>21</v>
      </c>
      <c r="P791" t="s">
        <v>17</v>
      </c>
      <c r="Q791" t="str">
        <f t="shared" si="38"/>
        <v>No</v>
      </c>
      <c r="R791" t="b">
        <v>1</v>
      </c>
    </row>
    <row r="792" spans="1:18" x14ac:dyDescent="0.3">
      <c r="A792">
        <v>0</v>
      </c>
      <c r="B792" t="s">
        <v>26</v>
      </c>
      <c r="C792">
        <v>3</v>
      </c>
      <c r="D792" t="s">
        <v>32</v>
      </c>
      <c r="E792" t="s">
        <v>13</v>
      </c>
      <c r="F792" t="str">
        <f t="shared" si="36"/>
        <v>Male</v>
      </c>
      <c r="G792">
        <v>30</v>
      </c>
      <c r="H792">
        <v>0</v>
      </c>
      <c r="I792">
        <v>0</v>
      </c>
      <c r="J792">
        <v>7.75</v>
      </c>
      <c r="K792" t="s">
        <v>14</v>
      </c>
      <c r="L792" t="s">
        <v>15</v>
      </c>
      <c r="M792" t="str">
        <f t="shared" si="37"/>
        <v>Man</v>
      </c>
      <c r="N792" t="b">
        <v>1</v>
      </c>
      <c r="O792" t="s">
        <v>23</v>
      </c>
      <c r="P792" t="s">
        <v>17</v>
      </c>
      <c r="Q792" t="str">
        <f t="shared" si="38"/>
        <v>No</v>
      </c>
      <c r="R792" t="b">
        <v>1</v>
      </c>
    </row>
    <row r="793" spans="1:18" x14ac:dyDescent="0.3">
      <c r="A793">
        <v>0</v>
      </c>
      <c r="B793" t="s">
        <v>26</v>
      </c>
      <c r="C793">
        <v>2</v>
      </c>
      <c r="D793" t="s">
        <v>31</v>
      </c>
      <c r="E793" t="s">
        <v>13</v>
      </c>
      <c r="F793" t="str">
        <f t="shared" si="36"/>
        <v>Male</v>
      </c>
      <c r="G793">
        <v>16</v>
      </c>
      <c r="H793">
        <v>0</v>
      </c>
      <c r="I793">
        <v>0</v>
      </c>
      <c r="J793">
        <v>26</v>
      </c>
      <c r="K793" t="s">
        <v>25</v>
      </c>
      <c r="L793" t="s">
        <v>15</v>
      </c>
      <c r="M793" t="str">
        <f t="shared" si="37"/>
        <v>Man</v>
      </c>
      <c r="N793" t="b">
        <v>1</v>
      </c>
      <c r="O793" t="s">
        <v>16</v>
      </c>
      <c r="P793" t="s">
        <v>17</v>
      </c>
      <c r="Q793" t="str">
        <f t="shared" si="38"/>
        <v>No</v>
      </c>
      <c r="R793" t="b">
        <v>1</v>
      </c>
    </row>
    <row r="794" spans="1:18" x14ac:dyDescent="0.3">
      <c r="A794">
        <v>0</v>
      </c>
      <c r="B794" t="s">
        <v>26</v>
      </c>
      <c r="C794">
        <v>3</v>
      </c>
      <c r="D794" t="s">
        <v>32</v>
      </c>
      <c r="E794" t="s">
        <v>18</v>
      </c>
      <c r="F794" t="str">
        <f t="shared" si="36"/>
        <v>Female</v>
      </c>
      <c r="G794">
        <v>30</v>
      </c>
      <c r="H794">
        <v>8</v>
      </c>
      <c r="I794">
        <v>2</v>
      </c>
      <c r="J794">
        <v>69.55</v>
      </c>
      <c r="K794" t="s">
        <v>14</v>
      </c>
      <c r="L794" t="s">
        <v>20</v>
      </c>
      <c r="M794" t="str">
        <f t="shared" si="37"/>
        <v>Woman</v>
      </c>
      <c r="N794" t="b">
        <v>0</v>
      </c>
      <c r="O794" t="s">
        <v>16</v>
      </c>
      <c r="P794" t="s">
        <v>17</v>
      </c>
      <c r="Q794" t="str">
        <f t="shared" si="38"/>
        <v>No</v>
      </c>
      <c r="R794" t="b">
        <v>0</v>
      </c>
    </row>
    <row r="795" spans="1:18" x14ac:dyDescent="0.3">
      <c r="A795">
        <v>0</v>
      </c>
      <c r="B795" t="s">
        <v>26</v>
      </c>
      <c r="C795">
        <v>1</v>
      </c>
      <c r="D795" t="s">
        <v>30</v>
      </c>
      <c r="E795" t="s">
        <v>13</v>
      </c>
      <c r="F795" t="str">
        <f t="shared" si="36"/>
        <v>Male</v>
      </c>
      <c r="G795">
        <v>30</v>
      </c>
      <c r="H795">
        <v>0</v>
      </c>
      <c r="I795">
        <v>0</v>
      </c>
      <c r="J795">
        <v>30.695799999999998</v>
      </c>
      <c r="K795" t="s">
        <v>19</v>
      </c>
      <c r="L795" t="s">
        <v>15</v>
      </c>
      <c r="M795" t="str">
        <f t="shared" si="37"/>
        <v>Man</v>
      </c>
      <c r="N795" t="b">
        <v>1</v>
      </c>
      <c r="O795" t="s">
        <v>21</v>
      </c>
      <c r="P795" t="s">
        <v>17</v>
      </c>
      <c r="Q795" t="str">
        <f t="shared" si="38"/>
        <v>No</v>
      </c>
      <c r="R795" t="b">
        <v>1</v>
      </c>
    </row>
    <row r="796" spans="1:18" x14ac:dyDescent="0.3">
      <c r="A796">
        <v>0</v>
      </c>
      <c r="B796" t="s">
        <v>26</v>
      </c>
      <c r="C796">
        <v>3</v>
      </c>
      <c r="D796" t="s">
        <v>32</v>
      </c>
      <c r="E796" t="s">
        <v>13</v>
      </c>
      <c r="F796" t="str">
        <f t="shared" si="36"/>
        <v>Male</v>
      </c>
      <c r="G796">
        <v>25</v>
      </c>
      <c r="H796">
        <v>0</v>
      </c>
      <c r="I796">
        <v>0</v>
      </c>
      <c r="J796">
        <v>7.8958000000000004</v>
      </c>
      <c r="K796" t="s">
        <v>14</v>
      </c>
      <c r="L796" t="s">
        <v>15</v>
      </c>
      <c r="M796" t="str">
        <f t="shared" si="37"/>
        <v>Man</v>
      </c>
      <c r="N796" t="b">
        <v>1</v>
      </c>
      <c r="O796" t="s">
        <v>16</v>
      </c>
      <c r="P796" t="s">
        <v>17</v>
      </c>
      <c r="Q796" t="str">
        <f t="shared" si="38"/>
        <v>No</v>
      </c>
      <c r="R796" t="b">
        <v>1</v>
      </c>
    </row>
    <row r="797" spans="1:18" x14ac:dyDescent="0.3">
      <c r="A797">
        <v>0</v>
      </c>
      <c r="B797" t="s">
        <v>26</v>
      </c>
      <c r="C797">
        <v>2</v>
      </c>
      <c r="D797" t="s">
        <v>31</v>
      </c>
      <c r="E797" t="s">
        <v>13</v>
      </c>
      <c r="F797" t="str">
        <f t="shared" si="36"/>
        <v>Male</v>
      </c>
      <c r="G797">
        <v>39</v>
      </c>
      <c r="H797">
        <v>0</v>
      </c>
      <c r="I797">
        <v>0</v>
      </c>
      <c r="J797">
        <v>13</v>
      </c>
      <c r="K797" t="s">
        <v>25</v>
      </c>
      <c r="L797" t="s">
        <v>15</v>
      </c>
      <c r="M797" t="str">
        <f t="shared" si="37"/>
        <v>Man</v>
      </c>
      <c r="N797" t="b">
        <v>1</v>
      </c>
      <c r="O797" t="s">
        <v>16</v>
      </c>
      <c r="P797" t="s">
        <v>17</v>
      </c>
      <c r="Q797" t="str">
        <f t="shared" si="38"/>
        <v>No</v>
      </c>
      <c r="R797" t="b">
        <v>1</v>
      </c>
    </row>
    <row r="798" spans="1:18" x14ac:dyDescent="0.3">
      <c r="A798">
        <v>1</v>
      </c>
      <c r="B798" t="s">
        <v>27</v>
      </c>
      <c r="C798">
        <v>1</v>
      </c>
      <c r="D798" t="s">
        <v>30</v>
      </c>
      <c r="E798" t="s">
        <v>18</v>
      </c>
      <c r="F798" t="str">
        <f t="shared" si="36"/>
        <v>Female</v>
      </c>
      <c r="G798">
        <v>49</v>
      </c>
      <c r="H798">
        <v>0</v>
      </c>
      <c r="I798">
        <v>0</v>
      </c>
      <c r="J798">
        <v>25.929200000000002</v>
      </c>
      <c r="K798" t="s">
        <v>19</v>
      </c>
      <c r="L798" t="s">
        <v>20</v>
      </c>
      <c r="M798" t="str">
        <f t="shared" si="37"/>
        <v>Woman</v>
      </c>
      <c r="N798" t="b">
        <v>0</v>
      </c>
      <c r="O798" t="s">
        <v>16</v>
      </c>
      <c r="P798" t="s">
        <v>22</v>
      </c>
      <c r="Q798" t="str">
        <f t="shared" si="38"/>
        <v>Yes</v>
      </c>
      <c r="R798" t="b">
        <v>1</v>
      </c>
    </row>
    <row r="799" spans="1:18" x14ac:dyDescent="0.3">
      <c r="A799">
        <v>1</v>
      </c>
      <c r="B799" t="s">
        <v>27</v>
      </c>
      <c r="C799">
        <v>3</v>
      </c>
      <c r="D799" t="s">
        <v>32</v>
      </c>
      <c r="E799" t="s">
        <v>18</v>
      </c>
      <c r="F799" t="str">
        <f t="shared" si="36"/>
        <v>Female</v>
      </c>
      <c r="G799">
        <v>31</v>
      </c>
      <c r="H799">
        <v>0</v>
      </c>
      <c r="I799">
        <v>0</v>
      </c>
      <c r="J799">
        <v>8.6832999999999991</v>
      </c>
      <c r="K799" t="s">
        <v>14</v>
      </c>
      <c r="L799" t="s">
        <v>20</v>
      </c>
      <c r="M799" t="str">
        <f t="shared" si="37"/>
        <v>Woman</v>
      </c>
      <c r="N799" t="b">
        <v>0</v>
      </c>
      <c r="O799" t="s">
        <v>16</v>
      </c>
      <c r="P799" t="s">
        <v>22</v>
      </c>
      <c r="Q799" t="str">
        <f t="shared" si="38"/>
        <v>Yes</v>
      </c>
      <c r="R799" t="b">
        <v>1</v>
      </c>
    </row>
    <row r="800" spans="1:18" x14ac:dyDescent="0.3">
      <c r="A800">
        <v>0</v>
      </c>
      <c r="B800" t="s">
        <v>26</v>
      </c>
      <c r="C800">
        <v>3</v>
      </c>
      <c r="D800" t="s">
        <v>32</v>
      </c>
      <c r="E800" t="s">
        <v>13</v>
      </c>
      <c r="F800" t="str">
        <f t="shared" si="36"/>
        <v>Male</v>
      </c>
      <c r="G800">
        <v>30</v>
      </c>
      <c r="H800">
        <v>0</v>
      </c>
      <c r="I800">
        <v>0</v>
      </c>
      <c r="J800">
        <v>7.2291999999999996</v>
      </c>
      <c r="K800" t="s">
        <v>14</v>
      </c>
      <c r="L800" t="s">
        <v>15</v>
      </c>
      <c r="M800" t="str">
        <f t="shared" si="37"/>
        <v>Man</v>
      </c>
      <c r="N800" t="b">
        <v>1</v>
      </c>
      <c r="O800" t="s">
        <v>21</v>
      </c>
      <c r="P800" t="s">
        <v>17</v>
      </c>
      <c r="Q800" t="str">
        <f t="shared" si="38"/>
        <v>No</v>
      </c>
      <c r="R800" t="b">
        <v>1</v>
      </c>
    </row>
    <row r="801" spans="1:18" x14ac:dyDescent="0.3">
      <c r="A801">
        <v>0</v>
      </c>
      <c r="B801" t="s">
        <v>26</v>
      </c>
      <c r="C801">
        <v>3</v>
      </c>
      <c r="D801" t="s">
        <v>32</v>
      </c>
      <c r="E801" t="s">
        <v>18</v>
      </c>
      <c r="F801" t="str">
        <f t="shared" si="36"/>
        <v>Female</v>
      </c>
      <c r="G801">
        <v>30</v>
      </c>
      <c r="H801">
        <v>1</v>
      </c>
      <c r="I801">
        <v>1</v>
      </c>
      <c r="J801">
        <v>24.15</v>
      </c>
      <c r="K801" t="s">
        <v>14</v>
      </c>
      <c r="L801" t="s">
        <v>20</v>
      </c>
      <c r="M801" t="str">
        <f t="shared" si="37"/>
        <v>Woman</v>
      </c>
      <c r="N801" t="b">
        <v>0</v>
      </c>
      <c r="O801" t="s">
        <v>16</v>
      </c>
      <c r="P801" t="s">
        <v>17</v>
      </c>
      <c r="Q801" t="str">
        <f t="shared" si="38"/>
        <v>No</v>
      </c>
      <c r="R801" t="b">
        <v>0</v>
      </c>
    </row>
    <row r="802" spans="1:18" x14ac:dyDescent="0.3">
      <c r="A802">
        <v>0</v>
      </c>
      <c r="B802" t="s">
        <v>26</v>
      </c>
      <c r="C802">
        <v>2</v>
      </c>
      <c r="D802" t="s">
        <v>31</v>
      </c>
      <c r="E802" t="s">
        <v>13</v>
      </c>
      <c r="F802" t="str">
        <f t="shared" si="36"/>
        <v>Male</v>
      </c>
      <c r="G802">
        <v>34</v>
      </c>
      <c r="H802">
        <v>0</v>
      </c>
      <c r="I802">
        <v>0</v>
      </c>
      <c r="J802">
        <v>13</v>
      </c>
      <c r="K802" t="s">
        <v>25</v>
      </c>
      <c r="L802" t="s">
        <v>15</v>
      </c>
      <c r="M802" t="str">
        <f t="shared" si="37"/>
        <v>Man</v>
      </c>
      <c r="N802" t="b">
        <v>1</v>
      </c>
      <c r="O802" t="s">
        <v>16</v>
      </c>
      <c r="P802" t="s">
        <v>17</v>
      </c>
      <c r="Q802" t="str">
        <f t="shared" si="38"/>
        <v>No</v>
      </c>
      <c r="R802" t="b">
        <v>1</v>
      </c>
    </row>
    <row r="803" spans="1:18" x14ac:dyDescent="0.3">
      <c r="A803">
        <v>1</v>
      </c>
      <c r="B803" t="s">
        <v>27</v>
      </c>
      <c r="C803">
        <v>2</v>
      </c>
      <c r="D803" t="s">
        <v>31</v>
      </c>
      <c r="E803" t="s">
        <v>18</v>
      </c>
      <c r="F803" t="str">
        <f t="shared" si="36"/>
        <v>Female</v>
      </c>
      <c r="G803">
        <v>31</v>
      </c>
      <c r="H803">
        <v>1</v>
      </c>
      <c r="I803">
        <v>1</v>
      </c>
      <c r="J803">
        <v>26.25</v>
      </c>
      <c r="K803" t="s">
        <v>25</v>
      </c>
      <c r="L803" t="s">
        <v>20</v>
      </c>
      <c r="M803" t="str">
        <f t="shared" si="37"/>
        <v>Woman</v>
      </c>
      <c r="N803" t="b">
        <v>0</v>
      </c>
      <c r="O803" t="s">
        <v>16</v>
      </c>
      <c r="P803" t="s">
        <v>22</v>
      </c>
      <c r="Q803" t="str">
        <f t="shared" si="38"/>
        <v>Yes</v>
      </c>
      <c r="R803" t="b">
        <v>0</v>
      </c>
    </row>
    <row r="804" spans="1:18" x14ac:dyDescent="0.3">
      <c r="A804">
        <v>1</v>
      </c>
      <c r="B804" t="s">
        <v>27</v>
      </c>
      <c r="C804">
        <v>1</v>
      </c>
      <c r="D804" t="s">
        <v>30</v>
      </c>
      <c r="E804" t="s">
        <v>13</v>
      </c>
      <c r="F804" t="str">
        <f t="shared" si="36"/>
        <v>Male</v>
      </c>
      <c r="G804">
        <v>11</v>
      </c>
      <c r="H804">
        <v>1</v>
      </c>
      <c r="I804">
        <v>2</v>
      </c>
      <c r="J804">
        <v>120</v>
      </c>
      <c r="K804" t="s">
        <v>19</v>
      </c>
      <c r="L804" t="s">
        <v>24</v>
      </c>
      <c r="M804" t="str">
        <f t="shared" si="37"/>
        <v>Child</v>
      </c>
      <c r="N804" t="b">
        <v>0</v>
      </c>
      <c r="O804" t="s">
        <v>16</v>
      </c>
      <c r="P804" t="s">
        <v>22</v>
      </c>
      <c r="Q804" t="str">
        <f t="shared" si="38"/>
        <v>Yes</v>
      </c>
      <c r="R804" t="b">
        <v>0</v>
      </c>
    </row>
    <row r="805" spans="1:18" x14ac:dyDescent="0.3">
      <c r="A805">
        <v>1</v>
      </c>
      <c r="B805" t="s">
        <v>27</v>
      </c>
      <c r="C805">
        <v>3</v>
      </c>
      <c r="D805" t="s">
        <v>32</v>
      </c>
      <c r="E805" t="s">
        <v>13</v>
      </c>
      <c r="F805" t="str">
        <f t="shared" si="36"/>
        <v>Male</v>
      </c>
      <c r="G805">
        <v>0.42</v>
      </c>
      <c r="H805">
        <v>0</v>
      </c>
      <c r="I805">
        <v>1</v>
      </c>
      <c r="J805">
        <v>8.5167000000000002</v>
      </c>
      <c r="K805" t="s">
        <v>14</v>
      </c>
      <c r="L805" t="s">
        <v>24</v>
      </c>
      <c r="M805" t="str">
        <f t="shared" si="37"/>
        <v>Child</v>
      </c>
      <c r="N805" t="b">
        <v>0</v>
      </c>
      <c r="O805" t="s">
        <v>21</v>
      </c>
      <c r="P805" t="s">
        <v>22</v>
      </c>
      <c r="Q805" t="str">
        <f t="shared" si="38"/>
        <v>Yes</v>
      </c>
      <c r="R805" t="b">
        <v>0</v>
      </c>
    </row>
    <row r="806" spans="1:18" x14ac:dyDescent="0.3">
      <c r="A806">
        <v>1</v>
      </c>
      <c r="B806" t="s">
        <v>27</v>
      </c>
      <c r="C806">
        <v>3</v>
      </c>
      <c r="D806" t="s">
        <v>32</v>
      </c>
      <c r="E806" t="s">
        <v>13</v>
      </c>
      <c r="F806" t="str">
        <f t="shared" si="36"/>
        <v>Male</v>
      </c>
      <c r="G806">
        <v>27</v>
      </c>
      <c r="H806">
        <v>0</v>
      </c>
      <c r="I806">
        <v>0</v>
      </c>
      <c r="J806">
        <v>6.9749999999999996</v>
      </c>
      <c r="K806" t="s">
        <v>14</v>
      </c>
      <c r="L806" t="s">
        <v>15</v>
      </c>
      <c r="M806" t="str">
        <f t="shared" si="37"/>
        <v>Man</v>
      </c>
      <c r="N806" t="b">
        <v>1</v>
      </c>
      <c r="O806" t="s">
        <v>16</v>
      </c>
      <c r="P806" t="s">
        <v>22</v>
      </c>
      <c r="Q806" t="str">
        <f t="shared" si="38"/>
        <v>Yes</v>
      </c>
      <c r="R806" t="b">
        <v>1</v>
      </c>
    </row>
    <row r="807" spans="1:18" x14ac:dyDescent="0.3">
      <c r="A807">
        <v>0</v>
      </c>
      <c r="B807" t="s">
        <v>26</v>
      </c>
      <c r="C807">
        <v>3</v>
      </c>
      <c r="D807" t="s">
        <v>32</v>
      </c>
      <c r="E807" t="s">
        <v>13</v>
      </c>
      <c r="F807" t="str">
        <f t="shared" si="36"/>
        <v>Male</v>
      </c>
      <c r="G807">
        <v>31</v>
      </c>
      <c r="H807">
        <v>0</v>
      </c>
      <c r="I807">
        <v>0</v>
      </c>
      <c r="J807">
        <v>7.7750000000000004</v>
      </c>
      <c r="K807" t="s">
        <v>14</v>
      </c>
      <c r="L807" t="s">
        <v>15</v>
      </c>
      <c r="M807" t="str">
        <f t="shared" si="37"/>
        <v>Man</v>
      </c>
      <c r="N807" t="b">
        <v>1</v>
      </c>
      <c r="O807" t="s">
        <v>16</v>
      </c>
      <c r="P807" t="s">
        <v>17</v>
      </c>
      <c r="Q807" t="str">
        <f t="shared" si="38"/>
        <v>No</v>
      </c>
      <c r="R807" t="b">
        <v>1</v>
      </c>
    </row>
    <row r="808" spans="1:18" x14ac:dyDescent="0.3">
      <c r="A808">
        <v>0</v>
      </c>
      <c r="B808" t="s">
        <v>26</v>
      </c>
      <c r="C808">
        <v>1</v>
      </c>
      <c r="D808" t="s">
        <v>30</v>
      </c>
      <c r="E808" t="s">
        <v>13</v>
      </c>
      <c r="F808" t="str">
        <f t="shared" si="36"/>
        <v>Male</v>
      </c>
      <c r="G808">
        <v>39</v>
      </c>
      <c r="H808">
        <v>0</v>
      </c>
      <c r="I808">
        <v>0</v>
      </c>
      <c r="J808">
        <v>0</v>
      </c>
      <c r="K808" t="s">
        <v>19</v>
      </c>
      <c r="L808" t="s">
        <v>15</v>
      </c>
      <c r="M808" t="str">
        <f t="shared" si="37"/>
        <v>Man</v>
      </c>
      <c r="N808" t="b">
        <v>1</v>
      </c>
      <c r="O808" t="s">
        <v>16</v>
      </c>
      <c r="P808" t="s">
        <v>17</v>
      </c>
      <c r="Q808" t="str">
        <f t="shared" si="38"/>
        <v>No</v>
      </c>
      <c r="R808" t="b">
        <v>1</v>
      </c>
    </row>
    <row r="809" spans="1:18" x14ac:dyDescent="0.3">
      <c r="A809">
        <v>0</v>
      </c>
      <c r="B809" t="s">
        <v>26</v>
      </c>
      <c r="C809">
        <v>3</v>
      </c>
      <c r="D809" t="s">
        <v>32</v>
      </c>
      <c r="E809" t="s">
        <v>18</v>
      </c>
      <c r="F809" t="str">
        <f t="shared" si="36"/>
        <v>Female</v>
      </c>
      <c r="G809">
        <v>18</v>
      </c>
      <c r="H809">
        <v>0</v>
      </c>
      <c r="I809">
        <v>0</v>
      </c>
      <c r="J809">
        <v>7.7750000000000004</v>
      </c>
      <c r="K809" t="s">
        <v>14</v>
      </c>
      <c r="L809" t="s">
        <v>20</v>
      </c>
      <c r="M809" t="str">
        <f t="shared" si="37"/>
        <v>Woman</v>
      </c>
      <c r="N809" t="b">
        <v>0</v>
      </c>
      <c r="O809" t="s">
        <v>16</v>
      </c>
      <c r="P809" t="s">
        <v>17</v>
      </c>
      <c r="Q809" t="str">
        <f t="shared" si="38"/>
        <v>No</v>
      </c>
      <c r="R809" t="b">
        <v>1</v>
      </c>
    </row>
    <row r="810" spans="1:18" x14ac:dyDescent="0.3">
      <c r="A810">
        <v>0</v>
      </c>
      <c r="B810" t="s">
        <v>26</v>
      </c>
      <c r="C810">
        <v>2</v>
      </c>
      <c r="D810" t="s">
        <v>31</v>
      </c>
      <c r="E810" t="s">
        <v>13</v>
      </c>
      <c r="F810" t="str">
        <f t="shared" si="36"/>
        <v>Male</v>
      </c>
      <c r="G810">
        <v>39</v>
      </c>
      <c r="H810">
        <v>0</v>
      </c>
      <c r="I810">
        <v>0</v>
      </c>
      <c r="J810">
        <v>13</v>
      </c>
      <c r="K810" t="s">
        <v>25</v>
      </c>
      <c r="L810" t="s">
        <v>15</v>
      </c>
      <c r="M810" t="str">
        <f t="shared" si="37"/>
        <v>Man</v>
      </c>
      <c r="N810" t="b">
        <v>1</v>
      </c>
      <c r="O810" t="s">
        <v>16</v>
      </c>
      <c r="P810" t="s">
        <v>17</v>
      </c>
      <c r="Q810" t="str">
        <f t="shared" si="38"/>
        <v>No</v>
      </c>
      <c r="R810" t="b">
        <v>1</v>
      </c>
    </row>
    <row r="811" spans="1:18" x14ac:dyDescent="0.3">
      <c r="A811">
        <v>1</v>
      </c>
      <c r="B811" t="s">
        <v>27</v>
      </c>
      <c r="C811">
        <v>1</v>
      </c>
      <c r="D811" t="s">
        <v>30</v>
      </c>
      <c r="E811" t="s">
        <v>18</v>
      </c>
      <c r="F811" t="str">
        <f t="shared" si="36"/>
        <v>Female</v>
      </c>
      <c r="G811">
        <v>33</v>
      </c>
      <c r="H811">
        <v>1</v>
      </c>
      <c r="I811">
        <v>0</v>
      </c>
      <c r="J811">
        <v>53.1</v>
      </c>
      <c r="K811" t="s">
        <v>19</v>
      </c>
      <c r="L811" t="s">
        <v>20</v>
      </c>
      <c r="M811" t="str">
        <f t="shared" si="37"/>
        <v>Woman</v>
      </c>
      <c r="N811" t="b">
        <v>0</v>
      </c>
      <c r="O811" t="s">
        <v>16</v>
      </c>
      <c r="P811" t="s">
        <v>22</v>
      </c>
      <c r="Q811" t="str">
        <f t="shared" si="38"/>
        <v>Yes</v>
      </c>
      <c r="R811" t="b">
        <v>0</v>
      </c>
    </row>
    <row r="812" spans="1:18" x14ac:dyDescent="0.3">
      <c r="A812">
        <v>0</v>
      </c>
      <c r="B812" t="s">
        <v>26</v>
      </c>
      <c r="C812">
        <v>3</v>
      </c>
      <c r="D812" t="s">
        <v>32</v>
      </c>
      <c r="E812" t="s">
        <v>13</v>
      </c>
      <c r="F812" t="str">
        <f t="shared" si="36"/>
        <v>Male</v>
      </c>
      <c r="G812">
        <v>26</v>
      </c>
      <c r="H812">
        <v>0</v>
      </c>
      <c r="I812">
        <v>0</v>
      </c>
      <c r="J812">
        <v>7.8875000000000002</v>
      </c>
      <c r="K812" t="s">
        <v>14</v>
      </c>
      <c r="L812" t="s">
        <v>15</v>
      </c>
      <c r="M812" t="str">
        <f t="shared" si="37"/>
        <v>Man</v>
      </c>
      <c r="N812" t="b">
        <v>1</v>
      </c>
      <c r="O812" t="s">
        <v>16</v>
      </c>
      <c r="P812" t="s">
        <v>17</v>
      </c>
      <c r="Q812" t="str">
        <f t="shared" si="38"/>
        <v>No</v>
      </c>
      <c r="R812" t="b">
        <v>1</v>
      </c>
    </row>
    <row r="813" spans="1:18" x14ac:dyDescent="0.3">
      <c r="A813">
        <v>0</v>
      </c>
      <c r="B813" t="s">
        <v>26</v>
      </c>
      <c r="C813">
        <v>3</v>
      </c>
      <c r="D813" t="s">
        <v>32</v>
      </c>
      <c r="E813" t="s">
        <v>13</v>
      </c>
      <c r="F813" t="str">
        <f t="shared" si="36"/>
        <v>Male</v>
      </c>
      <c r="G813">
        <v>39</v>
      </c>
      <c r="H813">
        <v>0</v>
      </c>
      <c r="I813">
        <v>0</v>
      </c>
      <c r="J813">
        <v>24.15</v>
      </c>
      <c r="K813" t="s">
        <v>14</v>
      </c>
      <c r="L813" t="s">
        <v>15</v>
      </c>
      <c r="M813" t="str">
        <f t="shared" si="37"/>
        <v>Man</v>
      </c>
      <c r="N813" t="b">
        <v>1</v>
      </c>
      <c r="O813" t="s">
        <v>16</v>
      </c>
      <c r="P813" t="s">
        <v>17</v>
      </c>
      <c r="Q813" t="str">
        <f t="shared" si="38"/>
        <v>No</v>
      </c>
      <c r="R813" t="b">
        <v>1</v>
      </c>
    </row>
    <row r="814" spans="1:18" x14ac:dyDescent="0.3">
      <c r="A814">
        <v>0</v>
      </c>
      <c r="B814" t="s">
        <v>26</v>
      </c>
      <c r="C814">
        <v>2</v>
      </c>
      <c r="D814" t="s">
        <v>31</v>
      </c>
      <c r="E814" t="s">
        <v>13</v>
      </c>
      <c r="F814" t="str">
        <f t="shared" si="36"/>
        <v>Male</v>
      </c>
      <c r="G814">
        <v>35</v>
      </c>
      <c r="H814">
        <v>0</v>
      </c>
      <c r="I814">
        <v>0</v>
      </c>
      <c r="J814">
        <v>10.5</v>
      </c>
      <c r="K814" t="s">
        <v>25</v>
      </c>
      <c r="L814" t="s">
        <v>15</v>
      </c>
      <c r="M814" t="str">
        <f t="shared" si="37"/>
        <v>Man</v>
      </c>
      <c r="N814" t="b">
        <v>1</v>
      </c>
      <c r="O814" t="s">
        <v>16</v>
      </c>
      <c r="P814" t="s">
        <v>17</v>
      </c>
      <c r="Q814" t="str">
        <f t="shared" si="38"/>
        <v>No</v>
      </c>
      <c r="R814" t="b">
        <v>1</v>
      </c>
    </row>
    <row r="815" spans="1:18" x14ac:dyDescent="0.3">
      <c r="A815">
        <v>0</v>
      </c>
      <c r="B815" t="s">
        <v>26</v>
      </c>
      <c r="C815">
        <v>3</v>
      </c>
      <c r="D815" t="s">
        <v>32</v>
      </c>
      <c r="E815" t="s">
        <v>18</v>
      </c>
      <c r="F815" t="str">
        <f t="shared" si="36"/>
        <v>Female</v>
      </c>
      <c r="G815">
        <v>6</v>
      </c>
      <c r="H815">
        <v>4</v>
      </c>
      <c r="I815">
        <v>2</v>
      </c>
      <c r="J815">
        <v>31.274999999999999</v>
      </c>
      <c r="K815" t="s">
        <v>14</v>
      </c>
      <c r="L815" t="s">
        <v>24</v>
      </c>
      <c r="M815" t="str">
        <f t="shared" si="37"/>
        <v>Child</v>
      </c>
      <c r="N815" t="b">
        <v>0</v>
      </c>
      <c r="O815" t="s">
        <v>16</v>
      </c>
      <c r="P815" t="s">
        <v>17</v>
      </c>
      <c r="Q815" t="str">
        <f t="shared" si="38"/>
        <v>No</v>
      </c>
      <c r="R815" t="b">
        <v>0</v>
      </c>
    </row>
    <row r="816" spans="1:18" x14ac:dyDescent="0.3">
      <c r="A816">
        <v>0</v>
      </c>
      <c r="B816" t="s">
        <v>26</v>
      </c>
      <c r="C816">
        <v>3</v>
      </c>
      <c r="D816" t="s">
        <v>32</v>
      </c>
      <c r="E816" t="s">
        <v>13</v>
      </c>
      <c r="F816" t="str">
        <f t="shared" si="36"/>
        <v>Male</v>
      </c>
      <c r="G816">
        <v>30.5</v>
      </c>
      <c r="H816">
        <v>0</v>
      </c>
      <c r="I816">
        <v>0</v>
      </c>
      <c r="J816">
        <v>8.0500000000000007</v>
      </c>
      <c r="K816" t="s">
        <v>14</v>
      </c>
      <c r="L816" t="s">
        <v>15</v>
      </c>
      <c r="M816" t="str">
        <f t="shared" si="37"/>
        <v>Man</v>
      </c>
      <c r="N816" t="b">
        <v>1</v>
      </c>
      <c r="O816" t="s">
        <v>16</v>
      </c>
      <c r="P816" t="s">
        <v>17</v>
      </c>
      <c r="Q816" t="str">
        <f t="shared" si="38"/>
        <v>No</v>
      </c>
      <c r="R816" t="b">
        <v>1</v>
      </c>
    </row>
    <row r="817" spans="1:18" x14ac:dyDescent="0.3">
      <c r="A817">
        <v>0</v>
      </c>
      <c r="B817" t="s">
        <v>26</v>
      </c>
      <c r="C817">
        <v>1</v>
      </c>
      <c r="D817" t="s">
        <v>30</v>
      </c>
      <c r="E817" t="s">
        <v>13</v>
      </c>
      <c r="F817" t="str">
        <f t="shared" si="36"/>
        <v>Male</v>
      </c>
      <c r="G817">
        <v>30</v>
      </c>
      <c r="H817">
        <v>0</v>
      </c>
      <c r="I817">
        <v>0</v>
      </c>
      <c r="J817">
        <v>0</v>
      </c>
      <c r="K817" t="s">
        <v>19</v>
      </c>
      <c r="L817" t="s">
        <v>15</v>
      </c>
      <c r="M817" t="str">
        <f t="shared" si="37"/>
        <v>Man</v>
      </c>
      <c r="N817" t="b">
        <v>1</v>
      </c>
      <c r="O817" t="s">
        <v>16</v>
      </c>
      <c r="P817" t="s">
        <v>17</v>
      </c>
      <c r="Q817" t="str">
        <f t="shared" si="38"/>
        <v>No</v>
      </c>
      <c r="R817" t="b">
        <v>1</v>
      </c>
    </row>
    <row r="818" spans="1:18" x14ac:dyDescent="0.3">
      <c r="A818">
        <v>0</v>
      </c>
      <c r="B818" t="s">
        <v>26</v>
      </c>
      <c r="C818">
        <v>3</v>
      </c>
      <c r="D818" t="s">
        <v>32</v>
      </c>
      <c r="E818" t="s">
        <v>18</v>
      </c>
      <c r="F818" t="str">
        <f t="shared" si="36"/>
        <v>Female</v>
      </c>
      <c r="G818">
        <v>23</v>
      </c>
      <c r="H818">
        <v>0</v>
      </c>
      <c r="I818">
        <v>0</v>
      </c>
      <c r="J818">
        <v>7.9249999999999998</v>
      </c>
      <c r="K818" t="s">
        <v>14</v>
      </c>
      <c r="L818" t="s">
        <v>20</v>
      </c>
      <c r="M818" t="str">
        <f t="shared" si="37"/>
        <v>Woman</v>
      </c>
      <c r="N818" t="b">
        <v>0</v>
      </c>
      <c r="O818" t="s">
        <v>16</v>
      </c>
      <c r="P818" t="s">
        <v>17</v>
      </c>
      <c r="Q818" t="str">
        <f t="shared" si="38"/>
        <v>No</v>
      </c>
      <c r="R818" t="b">
        <v>1</v>
      </c>
    </row>
    <row r="819" spans="1:18" x14ac:dyDescent="0.3">
      <c r="A819">
        <v>0</v>
      </c>
      <c r="B819" t="s">
        <v>26</v>
      </c>
      <c r="C819">
        <v>2</v>
      </c>
      <c r="D819" t="s">
        <v>31</v>
      </c>
      <c r="E819" t="s">
        <v>13</v>
      </c>
      <c r="F819" t="str">
        <f t="shared" si="36"/>
        <v>Male</v>
      </c>
      <c r="G819">
        <v>31</v>
      </c>
      <c r="H819">
        <v>1</v>
      </c>
      <c r="I819">
        <v>1</v>
      </c>
      <c r="J819">
        <v>37.004199999999997</v>
      </c>
      <c r="K819" t="s">
        <v>25</v>
      </c>
      <c r="L819" t="s">
        <v>15</v>
      </c>
      <c r="M819" t="str">
        <f t="shared" si="37"/>
        <v>Man</v>
      </c>
      <c r="N819" t="b">
        <v>1</v>
      </c>
      <c r="O819" t="s">
        <v>21</v>
      </c>
      <c r="P819" t="s">
        <v>17</v>
      </c>
      <c r="Q819" t="str">
        <f t="shared" si="38"/>
        <v>No</v>
      </c>
      <c r="R819" t="b">
        <v>0</v>
      </c>
    </row>
    <row r="820" spans="1:18" x14ac:dyDescent="0.3">
      <c r="A820">
        <v>0</v>
      </c>
      <c r="B820" t="s">
        <v>26</v>
      </c>
      <c r="C820">
        <v>3</v>
      </c>
      <c r="D820" t="s">
        <v>32</v>
      </c>
      <c r="E820" t="s">
        <v>13</v>
      </c>
      <c r="F820" t="str">
        <f t="shared" si="36"/>
        <v>Male</v>
      </c>
      <c r="G820">
        <v>43</v>
      </c>
      <c r="H820">
        <v>0</v>
      </c>
      <c r="I820">
        <v>0</v>
      </c>
      <c r="J820">
        <v>6.45</v>
      </c>
      <c r="K820" t="s">
        <v>14</v>
      </c>
      <c r="L820" t="s">
        <v>15</v>
      </c>
      <c r="M820" t="str">
        <f t="shared" si="37"/>
        <v>Man</v>
      </c>
      <c r="N820" t="b">
        <v>1</v>
      </c>
      <c r="O820" t="s">
        <v>16</v>
      </c>
      <c r="P820" t="s">
        <v>17</v>
      </c>
      <c r="Q820" t="str">
        <f t="shared" si="38"/>
        <v>No</v>
      </c>
      <c r="R820" t="b">
        <v>1</v>
      </c>
    </row>
    <row r="821" spans="1:18" x14ac:dyDescent="0.3">
      <c r="A821">
        <v>0</v>
      </c>
      <c r="B821" t="s">
        <v>26</v>
      </c>
      <c r="C821">
        <v>3</v>
      </c>
      <c r="D821" t="s">
        <v>32</v>
      </c>
      <c r="E821" t="s">
        <v>13</v>
      </c>
      <c r="F821" t="str">
        <f t="shared" si="36"/>
        <v>Male</v>
      </c>
      <c r="G821">
        <v>10</v>
      </c>
      <c r="H821">
        <v>3</v>
      </c>
      <c r="I821">
        <v>2</v>
      </c>
      <c r="J821">
        <v>27.9</v>
      </c>
      <c r="K821" t="s">
        <v>14</v>
      </c>
      <c r="L821" t="s">
        <v>24</v>
      </c>
      <c r="M821" t="str">
        <f t="shared" si="37"/>
        <v>Child</v>
      </c>
      <c r="N821" t="b">
        <v>0</v>
      </c>
      <c r="O821" t="s">
        <v>16</v>
      </c>
      <c r="P821" t="s">
        <v>17</v>
      </c>
      <c r="Q821" t="str">
        <f t="shared" si="38"/>
        <v>No</v>
      </c>
      <c r="R821" t="b">
        <v>0</v>
      </c>
    </row>
    <row r="822" spans="1:18" x14ac:dyDescent="0.3">
      <c r="A822">
        <v>1</v>
      </c>
      <c r="B822" t="s">
        <v>27</v>
      </c>
      <c r="C822">
        <v>1</v>
      </c>
      <c r="D822" t="s">
        <v>30</v>
      </c>
      <c r="E822" t="s">
        <v>18</v>
      </c>
      <c r="F822" t="str">
        <f t="shared" si="36"/>
        <v>Female</v>
      </c>
      <c r="G822">
        <v>52</v>
      </c>
      <c r="H822">
        <v>1</v>
      </c>
      <c r="I822">
        <v>1</v>
      </c>
      <c r="J822">
        <v>93.5</v>
      </c>
      <c r="K822" t="s">
        <v>19</v>
      </c>
      <c r="L822" t="s">
        <v>20</v>
      </c>
      <c r="M822" t="str">
        <f t="shared" si="37"/>
        <v>Woman</v>
      </c>
      <c r="N822" t="b">
        <v>0</v>
      </c>
      <c r="O822" t="s">
        <v>16</v>
      </c>
      <c r="P822" t="s">
        <v>22</v>
      </c>
      <c r="Q822" t="str">
        <f t="shared" si="38"/>
        <v>Yes</v>
      </c>
      <c r="R822" t="b">
        <v>0</v>
      </c>
    </row>
    <row r="823" spans="1:18" x14ac:dyDescent="0.3">
      <c r="A823">
        <v>1</v>
      </c>
      <c r="B823" t="s">
        <v>27</v>
      </c>
      <c r="C823">
        <v>3</v>
      </c>
      <c r="D823" t="s">
        <v>32</v>
      </c>
      <c r="E823" t="s">
        <v>13</v>
      </c>
      <c r="F823" t="str">
        <f t="shared" si="36"/>
        <v>Male</v>
      </c>
      <c r="G823">
        <v>27</v>
      </c>
      <c r="H823">
        <v>0</v>
      </c>
      <c r="I823">
        <v>0</v>
      </c>
      <c r="J823">
        <v>8.6624999999999996</v>
      </c>
      <c r="K823" t="s">
        <v>14</v>
      </c>
      <c r="L823" t="s">
        <v>15</v>
      </c>
      <c r="M823" t="str">
        <f t="shared" si="37"/>
        <v>Man</v>
      </c>
      <c r="N823" t="b">
        <v>1</v>
      </c>
      <c r="O823" t="s">
        <v>16</v>
      </c>
      <c r="P823" t="s">
        <v>22</v>
      </c>
      <c r="Q823" t="str">
        <f t="shared" si="38"/>
        <v>Yes</v>
      </c>
      <c r="R823" t="b">
        <v>1</v>
      </c>
    </row>
    <row r="824" spans="1:18" x14ac:dyDescent="0.3">
      <c r="A824">
        <v>0</v>
      </c>
      <c r="B824" t="s">
        <v>26</v>
      </c>
      <c r="C824">
        <v>1</v>
      </c>
      <c r="D824" t="s">
        <v>30</v>
      </c>
      <c r="E824" t="s">
        <v>13</v>
      </c>
      <c r="F824" t="str">
        <f t="shared" si="36"/>
        <v>Male</v>
      </c>
      <c r="G824">
        <v>38</v>
      </c>
      <c r="H824">
        <v>0</v>
      </c>
      <c r="I824">
        <v>0</v>
      </c>
      <c r="J824">
        <v>0</v>
      </c>
      <c r="K824" t="s">
        <v>19</v>
      </c>
      <c r="L824" t="s">
        <v>15</v>
      </c>
      <c r="M824" t="str">
        <f t="shared" si="37"/>
        <v>Man</v>
      </c>
      <c r="N824" t="b">
        <v>1</v>
      </c>
      <c r="O824" t="s">
        <v>16</v>
      </c>
      <c r="P824" t="s">
        <v>17</v>
      </c>
      <c r="Q824" t="str">
        <f t="shared" si="38"/>
        <v>No</v>
      </c>
      <c r="R824" t="b">
        <v>1</v>
      </c>
    </row>
    <row r="825" spans="1:18" x14ac:dyDescent="0.3">
      <c r="A825">
        <v>1</v>
      </c>
      <c r="B825" t="s">
        <v>27</v>
      </c>
      <c r="C825">
        <v>3</v>
      </c>
      <c r="D825" t="s">
        <v>32</v>
      </c>
      <c r="E825" t="s">
        <v>18</v>
      </c>
      <c r="F825" t="str">
        <f t="shared" si="36"/>
        <v>Female</v>
      </c>
      <c r="G825">
        <v>27</v>
      </c>
      <c r="H825">
        <v>0</v>
      </c>
      <c r="I825">
        <v>1</v>
      </c>
      <c r="J825">
        <v>12.475</v>
      </c>
      <c r="K825" t="s">
        <v>14</v>
      </c>
      <c r="L825" t="s">
        <v>20</v>
      </c>
      <c r="M825" t="str">
        <f t="shared" si="37"/>
        <v>Woman</v>
      </c>
      <c r="N825" t="b">
        <v>0</v>
      </c>
      <c r="O825" t="s">
        <v>16</v>
      </c>
      <c r="P825" t="s">
        <v>22</v>
      </c>
      <c r="Q825" t="str">
        <f t="shared" si="38"/>
        <v>Yes</v>
      </c>
      <c r="R825" t="b">
        <v>0</v>
      </c>
    </row>
    <row r="826" spans="1:18" x14ac:dyDescent="0.3">
      <c r="A826">
        <v>0</v>
      </c>
      <c r="B826" t="s">
        <v>26</v>
      </c>
      <c r="C826">
        <v>3</v>
      </c>
      <c r="D826" t="s">
        <v>32</v>
      </c>
      <c r="E826" t="s">
        <v>13</v>
      </c>
      <c r="F826" t="str">
        <f t="shared" si="36"/>
        <v>Male</v>
      </c>
      <c r="G826">
        <v>2</v>
      </c>
      <c r="H826">
        <v>4</v>
      </c>
      <c r="I826">
        <v>1</v>
      </c>
      <c r="J826">
        <v>39.6875</v>
      </c>
      <c r="K826" t="s">
        <v>14</v>
      </c>
      <c r="L826" t="s">
        <v>24</v>
      </c>
      <c r="M826" t="str">
        <f t="shared" si="37"/>
        <v>Child</v>
      </c>
      <c r="N826" t="b">
        <v>0</v>
      </c>
      <c r="O826" t="s">
        <v>16</v>
      </c>
      <c r="P826" t="s">
        <v>17</v>
      </c>
      <c r="Q826" t="str">
        <f t="shared" si="38"/>
        <v>No</v>
      </c>
      <c r="R826" t="b">
        <v>0</v>
      </c>
    </row>
    <row r="827" spans="1:18" x14ac:dyDescent="0.3">
      <c r="A827">
        <v>0</v>
      </c>
      <c r="B827" t="s">
        <v>26</v>
      </c>
      <c r="C827">
        <v>3</v>
      </c>
      <c r="D827" t="s">
        <v>32</v>
      </c>
      <c r="E827" t="s">
        <v>13</v>
      </c>
      <c r="F827" t="str">
        <f t="shared" si="36"/>
        <v>Male</v>
      </c>
      <c r="G827">
        <v>30</v>
      </c>
      <c r="H827">
        <v>0</v>
      </c>
      <c r="I827">
        <v>0</v>
      </c>
      <c r="J827">
        <v>6.95</v>
      </c>
      <c r="K827" t="s">
        <v>14</v>
      </c>
      <c r="L827" t="s">
        <v>15</v>
      </c>
      <c r="M827" t="str">
        <f t="shared" si="37"/>
        <v>Man</v>
      </c>
      <c r="N827" t="b">
        <v>1</v>
      </c>
      <c r="O827" t="s">
        <v>23</v>
      </c>
      <c r="P827" t="s">
        <v>17</v>
      </c>
      <c r="Q827" t="str">
        <f t="shared" si="38"/>
        <v>No</v>
      </c>
      <c r="R827" t="b">
        <v>1</v>
      </c>
    </row>
    <row r="828" spans="1:18" x14ac:dyDescent="0.3">
      <c r="A828">
        <v>0</v>
      </c>
      <c r="B828" t="s">
        <v>26</v>
      </c>
      <c r="C828">
        <v>3</v>
      </c>
      <c r="D828" t="s">
        <v>32</v>
      </c>
      <c r="E828" t="s">
        <v>13</v>
      </c>
      <c r="F828" t="str">
        <f t="shared" si="36"/>
        <v>Male</v>
      </c>
      <c r="G828">
        <v>30</v>
      </c>
      <c r="H828">
        <v>0</v>
      </c>
      <c r="I828">
        <v>0</v>
      </c>
      <c r="J828">
        <v>56.495800000000003</v>
      </c>
      <c r="K828" t="s">
        <v>14</v>
      </c>
      <c r="L828" t="s">
        <v>15</v>
      </c>
      <c r="M828" t="str">
        <f t="shared" si="37"/>
        <v>Man</v>
      </c>
      <c r="N828" t="b">
        <v>1</v>
      </c>
      <c r="O828" t="s">
        <v>16</v>
      </c>
      <c r="P828" t="s">
        <v>17</v>
      </c>
      <c r="Q828" t="str">
        <f t="shared" si="38"/>
        <v>No</v>
      </c>
      <c r="R828" t="b">
        <v>1</v>
      </c>
    </row>
    <row r="829" spans="1:18" x14ac:dyDescent="0.3">
      <c r="A829">
        <v>1</v>
      </c>
      <c r="B829" t="s">
        <v>27</v>
      </c>
      <c r="C829">
        <v>2</v>
      </c>
      <c r="D829" t="s">
        <v>31</v>
      </c>
      <c r="E829" t="s">
        <v>13</v>
      </c>
      <c r="F829" t="str">
        <f t="shared" si="36"/>
        <v>Male</v>
      </c>
      <c r="G829">
        <v>1</v>
      </c>
      <c r="H829">
        <v>0</v>
      </c>
      <c r="I829">
        <v>2</v>
      </c>
      <c r="J829">
        <v>37.004199999999997</v>
      </c>
      <c r="K829" t="s">
        <v>25</v>
      </c>
      <c r="L829" t="s">
        <v>24</v>
      </c>
      <c r="M829" t="str">
        <f t="shared" si="37"/>
        <v>Child</v>
      </c>
      <c r="N829" t="b">
        <v>0</v>
      </c>
      <c r="O829" t="s">
        <v>21</v>
      </c>
      <c r="P829" t="s">
        <v>22</v>
      </c>
      <c r="Q829" t="str">
        <f t="shared" si="38"/>
        <v>Yes</v>
      </c>
      <c r="R829" t="b">
        <v>0</v>
      </c>
    </row>
    <row r="830" spans="1:18" x14ac:dyDescent="0.3">
      <c r="A830">
        <v>1</v>
      </c>
      <c r="B830" t="s">
        <v>27</v>
      </c>
      <c r="C830">
        <v>3</v>
      </c>
      <c r="D830" t="s">
        <v>32</v>
      </c>
      <c r="E830" t="s">
        <v>13</v>
      </c>
      <c r="F830" t="str">
        <f t="shared" si="36"/>
        <v>Male</v>
      </c>
      <c r="G830">
        <v>30</v>
      </c>
      <c r="H830">
        <v>0</v>
      </c>
      <c r="I830">
        <v>0</v>
      </c>
      <c r="J830">
        <v>7.75</v>
      </c>
      <c r="K830" t="s">
        <v>14</v>
      </c>
      <c r="L830" t="s">
        <v>15</v>
      </c>
      <c r="M830" t="str">
        <f t="shared" si="37"/>
        <v>Man</v>
      </c>
      <c r="N830" t="b">
        <v>1</v>
      </c>
      <c r="O830" t="s">
        <v>23</v>
      </c>
      <c r="P830" t="s">
        <v>22</v>
      </c>
      <c r="Q830" t="str">
        <f t="shared" si="38"/>
        <v>Yes</v>
      </c>
      <c r="R830" t="b">
        <v>1</v>
      </c>
    </row>
    <row r="831" spans="1:18" x14ac:dyDescent="0.3">
      <c r="A831">
        <v>1</v>
      </c>
      <c r="B831" t="s">
        <v>27</v>
      </c>
      <c r="C831">
        <v>1</v>
      </c>
      <c r="D831" t="s">
        <v>30</v>
      </c>
      <c r="E831" t="s">
        <v>18</v>
      </c>
      <c r="F831" t="str">
        <f t="shared" si="36"/>
        <v>Female</v>
      </c>
      <c r="G831">
        <v>62</v>
      </c>
      <c r="H831">
        <v>0</v>
      </c>
      <c r="I831">
        <v>0</v>
      </c>
      <c r="J831">
        <v>80</v>
      </c>
      <c r="K831" t="s">
        <v>19</v>
      </c>
      <c r="L831" t="s">
        <v>20</v>
      </c>
      <c r="M831" t="str">
        <f t="shared" si="37"/>
        <v>Woman</v>
      </c>
      <c r="N831" t="b">
        <v>0</v>
      </c>
      <c r="O831" t="s">
        <v>16</v>
      </c>
      <c r="P831" t="s">
        <v>22</v>
      </c>
      <c r="Q831" t="str">
        <f t="shared" si="38"/>
        <v>Yes</v>
      </c>
      <c r="R831" t="b">
        <v>1</v>
      </c>
    </row>
    <row r="832" spans="1:18" x14ac:dyDescent="0.3">
      <c r="A832">
        <v>1</v>
      </c>
      <c r="B832" t="s">
        <v>27</v>
      </c>
      <c r="C832">
        <v>3</v>
      </c>
      <c r="D832" t="s">
        <v>32</v>
      </c>
      <c r="E832" t="s">
        <v>18</v>
      </c>
      <c r="F832" t="str">
        <f t="shared" si="36"/>
        <v>Female</v>
      </c>
      <c r="G832">
        <v>15</v>
      </c>
      <c r="H832">
        <v>1</v>
      </c>
      <c r="I832">
        <v>0</v>
      </c>
      <c r="J832">
        <v>14.4542</v>
      </c>
      <c r="K832" t="s">
        <v>14</v>
      </c>
      <c r="L832" t="s">
        <v>24</v>
      </c>
      <c r="M832" t="str">
        <f t="shared" si="37"/>
        <v>Child</v>
      </c>
      <c r="N832" t="b">
        <v>0</v>
      </c>
      <c r="O832" t="s">
        <v>21</v>
      </c>
      <c r="P832" t="s">
        <v>22</v>
      </c>
      <c r="Q832" t="str">
        <f t="shared" si="38"/>
        <v>Yes</v>
      </c>
      <c r="R832" t="b">
        <v>0</v>
      </c>
    </row>
    <row r="833" spans="1:18" x14ac:dyDescent="0.3">
      <c r="A833">
        <v>1</v>
      </c>
      <c r="B833" t="s">
        <v>27</v>
      </c>
      <c r="C833">
        <v>2</v>
      </c>
      <c r="D833" t="s">
        <v>31</v>
      </c>
      <c r="E833" t="s">
        <v>13</v>
      </c>
      <c r="F833" t="str">
        <f t="shared" si="36"/>
        <v>Male</v>
      </c>
      <c r="G833">
        <v>0.83</v>
      </c>
      <c r="H833">
        <v>1</v>
      </c>
      <c r="I833">
        <v>1</v>
      </c>
      <c r="J833">
        <v>18.75</v>
      </c>
      <c r="K833" t="s">
        <v>25</v>
      </c>
      <c r="L833" t="s">
        <v>24</v>
      </c>
      <c r="M833" t="str">
        <f t="shared" si="37"/>
        <v>Child</v>
      </c>
      <c r="N833" t="b">
        <v>0</v>
      </c>
      <c r="O833" t="s">
        <v>16</v>
      </c>
      <c r="P833" t="s">
        <v>22</v>
      </c>
      <c r="Q833" t="str">
        <f t="shared" si="38"/>
        <v>Yes</v>
      </c>
      <c r="R833" t="b">
        <v>0</v>
      </c>
    </row>
    <row r="834" spans="1:18" x14ac:dyDescent="0.3">
      <c r="A834">
        <v>0</v>
      </c>
      <c r="B834" t="s">
        <v>26</v>
      </c>
      <c r="C834">
        <v>3</v>
      </c>
      <c r="D834" t="s">
        <v>32</v>
      </c>
      <c r="E834" t="s">
        <v>13</v>
      </c>
      <c r="F834" t="str">
        <f t="shared" si="36"/>
        <v>Male</v>
      </c>
      <c r="G834">
        <v>30</v>
      </c>
      <c r="H834">
        <v>0</v>
      </c>
      <c r="I834">
        <v>0</v>
      </c>
      <c r="J834">
        <v>7.2291999999999996</v>
      </c>
      <c r="K834" t="s">
        <v>14</v>
      </c>
      <c r="L834" t="s">
        <v>15</v>
      </c>
      <c r="M834" t="str">
        <f t="shared" si="37"/>
        <v>Man</v>
      </c>
      <c r="N834" t="b">
        <v>1</v>
      </c>
      <c r="O834" t="s">
        <v>21</v>
      </c>
      <c r="P834" t="s">
        <v>17</v>
      </c>
      <c r="Q834" t="str">
        <f t="shared" si="38"/>
        <v>No</v>
      </c>
      <c r="R834" t="b">
        <v>1</v>
      </c>
    </row>
    <row r="835" spans="1:18" x14ac:dyDescent="0.3">
      <c r="A835">
        <v>0</v>
      </c>
      <c r="B835" t="s">
        <v>26</v>
      </c>
      <c r="C835">
        <v>3</v>
      </c>
      <c r="D835" t="s">
        <v>32</v>
      </c>
      <c r="E835" t="s">
        <v>13</v>
      </c>
      <c r="F835" t="str">
        <f t="shared" ref="F835:F892" si="39">PROPER(E835)</f>
        <v>Male</v>
      </c>
      <c r="G835">
        <v>23</v>
      </c>
      <c r="H835">
        <v>0</v>
      </c>
      <c r="I835">
        <v>0</v>
      </c>
      <c r="J835">
        <v>7.8541999999999996</v>
      </c>
      <c r="K835" t="s">
        <v>14</v>
      </c>
      <c r="L835" t="s">
        <v>15</v>
      </c>
      <c r="M835" t="str">
        <f t="shared" ref="M835:M892" si="40">PROPER(L835)</f>
        <v>Man</v>
      </c>
      <c r="N835" t="b">
        <v>1</v>
      </c>
      <c r="O835" t="s">
        <v>16</v>
      </c>
      <c r="P835" t="s">
        <v>17</v>
      </c>
      <c r="Q835" t="str">
        <f t="shared" ref="Q835:Q892" si="41">PROPER(P835)</f>
        <v>No</v>
      </c>
      <c r="R835" t="b">
        <v>1</v>
      </c>
    </row>
    <row r="836" spans="1:18" x14ac:dyDescent="0.3">
      <c r="A836">
        <v>0</v>
      </c>
      <c r="B836" t="s">
        <v>26</v>
      </c>
      <c r="C836">
        <v>3</v>
      </c>
      <c r="D836" t="s">
        <v>32</v>
      </c>
      <c r="E836" t="s">
        <v>13</v>
      </c>
      <c r="F836" t="str">
        <f t="shared" si="39"/>
        <v>Male</v>
      </c>
      <c r="G836">
        <v>18</v>
      </c>
      <c r="H836">
        <v>0</v>
      </c>
      <c r="I836">
        <v>0</v>
      </c>
      <c r="J836">
        <v>8.3000000000000007</v>
      </c>
      <c r="K836" t="s">
        <v>14</v>
      </c>
      <c r="L836" t="s">
        <v>15</v>
      </c>
      <c r="M836" t="str">
        <f t="shared" si="40"/>
        <v>Man</v>
      </c>
      <c r="N836" t="b">
        <v>1</v>
      </c>
      <c r="O836" t="s">
        <v>16</v>
      </c>
      <c r="P836" t="s">
        <v>17</v>
      </c>
      <c r="Q836" t="str">
        <f t="shared" si="41"/>
        <v>No</v>
      </c>
      <c r="R836" t="b">
        <v>1</v>
      </c>
    </row>
    <row r="837" spans="1:18" x14ac:dyDescent="0.3">
      <c r="A837">
        <v>1</v>
      </c>
      <c r="B837" t="s">
        <v>27</v>
      </c>
      <c r="C837">
        <v>1</v>
      </c>
      <c r="D837" t="s">
        <v>30</v>
      </c>
      <c r="E837" t="s">
        <v>18</v>
      </c>
      <c r="F837" t="str">
        <f t="shared" si="39"/>
        <v>Female</v>
      </c>
      <c r="G837">
        <v>39</v>
      </c>
      <c r="H837">
        <v>1</v>
      </c>
      <c r="I837">
        <v>1</v>
      </c>
      <c r="J837">
        <v>83.158299999999997</v>
      </c>
      <c r="K837" t="s">
        <v>19</v>
      </c>
      <c r="L837" t="s">
        <v>20</v>
      </c>
      <c r="M837" t="str">
        <f t="shared" si="40"/>
        <v>Woman</v>
      </c>
      <c r="N837" t="b">
        <v>0</v>
      </c>
      <c r="O837" t="s">
        <v>21</v>
      </c>
      <c r="P837" t="s">
        <v>22</v>
      </c>
      <c r="Q837" t="str">
        <f t="shared" si="41"/>
        <v>Yes</v>
      </c>
      <c r="R837" t="b">
        <v>0</v>
      </c>
    </row>
    <row r="838" spans="1:18" x14ac:dyDescent="0.3">
      <c r="A838">
        <v>0</v>
      </c>
      <c r="B838" t="s">
        <v>26</v>
      </c>
      <c r="C838">
        <v>3</v>
      </c>
      <c r="D838" t="s">
        <v>32</v>
      </c>
      <c r="E838" t="s">
        <v>13</v>
      </c>
      <c r="F838" t="str">
        <f t="shared" si="39"/>
        <v>Male</v>
      </c>
      <c r="G838">
        <v>21</v>
      </c>
      <c r="H838">
        <v>0</v>
      </c>
      <c r="I838">
        <v>0</v>
      </c>
      <c r="J838">
        <v>8.6624999999999996</v>
      </c>
      <c r="K838" t="s">
        <v>14</v>
      </c>
      <c r="L838" t="s">
        <v>15</v>
      </c>
      <c r="M838" t="str">
        <f t="shared" si="40"/>
        <v>Man</v>
      </c>
      <c r="N838" t="b">
        <v>1</v>
      </c>
      <c r="O838" t="s">
        <v>16</v>
      </c>
      <c r="P838" t="s">
        <v>17</v>
      </c>
      <c r="Q838" t="str">
        <f t="shared" si="41"/>
        <v>No</v>
      </c>
      <c r="R838" t="b">
        <v>1</v>
      </c>
    </row>
    <row r="839" spans="1:18" x14ac:dyDescent="0.3">
      <c r="A839">
        <v>0</v>
      </c>
      <c r="B839" t="s">
        <v>26</v>
      </c>
      <c r="C839">
        <v>3</v>
      </c>
      <c r="D839" t="s">
        <v>32</v>
      </c>
      <c r="E839" t="s">
        <v>13</v>
      </c>
      <c r="F839" t="str">
        <f t="shared" si="39"/>
        <v>Male</v>
      </c>
      <c r="G839">
        <v>30</v>
      </c>
      <c r="H839">
        <v>0</v>
      </c>
      <c r="I839">
        <v>0</v>
      </c>
      <c r="J839">
        <v>8.0500000000000007</v>
      </c>
      <c r="K839" t="s">
        <v>14</v>
      </c>
      <c r="L839" t="s">
        <v>15</v>
      </c>
      <c r="M839" t="str">
        <f t="shared" si="40"/>
        <v>Man</v>
      </c>
      <c r="N839" t="b">
        <v>1</v>
      </c>
      <c r="O839" t="s">
        <v>16</v>
      </c>
      <c r="P839" t="s">
        <v>17</v>
      </c>
      <c r="Q839" t="str">
        <f t="shared" si="41"/>
        <v>No</v>
      </c>
      <c r="R839" t="b">
        <v>1</v>
      </c>
    </row>
    <row r="840" spans="1:18" x14ac:dyDescent="0.3">
      <c r="A840">
        <v>1</v>
      </c>
      <c r="B840" t="s">
        <v>27</v>
      </c>
      <c r="C840">
        <v>3</v>
      </c>
      <c r="D840" t="s">
        <v>32</v>
      </c>
      <c r="E840" t="s">
        <v>13</v>
      </c>
      <c r="F840" t="str">
        <f t="shared" si="39"/>
        <v>Male</v>
      </c>
      <c r="G840">
        <v>32</v>
      </c>
      <c r="H840">
        <v>0</v>
      </c>
      <c r="I840">
        <v>0</v>
      </c>
      <c r="J840">
        <v>56.495800000000003</v>
      </c>
      <c r="K840" t="s">
        <v>14</v>
      </c>
      <c r="L840" t="s">
        <v>15</v>
      </c>
      <c r="M840" t="str">
        <f t="shared" si="40"/>
        <v>Man</v>
      </c>
      <c r="N840" t="b">
        <v>1</v>
      </c>
      <c r="O840" t="s">
        <v>16</v>
      </c>
      <c r="P840" t="s">
        <v>22</v>
      </c>
      <c r="Q840" t="str">
        <f t="shared" si="41"/>
        <v>Yes</v>
      </c>
      <c r="R840" t="b">
        <v>1</v>
      </c>
    </row>
    <row r="841" spans="1:18" x14ac:dyDescent="0.3">
      <c r="A841">
        <v>1</v>
      </c>
      <c r="B841" t="s">
        <v>27</v>
      </c>
      <c r="C841">
        <v>1</v>
      </c>
      <c r="D841" t="s">
        <v>30</v>
      </c>
      <c r="E841" t="s">
        <v>13</v>
      </c>
      <c r="F841" t="str">
        <f t="shared" si="39"/>
        <v>Male</v>
      </c>
      <c r="G841">
        <v>30</v>
      </c>
      <c r="H841">
        <v>0</v>
      </c>
      <c r="I841">
        <v>0</v>
      </c>
      <c r="J841">
        <v>29.7</v>
      </c>
      <c r="K841" t="s">
        <v>19</v>
      </c>
      <c r="L841" t="s">
        <v>15</v>
      </c>
      <c r="M841" t="str">
        <f t="shared" si="40"/>
        <v>Man</v>
      </c>
      <c r="N841" t="b">
        <v>1</v>
      </c>
      <c r="O841" t="s">
        <v>21</v>
      </c>
      <c r="P841" t="s">
        <v>22</v>
      </c>
      <c r="Q841" t="str">
        <f t="shared" si="41"/>
        <v>Yes</v>
      </c>
      <c r="R841" t="b">
        <v>1</v>
      </c>
    </row>
    <row r="842" spans="1:18" x14ac:dyDescent="0.3">
      <c r="A842">
        <v>0</v>
      </c>
      <c r="B842" t="s">
        <v>26</v>
      </c>
      <c r="C842">
        <v>3</v>
      </c>
      <c r="D842" t="s">
        <v>32</v>
      </c>
      <c r="E842" t="s">
        <v>13</v>
      </c>
      <c r="F842" t="str">
        <f t="shared" si="39"/>
        <v>Male</v>
      </c>
      <c r="G842">
        <v>20</v>
      </c>
      <c r="H842">
        <v>0</v>
      </c>
      <c r="I842">
        <v>0</v>
      </c>
      <c r="J842">
        <v>7.9249999999999998</v>
      </c>
      <c r="K842" t="s">
        <v>14</v>
      </c>
      <c r="L842" t="s">
        <v>15</v>
      </c>
      <c r="M842" t="str">
        <f t="shared" si="40"/>
        <v>Man</v>
      </c>
      <c r="N842" t="b">
        <v>1</v>
      </c>
      <c r="O842" t="s">
        <v>16</v>
      </c>
      <c r="P842" t="s">
        <v>17</v>
      </c>
      <c r="Q842" t="str">
        <f t="shared" si="41"/>
        <v>No</v>
      </c>
      <c r="R842" t="b">
        <v>1</v>
      </c>
    </row>
    <row r="843" spans="1:18" x14ac:dyDescent="0.3">
      <c r="A843">
        <v>0</v>
      </c>
      <c r="B843" t="s">
        <v>26</v>
      </c>
      <c r="C843">
        <v>2</v>
      </c>
      <c r="D843" t="s">
        <v>31</v>
      </c>
      <c r="E843" t="s">
        <v>13</v>
      </c>
      <c r="F843" t="str">
        <f t="shared" si="39"/>
        <v>Male</v>
      </c>
      <c r="G843">
        <v>16</v>
      </c>
      <c r="H843">
        <v>0</v>
      </c>
      <c r="I843">
        <v>0</v>
      </c>
      <c r="J843">
        <v>10.5</v>
      </c>
      <c r="K843" t="s">
        <v>25</v>
      </c>
      <c r="L843" t="s">
        <v>15</v>
      </c>
      <c r="M843" t="str">
        <f t="shared" si="40"/>
        <v>Man</v>
      </c>
      <c r="N843" t="b">
        <v>1</v>
      </c>
      <c r="O843" t="s">
        <v>16</v>
      </c>
      <c r="P843" t="s">
        <v>17</v>
      </c>
      <c r="Q843" t="str">
        <f t="shared" si="41"/>
        <v>No</v>
      </c>
      <c r="R843" t="b">
        <v>1</v>
      </c>
    </row>
    <row r="844" spans="1:18" x14ac:dyDescent="0.3">
      <c r="A844">
        <v>1</v>
      </c>
      <c r="B844" t="s">
        <v>27</v>
      </c>
      <c r="C844">
        <v>1</v>
      </c>
      <c r="D844" t="s">
        <v>30</v>
      </c>
      <c r="E844" t="s">
        <v>18</v>
      </c>
      <c r="F844" t="str">
        <f t="shared" si="39"/>
        <v>Female</v>
      </c>
      <c r="G844">
        <v>30</v>
      </c>
      <c r="H844">
        <v>0</v>
      </c>
      <c r="I844">
        <v>0</v>
      </c>
      <c r="J844">
        <v>31</v>
      </c>
      <c r="K844" t="s">
        <v>19</v>
      </c>
      <c r="L844" t="s">
        <v>20</v>
      </c>
      <c r="M844" t="str">
        <f t="shared" si="40"/>
        <v>Woman</v>
      </c>
      <c r="N844" t="b">
        <v>0</v>
      </c>
      <c r="O844" t="s">
        <v>21</v>
      </c>
      <c r="P844" t="s">
        <v>22</v>
      </c>
      <c r="Q844" t="str">
        <f t="shared" si="41"/>
        <v>Yes</v>
      </c>
      <c r="R844" t="b">
        <v>1</v>
      </c>
    </row>
    <row r="845" spans="1:18" x14ac:dyDescent="0.3">
      <c r="A845">
        <v>0</v>
      </c>
      <c r="B845" t="s">
        <v>26</v>
      </c>
      <c r="C845">
        <v>3</v>
      </c>
      <c r="D845" t="s">
        <v>32</v>
      </c>
      <c r="E845" t="s">
        <v>13</v>
      </c>
      <c r="F845" t="str">
        <f t="shared" si="39"/>
        <v>Male</v>
      </c>
      <c r="G845">
        <v>34.5</v>
      </c>
      <c r="H845">
        <v>0</v>
      </c>
      <c r="I845">
        <v>0</v>
      </c>
      <c r="J845">
        <v>6.4375</v>
      </c>
      <c r="K845" t="s">
        <v>14</v>
      </c>
      <c r="L845" t="s">
        <v>15</v>
      </c>
      <c r="M845" t="str">
        <f t="shared" si="40"/>
        <v>Man</v>
      </c>
      <c r="N845" t="b">
        <v>1</v>
      </c>
      <c r="O845" t="s">
        <v>21</v>
      </c>
      <c r="P845" t="s">
        <v>17</v>
      </c>
      <c r="Q845" t="str">
        <f t="shared" si="41"/>
        <v>No</v>
      </c>
      <c r="R845" t="b">
        <v>1</v>
      </c>
    </row>
    <row r="846" spans="1:18" x14ac:dyDescent="0.3">
      <c r="A846">
        <v>0</v>
      </c>
      <c r="B846" t="s">
        <v>26</v>
      </c>
      <c r="C846">
        <v>3</v>
      </c>
      <c r="D846" t="s">
        <v>32</v>
      </c>
      <c r="E846" t="s">
        <v>13</v>
      </c>
      <c r="F846" t="str">
        <f t="shared" si="39"/>
        <v>Male</v>
      </c>
      <c r="G846">
        <v>17</v>
      </c>
      <c r="H846">
        <v>0</v>
      </c>
      <c r="I846">
        <v>0</v>
      </c>
      <c r="J846">
        <v>8.6624999999999996</v>
      </c>
      <c r="K846" t="s">
        <v>14</v>
      </c>
      <c r="L846" t="s">
        <v>15</v>
      </c>
      <c r="M846" t="str">
        <f t="shared" si="40"/>
        <v>Man</v>
      </c>
      <c r="N846" t="b">
        <v>1</v>
      </c>
      <c r="O846" t="s">
        <v>16</v>
      </c>
      <c r="P846" t="s">
        <v>17</v>
      </c>
      <c r="Q846" t="str">
        <f t="shared" si="41"/>
        <v>No</v>
      </c>
      <c r="R846" t="b">
        <v>1</v>
      </c>
    </row>
    <row r="847" spans="1:18" x14ac:dyDescent="0.3">
      <c r="A847">
        <v>0</v>
      </c>
      <c r="B847" t="s">
        <v>26</v>
      </c>
      <c r="C847">
        <v>3</v>
      </c>
      <c r="D847" t="s">
        <v>32</v>
      </c>
      <c r="E847" t="s">
        <v>13</v>
      </c>
      <c r="F847" t="str">
        <f t="shared" si="39"/>
        <v>Male</v>
      </c>
      <c r="G847">
        <v>42</v>
      </c>
      <c r="H847">
        <v>0</v>
      </c>
      <c r="I847">
        <v>0</v>
      </c>
      <c r="J847">
        <v>7.55</v>
      </c>
      <c r="K847" t="s">
        <v>14</v>
      </c>
      <c r="L847" t="s">
        <v>15</v>
      </c>
      <c r="M847" t="str">
        <f t="shared" si="40"/>
        <v>Man</v>
      </c>
      <c r="N847" t="b">
        <v>1</v>
      </c>
      <c r="O847" t="s">
        <v>16</v>
      </c>
      <c r="P847" t="s">
        <v>17</v>
      </c>
      <c r="Q847" t="str">
        <f t="shared" si="41"/>
        <v>No</v>
      </c>
      <c r="R847" t="b">
        <v>1</v>
      </c>
    </row>
    <row r="848" spans="1:18" x14ac:dyDescent="0.3">
      <c r="A848">
        <v>0</v>
      </c>
      <c r="B848" t="s">
        <v>26</v>
      </c>
      <c r="C848">
        <v>3</v>
      </c>
      <c r="D848" t="s">
        <v>32</v>
      </c>
      <c r="E848" t="s">
        <v>13</v>
      </c>
      <c r="F848" t="str">
        <f t="shared" si="39"/>
        <v>Male</v>
      </c>
      <c r="G848">
        <v>30</v>
      </c>
      <c r="H848">
        <v>8</v>
      </c>
      <c r="I848">
        <v>2</v>
      </c>
      <c r="J848">
        <v>69.55</v>
      </c>
      <c r="K848" t="s">
        <v>14</v>
      </c>
      <c r="L848" t="s">
        <v>15</v>
      </c>
      <c r="M848" t="str">
        <f t="shared" si="40"/>
        <v>Man</v>
      </c>
      <c r="N848" t="b">
        <v>1</v>
      </c>
      <c r="O848" t="s">
        <v>16</v>
      </c>
      <c r="P848" t="s">
        <v>17</v>
      </c>
      <c r="Q848" t="str">
        <f t="shared" si="41"/>
        <v>No</v>
      </c>
      <c r="R848" t="b">
        <v>0</v>
      </c>
    </row>
    <row r="849" spans="1:18" x14ac:dyDescent="0.3">
      <c r="A849">
        <v>0</v>
      </c>
      <c r="B849" t="s">
        <v>26</v>
      </c>
      <c r="C849">
        <v>3</v>
      </c>
      <c r="D849" t="s">
        <v>32</v>
      </c>
      <c r="E849" t="s">
        <v>13</v>
      </c>
      <c r="F849" t="str">
        <f t="shared" si="39"/>
        <v>Male</v>
      </c>
      <c r="G849">
        <v>35</v>
      </c>
      <c r="H849">
        <v>0</v>
      </c>
      <c r="I849">
        <v>0</v>
      </c>
      <c r="J849">
        <v>7.8958000000000004</v>
      </c>
      <c r="K849" t="s">
        <v>14</v>
      </c>
      <c r="L849" t="s">
        <v>15</v>
      </c>
      <c r="M849" t="str">
        <f t="shared" si="40"/>
        <v>Man</v>
      </c>
      <c r="N849" t="b">
        <v>1</v>
      </c>
      <c r="O849" t="s">
        <v>21</v>
      </c>
      <c r="P849" t="s">
        <v>17</v>
      </c>
      <c r="Q849" t="str">
        <f t="shared" si="41"/>
        <v>No</v>
      </c>
      <c r="R849" t="b">
        <v>1</v>
      </c>
    </row>
    <row r="850" spans="1:18" x14ac:dyDescent="0.3">
      <c r="A850">
        <v>0</v>
      </c>
      <c r="B850" t="s">
        <v>26</v>
      </c>
      <c r="C850">
        <v>2</v>
      </c>
      <c r="D850" t="s">
        <v>31</v>
      </c>
      <c r="E850" t="s">
        <v>13</v>
      </c>
      <c r="F850" t="str">
        <f t="shared" si="39"/>
        <v>Male</v>
      </c>
      <c r="G850">
        <v>28</v>
      </c>
      <c r="H850">
        <v>0</v>
      </c>
      <c r="I850">
        <v>1</v>
      </c>
      <c r="J850">
        <v>33</v>
      </c>
      <c r="K850" t="s">
        <v>25</v>
      </c>
      <c r="L850" t="s">
        <v>15</v>
      </c>
      <c r="M850" t="str">
        <f t="shared" si="40"/>
        <v>Man</v>
      </c>
      <c r="N850" t="b">
        <v>1</v>
      </c>
      <c r="O850" t="s">
        <v>16</v>
      </c>
      <c r="P850" t="s">
        <v>17</v>
      </c>
      <c r="Q850" t="str">
        <f t="shared" si="41"/>
        <v>No</v>
      </c>
      <c r="R850" t="b">
        <v>0</v>
      </c>
    </row>
    <row r="851" spans="1:18" x14ac:dyDescent="0.3">
      <c r="A851">
        <v>1</v>
      </c>
      <c r="B851" t="s">
        <v>27</v>
      </c>
      <c r="C851">
        <v>1</v>
      </c>
      <c r="D851" t="s">
        <v>30</v>
      </c>
      <c r="E851" t="s">
        <v>18</v>
      </c>
      <c r="F851" t="str">
        <f t="shared" si="39"/>
        <v>Female</v>
      </c>
      <c r="G851">
        <v>30</v>
      </c>
      <c r="H851">
        <v>1</v>
      </c>
      <c r="I851">
        <v>0</v>
      </c>
      <c r="J851">
        <v>89.104200000000006</v>
      </c>
      <c r="K851" t="s">
        <v>19</v>
      </c>
      <c r="L851" t="s">
        <v>20</v>
      </c>
      <c r="M851" t="str">
        <f t="shared" si="40"/>
        <v>Woman</v>
      </c>
      <c r="N851" t="b">
        <v>0</v>
      </c>
      <c r="O851" t="s">
        <v>21</v>
      </c>
      <c r="P851" t="s">
        <v>22</v>
      </c>
      <c r="Q851" t="str">
        <f t="shared" si="41"/>
        <v>Yes</v>
      </c>
      <c r="R851" t="b">
        <v>0</v>
      </c>
    </row>
    <row r="852" spans="1:18" x14ac:dyDescent="0.3">
      <c r="A852">
        <v>0</v>
      </c>
      <c r="B852" t="s">
        <v>26</v>
      </c>
      <c r="C852">
        <v>3</v>
      </c>
      <c r="D852" t="s">
        <v>32</v>
      </c>
      <c r="E852" t="s">
        <v>13</v>
      </c>
      <c r="F852" t="str">
        <f t="shared" si="39"/>
        <v>Male</v>
      </c>
      <c r="G852">
        <v>4</v>
      </c>
      <c r="H852">
        <v>4</v>
      </c>
      <c r="I852">
        <v>2</v>
      </c>
      <c r="J852">
        <v>31.274999999999999</v>
      </c>
      <c r="K852" t="s">
        <v>14</v>
      </c>
      <c r="L852" t="s">
        <v>24</v>
      </c>
      <c r="M852" t="str">
        <f t="shared" si="40"/>
        <v>Child</v>
      </c>
      <c r="N852" t="b">
        <v>0</v>
      </c>
      <c r="O852" t="s">
        <v>16</v>
      </c>
      <c r="P852" t="s">
        <v>17</v>
      </c>
      <c r="Q852" t="str">
        <f t="shared" si="41"/>
        <v>No</v>
      </c>
      <c r="R852" t="b">
        <v>0</v>
      </c>
    </row>
    <row r="853" spans="1:18" x14ac:dyDescent="0.3">
      <c r="A853">
        <v>0</v>
      </c>
      <c r="B853" t="s">
        <v>26</v>
      </c>
      <c r="C853">
        <v>3</v>
      </c>
      <c r="D853" t="s">
        <v>32</v>
      </c>
      <c r="E853" t="s">
        <v>13</v>
      </c>
      <c r="F853" t="str">
        <f t="shared" si="39"/>
        <v>Male</v>
      </c>
      <c r="G853">
        <v>74</v>
      </c>
      <c r="H853">
        <v>0</v>
      </c>
      <c r="I853">
        <v>0</v>
      </c>
      <c r="J853">
        <v>7.7750000000000004</v>
      </c>
      <c r="K853" t="s">
        <v>14</v>
      </c>
      <c r="L853" t="s">
        <v>15</v>
      </c>
      <c r="M853" t="str">
        <f t="shared" si="40"/>
        <v>Man</v>
      </c>
      <c r="N853" t="b">
        <v>1</v>
      </c>
      <c r="O853" t="s">
        <v>16</v>
      </c>
      <c r="P853" t="s">
        <v>17</v>
      </c>
      <c r="Q853" t="str">
        <f t="shared" si="41"/>
        <v>No</v>
      </c>
      <c r="R853" t="b">
        <v>1</v>
      </c>
    </row>
    <row r="854" spans="1:18" x14ac:dyDescent="0.3">
      <c r="A854">
        <v>0</v>
      </c>
      <c r="B854" t="s">
        <v>26</v>
      </c>
      <c r="C854">
        <v>3</v>
      </c>
      <c r="D854" t="s">
        <v>32</v>
      </c>
      <c r="E854" t="s">
        <v>18</v>
      </c>
      <c r="F854" t="str">
        <f t="shared" si="39"/>
        <v>Female</v>
      </c>
      <c r="G854">
        <v>9</v>
      </c>
      <c r="H854">
        <v>1</v>
      </c>
      <c r="I854">
        <v>1</v>
      </c>
      <c r="J854">
        <v>15.245799999999999</v>
      </c>
      <c r="K854" t="s">
        <v>14</v>
      </c>
      <c r="L854" t="s">
        <v>24</v>
      </c>
      <c r="M854" t="str">
        <f t="shared" si="40"/>
        <v>Child</v>
      </c>
      <c r="N854" t="b">
        <v>0</v>
      </c>
      <c r="O854" t="s">
        <v>21</v>
      </c>
      <c r="P854" t="s">
        <v>17</v>
      </c>
      <c r="Q854" t="str">
        <f t="shared" si="41"/>
        <v>No</v>
      </c>
      <c r="R854" t="b">
        <v>0</v>
      </c>
    </row>
    <row r="855" spans="1:18" x14ac:dyDescent="0.3">
      <c r="A855">
        <v>1</v>
      </c>
      <c r="B855" t="s">
        <v>27</v>
      </c>
      <c r="C855">
        <v>1</v>
      </c>
      <c r="D855" t="s">
        <v>30</v>
      </c>
      <c r="E855" t="s">
        <v>18</v>
      </c>
      <c r="F855" t="str">
        <f t="shared" si="39"/>
        <v>Female</v>
      </c>
      <c r="G855">
        <v>16</v>
      </c>
      <c r="H855">
        <v>0</v>
      </c>
      <c r="I855">
        <v>1</v>
      </c>
      <c r="J855">
        <v>39.4</v>
      </c>
      <c r="K855" t="s">
        <v>19</v>
      </c>
      <c r="L855" t="s">
        <v>20</v>
      </c>
      <c r="M855" t="str">
        <f t="shared" si="40"/>
        <v>Woman</v>
      </c>
      <c r="N855" t="b">
        <v>0</v>
      </c>
      <c r="O855" t="s">
        <v>16</v>
      </c>
      <c r="P855" t="s">
        <v>22</v>
      </c>
      <c r="Q855" t="str">
        <f t="shared" si="41"/>
        <v>Yes</v>
      </c>
      <c r="R855" t="b">
        <v>0</v>
      </c>
    </row>
    <row r="856" spans="1:18" x14ac:dyDescent="0.3">
      <c r="A856">
        <v>0</v>
      </c>
      <c r="B856" t="s">
        <v>26</v>
      </c>
      <c r="C856">
        <v>2</v>
      </c>
      <c r="D856" t="s">
        <v>31</v>
      </c>
      <c r="E856" t="s">
        <v>18</v>
      </c>
      <c r="F856" t="str">
        <f t="shared" si="39"/>
        <v>Female</v>
      </c>
      <c r="G856">
        <v>44</v>
      </c>
      <c r="H856">
        <v>1</v>
      </c>
      <c r="I856">
        <v>0</v>
      </c>
      <c r="J856">
        <v>26</v>
      </c>
      <c r="K856" t="s">
        <v>25</v>
      </c>
      <c r="L856" t="s">
        <v>20</v>
      </c>
      <c r="M856" t="str">
        <f t="shared" si="40"/>
        <v>Woman</v>
      </c>
      <c r="N856" t="b">
        <v>0</v>
      </c>
      <c r="O856" t="s">
        <v>16</v>
      </c>
      <c r="P856" t="s">
        <v>17</v>
      </c>
      <c r="Q856" t="str">
        <f t="shared" si="41"/>
        <v>No</v>
      </c>
      <c r="R856" t="b">
        <v>0</v>
      </c>
    </row>
    <row r="857" spans="1:18" x14ac:dyDescent="0.3">
      <c r="A857">
        <v>1</v>
      </c>
      <c r="B857" t="s">
        <v>27</v>
      </c>
      <c r="C857">
        <v>3</v>
      </c>
      <c r="D857" t="s">
        <v>32</v>
      </c>
      <c r="E857" t="s">
        <v>18</v>
      </c>
      <c r="F857" t="str">
        <f t="shared" si="39"/>
        <v>Female</v>
      </c>
      <c r="G857">
        <v>18</v>
      </c>
      <c r="H857">
        <v>0</v>
      </c>
      <c r="I857">
        <v>1</v>
      </c>
      <c r="J857">
        <v>9.35</v>
      </c>
      <c r="K857" t="s">
        <v>14</v>
      </c>
      <c r="L857" t="s">
        <v>20</v>
      </c>
      <c r="M857" t="str">
        <f t="shared" si="40"/>
        <v>Woman</v>
      </c>
      <c r="N857" t="b">
        <v>0</v>
      </c>
      <c r="O857" t="s">
        <v>16</v>
      </c>
      <c r="P857" t="s">
        <v>22</v>
      </c>
      <c r="Q857" t="str">
        <f t="shared" si="41"/>
        <v>Yes</v>
      </c>
      <c r="R857" t="b">
        <v>0</v>
      </c>
    </row>
    <row r="858" spans="1:18" x14ac:dyDescent="0.3">
      <c r="A858">
        <v>1</v>
      </c>
      <c r="B858" t="s">
        <v>27</v>
      </c>
      <c r="C858">
        <v>1</v>
      </c>
      <c r="D858" t="s">
        <v>30</v>
      </c>
      <c r="E858" t="s">
        <v>18</v>
      </c>
      <c r="F858" t="str">
        <f t="shared" si="39"/>
        <v>Female</v>
      </c>
      <c r="G858">
        <v>45</v>
      </c>
      <c r="H858">
        <v>1</v>
      </c>
      <c r="I858">
        <v>1</v>
      </c>
      <c r="J858">
        <v>164.86670000000001</v>
      </c>
      <c r="K858" t="s">
        <v>19</v>
      </c>
      <c r="L858" t="s">
        <v>20</v>
      </c>
      <c r="M858" t="str">
        <f t="shared" si="40"/>
        <v>Woman</v>
      </c>
      <c r="N858" t="b">
        <v>0</v>
      </c>
      <c r="O858" t="s">
        <v>16</v>
      </c>
      <c r="P858" t="s">
        <v>22</v>
      </c>
      <c r="Q858" t="str">
        <f t="shared" si="41"/>
        <v>Yes</v>
      </c>
      <c r="R858" t="b">
        <v>0</v>
      </c>
    </row>
    <row r="859" spans="1:18" x14ac:dyDescent="0.3">
      <c r="A859">
        <v>1</v>
      </c>
      <c r="B859" t="s">
        <v>27</v>
      </c>
      <c r="C859">
        <v>1</v>
      </c>
      <c r="D859" t="s">
        <v>30</v>
      </c>
      <c r="E859" t="s">
        <v>13</v>
      </c>
      <c r="F859" t="str">
        <f t="shared" si="39"/>
        <v>Male</v>
      </c>
      <c r="G859">
        <v>51</v>
      </c>
      <c r="H859">
        <v>0</v>
      </c>
      <c r="I859">
        <v>0</v>
      </c>
      <c r="J859">
        <v>26.55</v>
      </c>
      <c r="K859" t="s">
        <v>19</v>
      </c>
      <c r="L859" t="s">
        <v>15</v>
      </c>
      <c r="M859" t="str">
        <f t="shared" si="40"/>
        <v>Man</v>
      </c>
      <c r="N859" t="b">
        <v>1</v>
      </c>
      <c r="O859" t="s">
        <v>16</v>
      </c>
      <c r="P859" t="s">
        <v>22</v>
      </c>
      <c r="Q859" t="str">
        <f t="shared" si="41"/>
        <v>Yes</v>
      </c>
      <c r="R859" t="b">
        <v>1</v>
      </c>
    </row>
    <row r="860" spans="1:18" x14ac:dyDescent="0.3">
      <c r="A860">
        <v>1</v>
      </c>
      <c r="B860" t="s">
        <v>27</v>
      </c>
      <c r="C860">
        <v>3</v>
      </c>
      <c r="D860" t="s">
        <v>32</v>
      </c>
      <c r="E860" t="s">
        <v>18</v>
      </c>
      <c r="F860" t="str">
        <f t="shared" si="39"/>
        <v>Female</v>
      </c>
      <c r="G860">
        <v>24</v>
      </c>
      <c r="H860">
        <v>0</v>
      </c>
      <c r="I860">
        <v>3</v>
      </c>
      <c r="J860">
        <v>19.258299999999998</v>
      </c>
      <c r="K860" t="s">
        <v>14</v>
      </c>
      <c r="L860" t="s">
        <v>20</v>
      </c>
      <c r="M860" t="str">
        <f t="shared" si="40"/>
        <v>Woman</v>
      </c>
      <c r="N860" t="b">
        <v>0</v>
      </c>
      <c r="O860" t="s">
        <v>21</v>
      </c>
      <c r="P860" t="s">
        <v>22</v>
      </c>
      <c r="Q860" t="str">
        <f t="shared" si="41"/>
        <v>Yes</v>
      </c>
      <c r="R860" t="b">
        <v>0</v>
      </c>
    </row>
    <row r="861" spans="1:18" x14ac:dyDescent="0.3">
      <c r="A861">
        <v>0</v>
      </c>
      <c r="B861" t="s">
        <v>26</v>
      </c>
      <c r="C861">
        <v>3</v>
      </c>
      <c r="D861" t="s">
        <v>32</v>
      </c>
      <c r="E861" t="s">
        <v>13</v>
      </c>
      <c r="F861" t="str">
        <f t="shared" si="39"/>
        <v>Male</v>
      </c>
      <c r="G861">
        <v>30</v>
      </c>
      <c r="H861">
        <v>0</v>
      </c>
      <c r="I861">
        <v>0</v>
      </c>
      <c r="J861">
        <v>7.2291999999999996</v>
      </c>
      <c r="K861" t="s">
        <v>14</v>
      </c>
      <c r="L861" t="s">
        <v>15</v>
      </c>
      <c r="M861" t="str">
        <f t="shared" si="40"/>
        <v>Man</v>
      </c>
      <c r="N861" t="b">
        <v>1</v>
      </c>
      <c r="O861" t="s">
        <v>21</v>
      </c>
      <c r="P861" t="s">
        <v>17</v>
      </c>
      <c r="Q861" t="str">
        <f t="shared" si="41"/>
        <v>No</v>
      </c>
      <c r="R861" t="b">
        <v>1</v>
      </c>
    </row>
    <row r="862" spans="1:18" x14ac:dyDescent="0.3">
      <c r="A862">
        <v>0</v>
      </c>
      <c r="B862" t="s">
        <v>26</v>
      </c>
      <c r="C862">
        <v>3</v>
      </c>
      <c r="D862" t="s">
        <v>32</v>
      </c>
      <c r="E862" t="s">
        <v>13</v>
      </c>
      <c r="F862" t="str">
        <f t="shared" si="39"/>
        <v>Male</v>
      </c>
      <c r="G862">
        <v>41</v>
      </c>
      <c r="H862">
        <v>2</v>
      </c>
      <c r="I862">
        <v>0</v>
      </c>
      <c r="J862">
        <v>14.1083</v>
      </c>
      <c r="K862" t="s">
        <v>14</v>
      </c>
      <c r="L862" t="s">
        <v>15</v>
      </c>
      <c r="M862" t="str">
        <f t="shared" si="40"/>
        <v>Man</v>
      </c>
      <c r="N862" t="b">
        <v>1</v>
      </c>
      <c r="O862" t="s">
        <v>16</v>
      </c>
      <c r="P862" t="s">
        <v>17</v>
      </c>
      <c r="Q862" t="str">
        <f t="shared" si="41"/>
        <v>No</v>
      </c>
      <c r="R862" t="b">
        <v>0</v>
      </c>
    </row>
    <row r="863" spans="1:18" x14ac:dyDescent="0.3">
      <c r="A863">
        <v>0</v>
      </c>
      <c r="B863" t="s">
        <v>26</v>
      </c>
      <c r="C863">
        <v>2</v>
      </c>
      <c r="D863" t="s">
        <v>31</v>
      </c>
      <c r="E863" t="s">
        <v>13</v>
      </c>
      <c r="F863" t="str">
        <f t="shared" si="39"/>
        <v>Male</v>
      </c>
      <c r="G863">
        <v>21</v>
      </c>
      <c r="H863">
        <v>1</v>
      </c>
      <c r="I863">
        <v>0</v>
      </c>
      <c r="J863">
        <v>11.5</v>
      </c>
      <c r="K863" t="s">
        <v>25</v>
      </c>
      <c r="L863" t="s">
        <v>15</v>
      </c>
      <c r="M863" t="str">
        <f t="shared" si="40"/>
        <v>Man</v>
      </c>
      <c r="N863" t="b">
        <v>1</v>
      </c>
      <c r="O863" t="s">
        <v>16</v>
      </c>
      <c r="P863" t="s">
        <v>17</v>
      </c>
      <c r="Q863" t="str">
        <f t="shared" si="41"/>
        <v>No</v>
      </c>
      <c r="R863" t="b">
        <v>0</v>
      </c>
    </row>
    <row r="864" spans="1:18" x14ac:dyDescent="0.3">
      <c r="A864">
        <v>1</v>
      </c>
      <c r="B864" t="s">
        <v>27</v>
      </c>
      <c r="C864">
        <v>1</v>
      </c>
      <c r="D864" t="s">
        <v>30</v>
      </c>
      <c r="E864" t="s">
        <v>18</v>
      </c>
      <c r="F864" t="str">
        <f t="shared" si="39"/>
        <v>Female</v>
      </c>
      <c r="G864">
        <v>48</v>
      </c>
      <c r="H864">
        <v>0</v>
      </c>
      <c r="I864">
        <v>0</v>
      </c>
      <c r="J864">
        <v>25.929200000000002</v>
      </c>
      <c r="K864" t="s">
        <v>19</v>
      </c>
      <c r="L864" t="s">
        <v>20</v>
      </c>
      <c r="M864" t="str">
        <f t="shared" si="40"/>
        <v>Woman</v>
      </c>
      <c r="N864" t="b">
        <v>0</v>
      </c>
      <c r="O864" t="s">
        <v>16</v>
      </c>
      <c r="P864" t="s">
        <v>22</v>
      </c>
      <c r="Q864" t="str">
        <f t="shared" si="41"/>
        <v>Yes</v>
      </c>
      <c r="R864" t="b">
        <v>1</v>
      </c>
    </row>
    <row r="865" spans="1:18" x14ac:dyDescent="0.3">
      <c r="A865">
        <v>0</v>
      </c>
      <c r="B865" t="s">
        <v>26</v>
      </c>
      <c r="C865">
        <v>3</v>
      </c>
      <c r="D865" t="s">
        <v>32</v>
      </c>
      <c r="E865" t="s">
        <v>18</v>
      </c>
      <c r="F865" t="str">
        <f t="shared" si="39"/>
        <v>Female</v>
      </c>
      <c r="G865">
        <v>30</v>
      </c>
      <c r="H865">
        <v>8</v>
      </c>
      <c r="I865">
        <v>2</v>
      </c>
      <c r="J865">
        <v>69.55</v>
      </c>
      <c r="K865" t="s">
        <v>14</v>
      </c>
      <c r="L865" t="s">
        <v>20</v>
      </c>
      <c r="M865" t="str">
        <f t="shared" si="40"/>
        <v>Woman</v>
      </c>
      <c r="N865" t="b">
        <v>0</v>
      </c>
      <c r="O865" t="s">
        <v>16</v>
      </c>
      <c r="P865" t="s">
        <v>17</v>
      </c>
      <c r="Q865" t="str">
        <f t="shared" si="41"/>
        <v>No</v>
      </c>
      <c r="R865" t="b">
        <v>0</v>
      </c>
    </row>
    <row r="866" spans="1:18" x14ac:dyDescent="0.3">
      <c r="A866">
        <v>0</v>
      </c>
      <c r="B866" t="s">
        <v>26</v>
      </c>
      <c r="C866">
        <v>2</v>
      </c>
      <c r="D866" t="s">
        <v>31</v>
      </c>
      <c r="E866" t="s">
        <v>13</v>
      </c>
      <c r="F866" t="str">
        <f t="shared" si="39"/>
        <v>Male</v>
      </c>
      <c r="G866">
        <v>24</v>
      </c>
      <c r="H866">
        <v>0</v>
      </c>
      <c r="I866">
        <v>0</v>
      </c>
      <c r="J866">
        <v>13</v>
      </c>
      <c r="K866" t="s">
        <v>25</v>
      </c>
      <c r="L866" t="s">
        <v>15</v>
      </c>
      <c r="M866" t="str">
        <f t="shared" si="40"/>
        <v>Man</v>
      </c>
      <c r="N866" t="b">
        <v>1</v>
      </c>
      <c r="O866" t="s">
        <v>16</v>
      </c>
      <c r="P866" t="s">
        <v>17</v>
      </c>
      <c r="Q866" t="str">
        <f t="shared" si="41"/>
        <v>No</v>
      </c>
      <c r="R866" t="b">
        <v>1</v>
      </c>
    </row>
    <row r="867" spans="1:18" x14ac:dyDescent="0.3">
      <c r="A867">
        <v>1</v>
      </c>
      <c r="B867" t="s">
        <v>27</v>
      </c>
      <c r="C867">
        <v>2</v>
      </c>
      <c r="D867" t="s">
        <v>31</v>
      </c>
      <c r="E867" t="s">
        <v>18</v>
      </c>
      <c r="F867" t="str">
        <f t="shared" si="39"/>
        <v>Female</v>
      </c>
      <c r="G867">
        <v>42</v>
      </c>
      <c r="H867">
        <v>0</v>
      </c>
      <c r="I867">
        <v>0</v>
      </c>
      <c r="J867">
        <v>13</v>
      </c>
      <c r="K867" t="s">
        <v>25</v>
      </c>
      <c r="L867" t="s">
        <v>20</v>
      </c>
      <c r="M867" t="str">
        <f t="shared" si="40"/>
        <v>Woman</v>
      </c>
      <c r="N867" t="b">
        <v>0</v>
      </c>
      <c r="O867" t="s">
        <v>16</v>
      </c>
      <c r="P867" t="s">
        <v>22</v>
      </c>
      <c r="Q867" t="str">
        <f t="shared" si="41"/>
        <v>Yes</v>
      </c>
      <c r="R867" t="b">
        <v>1</v>
      </c>
    </row>
    <row r="868" spans="1:18" x14ac:dyDescent="0.3">
      <c r="A868">
        <v>1</v>
      </c>
      <c r="B868" t="s">
        <v>27</v>
      </c>
      <c r="C868">
        <v>2</v>
      </c>
      <c r="D868" t="s">
        <v>31</v>
      </c>
      <c r="E868" t="s">
        <v>18</v>
      </c>
      <c r="F868" t="str">
        <f t="shared" si="39"/>
        <v>Female</v>
      </c>
      <c r="G868">
        <v>27</v>
      </c>
      <c r="H868">
        <v>1</v>
      </c>
      <c r="I868">
        <v>0</v>
      </c>
      <c r="J868">
        <v>13.8583</v>
      </c>
      <c r="K868" t="s">
        <v>25</v>
      </c>
      <c r="L868" t="s">
        <v>20</v>
      </c>
      <c r="M868" t="str">
        <f t="shared" si="40"/>
        <v>Woman</v>
      </c>
      <c r="N868" t="b">
        <v>0</v>
      </c>
      <c r="O868" t="s">
        <v>21</v>
      </c>
      <c r="P868" t="s">
        <v>22</v>
      </c>
      <c r="Q868" t="str">
        <f t="shared" si="41"/>
        <v>Yes</v>
      </c>
      <c r="R868" t="b">
        <v>0</v>
      </c>
    </row>
    <row r="869" spans="1:18" x14ac:dyDescent="0.3">
      <c r="A869">
        <v>0</v>
      </c>
      <c r="B869" t="s">
        <v>26</v>
      </c>
      <c r="C869">
        <v>1</v>
      </c>
      <c r="D869" t="s">
        <v>30</v>
      </c>
      <c r="E869" t="s">
        <v>13</v>
      </c>
      <c r="F869" t="str">
        <f t="shared" si="39"/>
        <v>Male</v>
      </c>
      <c r="G869">
        <v>31</v>
      </c>
      <c r="H869">
        <v>0</v>
      </c>
      <c r="I869">
        <v>0</v>
      </c>
      <c r="J869">
        <v>50.495800000000003</v>
      </c>
      <c r="K869" t="s">
        <v>19</v>
      </c>
      <c r="L869" t="s">
        <v>15</v>
      </c>
      <c r="M869" t="str">
        <f t="shared" si="40"/>
        <v>Man</v>
      </c>
      <c r="N869" t="b">
        <v>1</v>
      </c>
      <c r="O869" t="s">
        <v>16</v>
      </c>
      <c r="P869" t="s">
        <v>17</v>
      </c>
      <c r="Q869" t="str">
        <f t="shared" si="41"/>
        <v>No</v>
      </c>
      <c r="R869" t="b">
        <v>1</v>
      </c>
    </row>
    <row r="870" spans="1:18" x14ac:dyDescent="0.3">
      <c r="A870">
        <v>0</v>
      </c>
      <c r="B870" t="s">
        <v>26</v>
      </c>
      <c r="C870">
        <v>3</v>
      </c>
      <c r="D870" t="s">
        <v>32</v>
      </c>
      <c r="E870" t="s">
        <v>13</v>
      </c>
      <c r="F870" t="str">
        <f t="shared" si="39"/>
        <v>Male</v>
      </c>
      <c r="G870">
        <v>30</v>
      </c>
      <c r="H870">
        <v>0</v>
      </c>
      <c r="I870">
        <v>0</v>
      </c>
      <c r="J870">
        <v>9.5</v>
      </c>
      <c r="K870" t="s">
        <v>14</v>
      </c>
      <c r="L870" t="s">
        <v>15</v>
      </c>
      <c r="M870" t="str">
        <f t="shared" si="40"/>
        <v>Man</v>
      </c>
      <c r="N870" t="b">
        <v>1</v>
      </c>
      <c r="O870" t="s">
        <v>16</v>
      </c>
      <c r="P870" t="s">
        <v>17</v>
      </c>
      <c r="Q870" t="str">
        <f t="shared" si="41"/>
        <v>No</v>
      </c>
      <c r="R870" t="b">
        <v>1</v>
      </c>
    </row>
    <row r="871" spans="1:18" x14ac:dyDescent="0.3">
      <c r="A871">
        <v>1</v>
      </c>
      <c r="B871" t="s">
        <v>27</v>
      </c>
      <c r="C871">
        <v>3</v>
      </c>
      <c r="D871" t="s">
        <v>32</v>
      </c>
      <c r="E871" t="s">
        <v>13</v>
      </c>
      <c r="F871" t="str">
        <f t="shared" si="39"/>
        <v>Male</v>
      </c>
      <c r="G871">
        <v>4</v>
      </c>
      <c r="H871">
        <v>1</v>
      </c>
      <c r="I871">
        <v>1</v>
      </c>
      <c r="J871">
        <v>11.1333</v>
      </c>
      <c r="K871" t="s">
        <v>14</v>
      </c>
      <c r="L871" t="s">
        <v>24</v>
      </c>
      <c r="M871" t="str">
        <f t="shared" si="40"/>
        <v>Child</v>
      </c>
      <c r="N871" t="b">
        <v>0</v>
      </c>
      <c r="O871" t="s">
        <v>16</v>
      </c>
      <c r="P871" t="s">
        <v>22</v>
      </c>
      <c r="Q871" t="str">
        <f t="shared" si="41"/>
        <v>Yes</v>
      </c>
      <c r="R871" t="b">
        <v>0</v>
      </c>
    </row>
    <row r="872" spans="1:18" x14ac:dyDescent="0.3">
      <c r="A872">
        <v>0</v>
      </c>
      <c r="B872" t="s">
        <v>26</v>
      </c>
      <c r="C872">
        <v>3</v>
      </c>
      <c r="D872" t="s">
        <v>32</v>
      </c>
      <c r="E872" t="s">
        <v>13</v>
      </c>
      <c r="F872" t="str">
        <f t="shared" si="39"/>
        <v>Male</v>
      </c>
      <c r="G872">
        <v>26</v>
      </c>
      <c r="H872">
        <v>0</v>
      </c>
      <c r="I872">
        <v>0</v>
      </c>
      <c r="J872">
        <v>7.8958000000000004</v>
      </c>
      <c r="K872" t="s">
        <v>14</v>
      </c>
      <c r="L872" t="s">
        <v>15</v>
      </c>
      <c r="M872" t="str">
        <f t="shared" si="40"/>
        <v>Man</v>
      </c>
      <c r="N872" t="b">
        <v>1</v>
      </c>
      <c r="O872" t="s">
        <v>16</v>
      </c>
      <c r="P872" t="s">
        <v>17</v>
      </c>
      <c r="Q872" t="str">
        <f t="shared" si="41"/>
        <v>No</v>
      </c>
      <c r="R872" t="b">
        <v>1</v>
      </c>
    </row>
    <row r="873" spans="1:18" x14ac:dyDescent="0.3">
      <c r="A873">
        <v>1</v>
      </c>
      <c r="B873" t="s">
        <v>27</v>
      </c>
      <c r="C873">
        <v>1</v>
      </c>
      <c r="D873" t="s">
        <v>30</v>
      </c>
      <c r="E873" t="s">
        <v>18</v>
      </c>
      <c r="F873" t="str">
        <f t="shared" si="39"/>
        <v>Female</v>
      </c>
      <c r="G873">
        <v>47</v>
      </c>
      <c r="H873">
        <v>1</v>
      </c>
      <c r="I873">
        <v>1</v>
      </c>
      <c r="J873">
        <v>52.554200000000002</v>
      </c>
      <c r="K873" t="s">
        <v>19</v>
      </c>
      <c r="L873" t="s">
        <v>20</v>
      </c>
      <c r="M873" t="str">
        <f t="shared" si="40"/>
        <v>Woman</v>
      </c>
      <c r="N873" t="b">
        <v>0</v>
      </c>
      <c r="O873" t="s">
        <v>16</v>
      </c>
      <c r="P873" t="s">
        <v>22</v>
      </c>
      <c r="Q873" t="str">
        <f t="shared" si="41"/>
        <v>Yes</v>
      </c>
      <c r="R873" t="b">
        <v>0</v>
      </c>
    </row>
    <row r="874" spans="1:18" x14ac:dyDescent="0.3">
      <c r="A874">
        <v>0</v>
      </c>
      <c r="B874" t="s">
        <v>26</v>
      </c>
      <c r="C874">
        <v>1</v>
      </c>
      <c r="D874" t="s">
        <v>30</v>
      </c>
      <c r="E874" t="s">
        <v>13</v>
      </c>
      <c r="F874" t="str">
        <f t="shared" si="39"/>
        <v>Male</v>
      </c>
      <c r="G874">
        <v>33</v>
      </c>
      <c r="H874">
        <v>0</v>
      </c>
      <c r="I874">
        <v>0</v>
      </c>
      <c r="J874">
        <v>5</v>
      </c>
      <c r="K874" t="s">
        <v>19</v>
      </c>
      <c r="L874" t="s">
        <v>15</v>
      </c>
      <c r="M874" t="str">
        <f t="shared" si="40"/>
        <v>Man</v>
      </c>
      <c r="N874" t="b">
        <v>1</v>
      </c>
      <c r="O874" t="s">
        <v>16</v>
      </c>
      <c r="P874" t="s">
        <v>17</v>
      </c>
      <c r="Q874" t="str">
        <f t="shared" si="41"/>
        <v>No</v>
      </c>
      <c r="R874" t="b">
        <v>1</v>
      </c>
    </row>
    <row r="875" spans="1:18" x14ac:dyDescent="0.3">
      <c r="A875">
        <v>0</v>
      </c>
      <c r="B875" t="s">
        <v>26</v>
      </c>
      <c r="C875">
        <v>3</v>
      </c>
      <c r="D875" t="s">
        <v>32</v>
      </c>
      <c r="E875" t="s">
        <v>13</v>
      </c>
      <c r="F875" t="str">
        <f t="shared" si="39"/>
        <v>Male</v>
      </c>
      <c r="G875">
        <v>47</v>
      </c>
      <c r="H875">
        <v>0</v>
      </c>
      <c r="I875">
        <v>0</v>
      </c>
      <c r="J875">
        <v>9</v>
      </c>
      <c r="K875" t="s">
        <v>14</v>
      </c>
      <c r="L875" t="s">
        <v>15</v>
      </c>
      <c r="M875" t="str">
        <f t="shared" si="40"/>
        <v>Man</v>
      </c>
      <c r="N875" t="b">
        <v>1</v>
      </c>
      <c r="O875" t="s">
        <v>16</v>
      </c>
      <c r="P875" t="s">
        <v>17</v>
      </c>
      <c r="Q875" t="str">
        <f t="shared" si="41"/>
        <v>No</v>
      </c>
      <c r="R875" t="b">
        <v>1</v>
      </c>
    </row>
    <row r="876" spans="1:18" x14ac:dyDescent="0.3">
      <c r="A876">
        <v>1</v>
      </c>
      <c r="B876" t="s">
        <v>27</v>
      </c>
      <c r="C876">
        <v>2</v>
      </c>
      <c r="D876" t="s">
        <v>31</v>
      </c>
      <c r="E876" t="s">
        <v>18</v>
      </c>
      <c r="F876" t="str">
        <f t="shared" si="39"/>
        <v>Female</v>
      </c>
      <c r="G876">
        <v>28</v>
      </c>
      <c r="H876">
        <v>1</v>
      </c>
      <c r="I876">
        <v>0</v>
      </c>
      <c r="J876">
        <v>24</v>
      </c>
      <c r="K876" t="s">
        <v>25</v>
      </c>
      <c r="L876" t="s">
        <v>20</v>
      </c>
      <c r="M876" t="str">
        <f t="shared" si="40"/>
        <v>Woman</v>
      </c>
      <c r="N876" t="b">
        <v>0</v>
      </c>
      <c r="O876" t="s">
        <v>21</v>
      </c>
      <c r="P876" t="s">
        <v>22</v>
      </c>
      <c r="Q876" t="str">
        <f t="shared" si="41"/>
        <v>Yes</v>
      </c>
      <c r="R876" t="b">
        <v>0</v>
      </c>
    </row>
    <row r="877" spans="1:18" x14ac:dyDescent="0.3">
      <c r="A877">
        <v>1</v>
      </c>
      <c r="B877" t="s">
        <v>27</v>
      </c>
      <c r="C877">
        <v>3</v>
      </c>
      <c r="D877" t="s">
        <v>32</v>
      </c>
      <c r="E877" t="s">
        <v>18</v>
      </c>
      <c r="F877" t="str">
        <f t="shared" si="39"/>
        <v>Female</v>
      </c>
      <c r="G877">
        <v>15</v>
      </c>
      <c r="H877">
        <v>0</v>
      </c>
      <c r="I877">
        <v>0</v>
      </c>
      <c r="J877">
        <v>7.2249999999999996</v>
      </c>
      <c r="K877" t="s">
        <v>14</v>
      </c>
      <c r="L877" t="s">
        <v>24</v>
      </c>
      <c r="M877" t="str">
        <f t="shared" si="40"/>
        <v>Child</v>
      </c>
      <c r="N877" t="b">
        <v>0</v>
      </c>
      <c r="O877" t="s">
        <v>21</v>
      </c>
      <c r="P877" t="s">
        <v>22</v>
      </c>
      <c r="Q877" t="str">
        <f t="shared" si="41"/>
        <v>Yes</v>
      </c>
      <c r="R877" t="b">
        <v>1</v>
      </c>
    </row>
    <row r="878" spans="1:18" x14ac:dyDescent="0.3">
      <c r="A878">
        <v>0</v>
      </c>
      <c r="B878" t="s">
        <v>26</v>
      </c>
      <c r="C878">
        <v>3</v>
      </c>
      <c r="D878" t="s">
        <v>32</v>
      </c>
      <c r="E878" t="s">
        <v>13</v>
      </c>
      <c r="F878" t="str">
        <f t="shared" si="39"/>
        <v>Male</v>
      </c>
      <c r="G878">
        <v>20</v>
      </c>
      <c r="H878">
        <v>0</v>
      </c>
      <c r="I878">
        <v>0</v>
      </c>
      <c r="J878">
        <v>9.8458000000000006</v>
      </c>
      <c r="K878" t="s">
        <v>14</v>
      </c>
      <c r="L878" t="s">
        <v>15</v>
      </c>
      <c r="M878" t="str">
        <f t="shared" si="40"/>
        <v>Man</v>
      </c>
      <c r="N878" t="b">
        <v>1</v>
      </c>
      <c r="O878" t="s">
        <v>16</v>
      </c>
      <c r="P878" t="s">
        <v>17</v>
      </c>
      <c r="Q878" t="str">
        <f t="shared" si="41"/>
        <v>No</v>
      </c>
      <c r="R878" t="b">
        <v>1</v>
      </c>
    </row>
    <row r="879" spans="1:18" x14ac:dyDescent="0.3">
      <c r="A879">
        <v>0</v>
      </c>
      <c r="B879" t="s">
        <v>26</v>
      </c>
      <c r="C879">
        <v>3</v>
      </c>
      <c r="D879" t="s">
        <v>32</v>
      </c>
      <c r="E879" t="s">
        <v>13</v>
      </c>
      <c r="F879" t="str">
        <f t="shared" si="39"/>
        <v>Male</v>
      </c>
      <c r="G879">
        <v>19</v>
      </c>
      <c r="H879">
        <v>0</v>
      </c>
      <c r="I879">
        <v>0</v>
      </c>
      <c r="J879">
        <v>7.8958000000000004</v>
      </c>
      <c r="K879" t="s">
        <v>14</v>
      </c>
      <c r="L879" t="s">
        <v>15</v>
      </c>
      <c r="M879" t="str">
        <f t="shared" si="40"/>
        <v>Man</v>
      </c>
      <c r="N879" t="b">
        <v>1</v>
      </c>
      <c r="O879" t="s">
        <v>16</v>
      </c>
      <c r="P879" t="s">
        <v>17</v>
      </c>
      <c r="Q879" t="str">
        <f t="shared" si="41"/>
        <v>No</v>
      </c>
      <c r="R879" t="b">
        <v>1</v>
      </c>
    </row>
    <row r="880" spans="1:18" x14ac:dyDescent="0.3">
      <c r="A880">
        <v>0</v>
      </c>
      <c r="B880" t="s">
        <v>26</v>
      </c>
      <c r="C880">
        <v>3</v>
      </c>
      <c r="D880" t="s">
        <v>32</v>
      </c>
      <c r="E880" t="s">
        <v>13</v>
      </c>
      <c r="F880" t="str">
        <f t="shared" si="39"/>
        <v>Male</v>
      </c>
      <c r="G880">
        <v>30</v>
      </c>
      <c r="H880">
        <v>0</v>
      </c>
      <c r="I880">
        <v>0</v>
      </c>
      <c r="J880">
        <v>7.8958000000000004</v>
      </c>
      <c r="K880" t="s">
        <v>14</v>
      </c>
      <c r="L880" t="s">
        <v>15</v>
      </c>
      <c r="M880" t="str">
        <f t="shared" si="40"/>
        <v>Man</v>
      </c>
      <c r="N880" t="b">
        <v>1</v>
      </c>
      <c r="O880" t="s">
        <v>16</v>
      </c>
      <c r="P880" t="s">
        <v>17</v>
      </c>
      <c r="Q880" t="str">
        <f t="shared" si="41"/>
        <v>No</v>
      </c>
      <c r="R880" t="b">
        <v>1</v>
      </c>
    </row>
    <row r="881" spans="1:18" x14ac:dyDescent="0.3">
      <c r="A881">
        <v>1</v>
      </c>
      <c r="B881" t="s">
        <v>27</v>
      </c>
      <c r="C881">
        <v>1</v>
      </c>
      <c r="D881" t="s">
        <v>30</v>
      </c>
      <c r="E881" t="s">
        <v>18</v>
      </c>
      <c r="F881" t="str">
        <f t="shared" si="39"/>
        <v>Female</v>
      </c>
      <c r="G881">
        <v>56</v>
      </c>
      <c r="H881">
        <v>0</v>
      </c>
      <c r="I881">
        <v>1</v>
      </c>
      <c r="J881">
        <v>83.158299999999997</v>
      </c>
      <c r="K881" t="s">
        <v>19</v>
      </c>
      <c r="L881" t="s">
        <v>20</v>
      </c>
      <c r="M881" t="str">
        <f t="shared" si="40"/>
        <v>Woman</v>
      </c>
      <c r="N881" t="b">
        <v>0</v>
      </c>
      <c r="O881" t="s">
        <v>21</v>
      </c>
      <c r="P881" t="s">
        <v>22</v>
      </c>
      <c r="Q881" t="str">
        <f t="shared" si="41"/>
        <v>Yes</v>
      </c>
      <c r="R881" t="b">
        <v>0</v>
      </c>
    </row>
    <row r="882" spans="1:18" x14ac:dyDescent="0.3">
      <c r="A882">
        <v>1</v>
      </c>
      <c r="B882" t="s">
        <v>27</v>
      </c>
      <c r="C882">
        <v>2</v>
      </c>
      <c r="D882" t="s">
        <v>31</v>
      </c>
      <c r="E882" t="s">
        <v>18</v>
      </c>
      <c r="F882" t="str">
        <f t="shared" si="39"/>
        <v>Female</v>
      </c>
      <c r="G882">
        <v>25</v>
      </c>
      <c r="H882">
        <v>0</v>
      </c>
      <c r="I882">
        <v>1</v>
      </c>
      <c r="J882">
        <v>26</v>
      </c>
      <c r="K882" t="s">
        <v>25</v>
      </c>
      <c r="L882" t="s">
        <v>20</v>
      </c>
      <c r="M882" t="str">
        <f t="shared" si="40"/>
        <v>Woman</v>
      </c>
      <c r="N882" t="b">
        <v>0</v>
      </c>
      <c r="O882" t="s">
        <v>16</v>
      </c>
      <c r="P882" t="s">
        <v>22</v>
      </c>
      <c r="Q882" t="str">
        <f t="shared" si="41"/>
        <v>Yes</v>
      </c>
      <c r="R882" t="b">
        <v>0</v>
      </c>
    </row>
    <row r="883" spans="1:18" x14ac:dyDescent="0.3">
      <c r="A883">
        <v>0</v>
      </c>
      <c r="B883" t="s">
        <v>26</v>
      </c>
      <c r="C883">
        <v>3</v>
      </c>
      <c r="D883" t="s">
        <v>32</v>
      </c>
      <c r="E883" t="s">
        <v>13</v>
      </c>
      <c r="F883" t="str">
        <f t="shared" si="39"/>
        <v>Male</v>
      </c>
      <c r="G883">
        <v>33</v>
      </c>
      <c r="H883">
        <v>0</v>
      </c>
      <c r="I883">
        <v>0</v>
      </c>
      <c r="J883">
        <v>7.8958000000000004</v>
      </c>
      <c r="K883" t="s">
        <v>14</v>
      </c>
      <c r="L883" t="s">
        <v>15</v>
      </c>
      <c r="M883" t="str">
        <f t="shared" si="40"/>
        <v>Man</v>
      </c>
      <c r="N883" t="b">
        <v>1</v>
      </c>
      <c r="O883" t="s">
        <v>16</v>
      </c>
      <c r="P883" t="s">
        <v>17</v>
      </c>
      <c r="Q883" t="str">
        <f t="shared" si="41"/>
        <v>No</v>
      </c>
      <c r="R883" t="b">
        <v>1</v>
      </c>
    </row>
    <row r="884" spans="1:18" x14ac:dyDescent="0.3">
      <c r="A884">
        <v>0</v>
      </c>
      <c r="B884" t="s">
        <v>26</v>
      </c>
      <c r="C884">
        <v>3</v>
      </c>
      <c r="D884" t="s">
        <v>32</v>
      </c>
      <c r="E884" t="s">
        <v>18</v>
      </c>
      <c r="F884" t="str">
        <f t="shared" si="39"/>
        <v>Female</v>
      </c>
      <c r="G884">
        <v>22</v>
      </c>
      <c r="H884">
        <v>0</v>
      </c>
      <c r="I884">
        <v>0</v>
      </c>
      <c r="J884">
        <v>10.5167</v>
      </c>
      <c r="K884" t="s">
        <v>14</v>
      </c>
      <c r="L884" t="s">
        <v>20</v>
      </c>
      <c r="M884" t="str">
        <f t="shared" si="40"/>
        <v>Woman</v>
      </c>
      <c r="N884" t="b">
        <v>0</v>
      </c>
      <c r="O884" t="s">
        <v>16</v>
      </c>
      <c r="P884" t="s">
        <v>17</v>
      </c>
      <c r="Q884" t="str">
        <f t="shared" si="41"/>
        <v>No</v>
      </c>
      <c r="R884" t="b">
        <v>1</v>
      </c>
    </row>
    <row r="885" spans="1:18" x14ac:dyDescent="0.3">
      <c r="A885">
        <v>0</v>
      </c>
      <c r="B885" t="s">
        <v>26</v>
      </c>
      <c r="C885">
        <v>2</v>
      </c>
      <c r="D885" t="s">
        <v>31</v>
      </c>
      <c r="E885" t="s">
        <v>13</v>
      </c>
      <c r="F885" t="str">
        <f t="shared" si="39"/>
        <v>Male</v>
      </c>
      <c r="G885">
        <v>28</v>
      </c>
      <c r="H885">
        <v>0</v>
      </c>
      <c r="I885">
        <v>0</v>
      </c>
      <c r="J885">
        <v>10.5</v>
      </c>
      <c r="K885" t="s">
        <v>25</v>
      </c>
      <c r="L885" t="s">
        <v>15</v>
      </c>
      <c r="M885" t="str">
        <f t="shared" si="40"/>
        <v>Man</v>
      </c>
      <c r="N885" t="b">
        <v>1</v>
      </c>
      <c r="O885" t="s">
        <v>16</v>
      </c>
      <c r="P885" t="s">
        <v>17</v>
      </c>
      <c r="Q885" t="str">
        <f t="shared" si="41"/>
        <v>No</v>
      </c>
      <c r="R885" t="b">
        <v>1</v>
      </c>
    </row>
    <row r="886" spans="1:18" x14ac:dyDescent="0.3">
      <c r="A886">
        <v>0</v>
      </c>
      <c r="B886" t="s">
        <v>26</v>
      </c>
      <c r="C886">
        <v>3</v>
      </c>
      <c r="D886" t="s">
        <v>32</v>
      </c>
      <c r="E886" t="s">
        <v>13</v>
      </c>
      <c r="F886" t="str">
        <f t="shared" si="39"/>
        <v>Male</v>
      </c>
      <c r="G886">
        <v>25</v>
      </c>
      <c r="H886">
        <v>0</v>
      </c>
      <c r="I886">
        <v>0</v>
      </c>
      <c r="J886">
        <v>7.05</v>
      </c>
      <c r="K886" t="s">
        <v>14</v>
      </c>
      <c r="L886" t="s">
        <v>15</v>
      </c>
      <c r="M886" t="str">
        <f t="shared" si="40"/>
        <v>Man</v>
      </c>
      <c r="N886" t="b">
        <v>1</v>
      </c>
      <c r="O886" t="s">
        <v>16</v>
      </c>
      <c r="P886" t="s">
        <v>17</v>
      </c>
      <c r="Q886" t="str">
        <f t="shared" si="41"/>
        <v>No</v>
      </c>
      <c r="R886" t="b">
        <v>1</v>
      </c>
    </row>
    <row r="887" spans="1:18" x14ac:dyDescent="0.3">
      <c r="A887">
        <v>0</v>
      </c>
      <c r="B887" t="s">
        <v>26</v>
      </c>
      <c r="C887">
        <v>3</v>
      </c>
      <c r="D887" t="s">
        <v>32</v>
      </c>
      <c r="E887" t="s">
        <v>18</v>
      </c>
      <c r="F887" t="str">
        <f t="shared" si="39"/>
        <v>Female</v>
      </c>
      <c r="G887">
        <v>39</v>
      </c>
      <c r="H887">
        <v>0</v>
      </c>
      <c r="I887">
        <v>5</v>
      </c>
      <c r="J887">
        <v>29.125</v>
      </c>
      <c r="K887" t="s">
        <v>14</v>
      </c>
      <c r="L887" t="s">
        <v>20</v>
      </c>
      <c r="M887" t="str">
        <f t="shared" si="40"/>
        <v>Woman</v>
      </c>
      <c r="N887" t="b">
        <v>0</v>
      </c>
      <c r="O887" t="s">
        <v>23</v>
      </c>
      <c r="P887" t="s">
        <v>17</v>
      </c>
      <c r="Q887" t="str">
        <f t="shared" si="41"/>
        <v>No</v>
      </c>
      <c r="R887" t="b">
        <v>0</v>
      </c>
    </row>
    <row r="888" spans="1:18" x14ac:dyDescent="0.3">
      <c r="A888">
        <v>0</v>
      </c>
      <c r="B888" t="s">
        <v>26</v>
      </c>
      <c r="C888">
        <v>2</v>
      </c>
      <c r="D888" t="s">
        <v>31</v>
      </c>
      <c r="E888" t="s">
        <v>13</v>
      </c>
      <c r="F888" t="str">
        <f t="shared" si="39"/>
        <v>Male</v>
      </c>
      <c r="G888">
        <v>27</v>
      </c>
      <c r="H888">
        <v>0</v>
      </c>
      <c r="I888">
        <v>0</v>
      </c>
      <c r="J888">
        <v>13</v>
      </c>
      <c r="K888" t="s">
        <v>25</v>
      </c>
      <c r="L888" t="s">
        <v>15</v>
      </c>
      <c r="M888" t="str">
        <f t="shared" si="40"/>
        <v>Man</v>
      </c>
      <c r="N888" t="b">
        <v>1</v>
      </c>
      <c r="O888" t="s">
        <v>16</v>
      </c>
      <c r="P888" t="s">
        <v>17</v>
      </c>
      <c r="Q888" t="str">
        <f t="shared" si="41"/>
        <v>No</v>
      </c>
      <c r="R888" t="b">
        <v>1</v>
      </c>
    </row>
    <row r="889" spans="1:18" x14ac:dyDescent="0.3">
      <c r="A889">
        <v>1</v>
      </c>
      <c r="B889" t="s">
        <v>27</v>
      </c>
      <c r="C889">
        <v>1</v>
      </c>
      <c r="D889" t="s">
        <v>30</v>
      </c>
      <c r="E889" t="s">
        <v>18</v>
      </c>
      <c r="F889" t="str">
        <f t="shared" si="39"/>
        <v>Female</v>
      </c>
      <c r="G889">
        <v>19</v>
      </c>
      <c r="H889">
        <v>0</v>
      </c>
      <c r="I889">
        <v>0</v>
      </c>
      <c r="J889">
        <v>30</v>
      </c>
      <c r="K889" t="s">
        <v>19</v>
      </c>
      <c r="L889" t="s">
        <v>20</v>
      </c>
      <c r="M889" t="str">
        <f t="shared" si="40"/>
        <v>Woman</v>
      </c>
      <c r="N889" t="b">
        <v>0</v>
      </c>
      <c r="O889" t="s">
        <v>16</v>
      </c>
      <c r="P889" t="s">
        <v>22</v>
      </c>
      <c r="Q889" t="str">
        <f t="shared" si="41"/>
        <v>Yes</v>
      </c>
      <c r="R889" t="b">
        <v>1</v>
      </c>
    </row>
    <row r="890" spans="1:18" x14ac:dyDescent="0.3">
      <c r="A890">
        <v>0</v>
      </c>
      <c r="B890" t="s">
        <v>26</v>
      </c>
      <c r="C890">
        <v>3</v>
      </c>
      <c r="D890" t="s">
        <v>32</v>
      </c>
      <c r="E890" t="s">
        <v>18</v>
      </c>
      <c r="F890" t="str">
        <f t="shared" si="39"/>
        <v>Female</v>
      </c>
      <c r="G890">
        <v>30</v>
      </c>
      <c r="H890">
        <v>1</v>
      </c>
      <c r="I890">
        <v>2</v>
      </c>
      <c r="J890">
        <v>23.45</v>
      </c>
      <c r="K890" t="s">
        <v>14</v>
      </c>
      <c r="L890" t="s">
        <v>20</v>
      </c>
      <c r="M890" t="str">
        <f t="shared" si="40"/>
        <v>Woman</v>
      </c>
      <c r="N890" t="b">
        <v>0</v>
      </c>
      <c r="O890" t="s">
        <v>16</v>
      </c>
      <c r="P890" t="s">
        <v>17</v>
      </c>
      <c r="Q890" t="str">
        <f t="shared" si="41"/>
        <v>No</v>
      </c>
      <c r="R890" t="b">
        <v>0</v>
      </c>
    </row>
    <row r="891" spans="1:18" x14ac:dyDescent="0.3">
      <c r="A891">
        <v>1</v>
      </c>
      <c r="B891" t="s">
        <v>27</v>
      </c>
      <c r="C891">
        <v>1</v>
      </c>
      <c r="D891" t="s">
        <v>30</v>
      </c>
      <c r="E891" t="s">
        <v>13</v>
      </c>
      <c r="F891" t="str">
        <f t="shared" si="39"/>
        <v>Male</v>
      </c>
      <c r="G891">
        <v>26</v>
      </c>
      <c r="H891">
        <v>0</v>
      </c>
      <c r="I891">
        <v>0</v>
      </c>
      <c r="J891">
        <v>30</v>
      </c>
      <c r="K891" t="s">
        <v>19</v>
      </c>
      <c r="L891" t="s">
        <v>15</v>
      </c>
      <c r="M891" t="str">
        <f t="shared" si="40"/>
        <v>Man</v>
      </c>
      <c r="N891" t="b">
        <v>1</v>
      </c>
      <c r="O891" t="s">
        <v>21</v>
      </c>
      <c r="P891" t="s">
        <v>22</v>
      </c>
      <c r="Q891" t="str">
        <f t="shared" si="41"/>
        <v>Yes</v>
      </c>
      <c r="R891" t="b">
        <v>1</v>
      </c>
    </row>
    <row r="892" spans="1:18" x14ac:dyDescent="0.3">
      <c r="A892">
        <v>0</v>
      </c>
      <c r="B892" t="s">
        <v>26</v>
      </c>
      <c r="C892">
        <v>3</v>
      </c>
      <c r="D892" t="s">
        <v>32</v>
      </c>
      <c r="E892" t="s">
        <v>13</v>
      </c>
      <c r="F892" t="str">
        <f t="shared" si="39"/>
        <v>Male</v>
      </c>
      <c r="G892">
        <v>32</v>
      </c>
      <c r="H892">
        <v>0</v>
      </c>
      <c r="I892">
        <v>0</v>
      </c>
      <c r="J892">
        <v>7.75</v>
      </c>
      <c r="K892" t="s">
        <v>14</v>
      </c>
      <c r="L892" t="s">
        <v>15</v>
      </c>
      <c r="M892" t="str">
        <f t="shared" si="40"/>
        <v>Man</v>
      </c>
      <c r="N892" t="b">
        <v>1</v>
      </c>
      <c r="O892" t="s">
        <v>23</v>
      </c>
      <c r="P892" t="s">
        <v>17</v>
      </c>
      <c r="Q892" t="str">
        <f t="shared" si="41"/>
        <v>No</v>
      </c>
      <c r="R892" t="b">
        <v>1</v>
      </c>
    </row>
  </sheetData>
  <autoFilter ref="A1:R1" xr:uid="{984FEDCB-7020-4C02-B103-F1E83938324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95D93-CC1E-44B8-A5DF-ED8B192CE877}">
  <dimension ref="A1:R892"/>
  <sheetViews>
    <sheetView workbookViewId="0">
      <selection activeCell="D2" sqref="D2"/>
    </sheetView>
  </sheetViews>
  <sheetFormatPr defaultRowHeight="14.4" x14ac:dyDescent="0.3"/>
  <cols>
    <col min="1" max="1" width="15.77734375" customWidth="1"/>
    <col min="2" max="2" width="12.77734375" customWidth="1"/>
    <col min="4" max="4" width="15.44140625" customWidth="1"/>
    <col min="6" max="6" width="9.44140625" customWidth="1"/>
    <col min="14" max="14" width="12.33203125" customWidth="1"/>
    <col min="15" max="15" width="14.6640625" customWidth="1"/>
  </cols>
  <sheetData>
    <row r="1" spans="1:18" x14ac:dyDescent="0.3">
      <c r="A1" t="s">
        <v>0</v>
      </c>
      <c r="B1" t="s">
        <v>28</v>
      </c>
      <c r="C1" t="s">
        <v>1</v>
      </c>
      <c r="D1" t="s">
        <v>43</v>
      </c>
      <c r="E1" t="s">
        <v>2</v>
      </c>
      <c r="F1" t="s">
        <v>33</v>
      </c>
      <c r="G1" t="s">
        <v>3</v>
      </c>
      <c r="H1" t="s">
        <v>4</v>
      </c>
      <c r="I1" t="s">
        <v>5</v>
      </c>
      <c r="J1" t="s">
        <v>6</v>
      </c>
      <c r="K1" t="s">
        <v>7</v>
      </c>
      <c r="L1" t="s">
        <v>8</v>
      </c>
      <c r="M1" t="s">
        <v>44</v>
      </c>
      <c r="N1" t="s">
        <v>9</v>
      </c>
      <c r="O1" t="s">
        <v>10</v>
      </c>
      <c r="P1" t="s">
        <v>11</v>
      </c>
      <c r="Q1" t="s">
        <v>45</v>
      </c>
      <c r="R1" t="s">
        <v>12</v>
      </c>
    </row>
    <row r="2" spans="1:18" x14ac:dyDescent="0.3">
      <c r="A2">
        <v>0</v>
      </c>
      <c r="B2" t="s">
        <v>26</v>
      </c>
      <c r="C2">
        <v>3</v>
      </c>
      <c r="D2" t="s">
        <v>32</v>
      </c>
      <c r="E2" t="s">
        <v>13</v>
      </c>
      <c r="F2" t="s">
        <v>36</v>
      </c>
      <c r="G2">
        <v>22</v>
      </c>
      <c r="H2">
        <v>1</v>
      </c>
      <c r="I2">
        <v>0</v>
      </c>
      <c r="J2">
        <v>7.25</v>
      </c>
      <c r="K2" t="s">
        <v>14</v>
      </c>
      <c r="L2" t="s">
        <v>15</v>
      </c>
      <c r="M2" t="s">
        <v>37</v>
      </c>
      <c r="N2" t="b">
        <v>1</v>
      </c>
      <c r="O2" t="s">
        <v>16</v>
      </c>
      <c r="P2" t="s">
        <v>17</v>
      </c>
      <c r="Q2" t="s">
        <v>38</v>
      </c>
      <c r="R2" t="b">
        <v>0</v>
      </c>
    </row>
    <row r="3" spans="1:18" x14ac:dyDescent="0.3">
      <c r="A3">
        <v>1</v>
      </c>
      <c r="B3" t="s">
        <v>27</v>
      </c>
      <c r="C3">
        <v>1</v>
      </c>
      <c r="D3" t="s">
        <v>30</v>
      </c>
      <c r="E3" t="s">
        <v>18</v>
      </c>
      <c r="F3" t="s">
        <v>39</v>
      </c>
      <c r="G3">
        <v>38</v>
      </c>
      <c r="H3">
        <v>1</v>
      </c>
      <c r="I3">
        <v>0</v>
      </c>
      <c r="J3">
        <v>71.283299999999997</v>
      </c>
      <c r="K3" t="s">
        <v>19</v>
      </c>
      <c r="L3" t="s">
        <v>20</v>
      </c>
      <c r="M3" t="s">
        <v>40</v>
      </c>
      <c r="N3" t="b">
        <v>0</v>
      </c>
      <c r="O3" t="s">
        <v>21</v>
      </c>
      <c r="P3" t="s">
        <v>22</v>
      </c>
      <c r="Q3" t="s">
        <v>41</v>
      </c>
      <c r="R3" t="b">
        <v>0</v>
      </c>
    </row>
    <row r="4" spans="1:18" x14ac:dyDescent="0.3">
      <c r="A4">
        <v>1</v>
      </c>
      <c r="B4" t="s">
        <v>27</v>
      </c>
      <c r="C4">
        <v>3</v>
      </c>
      <c r="D4" t="s">
        <v>32</v>
      </c>
      <c r="E4" t="s">
        <v>18</v>
      </c>
      <c r="F4" t="s">
        <v>39</v>
      </c>
      <c r="G4">
        <v>26</v>
      </c>
      <c r="H4">
        <v>0</v>
      </c>
      <c r="I4">
        <v>0</v>
      </c>
      <c r="J4">
        <v>7.9249999999999998</v>
      </c>
      <c r="K4" t="s">
        <v>14</v>
      </c>
      <c r="L4" t="s">
        <v>20</v>
      </c>
      <c r="M4" t="s">
        <v>40</v>
      </c>
      <c r="N4" t="b">
        <v>0</v>
      </c>
      <c r="O4" t="s">
        <v>16</v>
      </c>
      <c r="P4" t="s">
        <v>22</v>
      </c>
      <c r="Q4" t="s">
        <v>41</v>
      </c>
      <c r="R4" t="b">
        <v>1</v>
      </c>
    </row>
    <row r="5" spans="1:18" x14ac:dyDescent="0.3">
      <c r="A5">
        <v>1</v>
      </c>
      <c r="B5" t="s">
        <v>27</v>
      </c>
      <c r="C5">
        <v>1</v>
      </c>
      <c r="D5" t="s">
        <v>30</v>
      </c>
      <c r="E5" t="s">
        <v>18</v>
      </c>
      <c r="F5" t="s">
        <v>39</v>
      </c>
      <c r="G5">
        <v>35</v>
      </c>
      <c r="H5">
        <v>1</v>
      </c>
      <c r="I5">
        <v>0</v>
      </c>
      <c r="J5">
        <v>53.1</v>
      </c>
      <c r="K5" t="s">
        <v>19</v>
      </c>
      <c r="L5" t="s">
        <v>20</v>
      </c>
      <c r="M5" t="s">
        <v>40</v>
      </c>
      <c r="N5" t="b">
        <v>0</v>
      </c>
      <c r="O5" t="s">
        <v>16</v>
      </c>
      <c r="P5" t="s">
        <v>22</v>
      </c>
      <c r="Q5" t="s">
        <v>41</v>
      </c>
      <c r="R5" t="b">
        <v>0</v>
      </c>
    </row>
    <row r="6" spans="1:18" x14ac:dyDescent="0.3">
      <c r="A6">
        <v>0</v>
      </c>
      <c r="B6" t="s">
        <v>26</v>
      </c>
      <c r="C6">
        <v>3</v>
      </c>
      <c r="D6" t="s">
        <v>32</v>
      </c>
      <c r="E6" t="s">
        <v>13</v>
      </c>
      <c r="F6" t="s">
        <v>36</v>
      </c>
      <c r="G6">
        <v>35</v>
      </c>
      <c r="H6">
        <v>0</v>
      </c>
      <c r="I6">
        <v>0</v>
      </c>
      <c r="J6">
        <v>8.0500000000000007</v>
      </c>
      <c r="K6" t="s">
        <v>14</v>
      </c>
      <c r="L6" t="s">
        <v>15</v>
      </c>
      <c r="M6" t="s">
        <v>37</v>
      </c>
      <c r="N6" t="b">
        <v>1</v>
      </c>
      <c r="O6" t="s">
        <v>16</v>
      </c>
      <c r="P6" t="s">
        <v>17</v>
      </c>
      <c r="Q6" t="s">
        <v>38</v>
      </c>
      <c r="R6" t="b">
        <v>1</v>
      </c>
    </row>
    <row r="7" spans="1:18" x14ac:dyDescent="0.3">
      <c r="A7">
        <v>0</v>
      </c>
      <c r="B7" t="s">
        <v>26</v>
      </c>
      <c r="C7">
        <v>3</v>
      </c>
      <c r="D7" t="s">
        <v>32</v>
      </c>
      <c r="E7" t="s">
        <v>13</v>
      </c>
      <c r="F7" t="s">
        <v>36</v>
      </c>
      <c r="G7">
        <v>30</v>
      </c>
      <c r="H7">
        <v>0</v>
      </c>
      <c r="I7">
        <v>0</v>
      </c>
      <c r="J7">
        <v>8.4582999999999995</v>
      </c>
      <c r="K7" t="s">
        <v>14</v>
      </c>
      <c r="L7" t="s">
        <v>15</v>
      </c>
      <c r="M7" t="s">
        <v>37</v>
      </c>
      <c r="N7" t="b">
        <v>1</v>
      </c>
      <c r="O7" t="s">
        <v>23</v>
      </c>
      <c r="P7" t="s">
        <v>17</v>
      </c>
      <c r="Q7" t="s">
        <v>38</v>
      </c>
      <c r="R7" t="b">
        <v>1</v>
      </c>
    </row>
    <row r="8" spans="1:18" x14ac:dyDescent="0.3">
      <c r="A8">
        <v>0</v>
      </c>
      <c r="B8" t="s">
        <v>26</v>
      </c>
      <c r="C8">
        <v>1</v>
      </c>
      <c r="D8" t="s">
        <v>30</v>
      </c>
      <c r="E8" t="s">
        <v>13</v>
      </c>
      <c r="F8" t="s">
        <v>36</v>
      </c>
      <c r="G8">
        <v>54</v>
      </c>
      <c r="H8">
        <v>0</v>
      </c>
      <c r="I8">
        <v>0</v>
      </c>
      <c r="J8">
        <v>51.862499999999997</v>
      </c>
      <c r="K8" t="s">
        <v>19</v>
      </c>
      <c r="L8" t="s">
        <v>15</v>
      </c>
      <c r="M8" t="s">
        <v>37</v>
      </c>
      <c r="N8" t="b">
        <v>1</v>
      </c>
      <c r="O8" t="s">
        <v>16</v>
      </c>
      <c r="P8" t="s">
        <v>17</v>
      </c>
      <c r="Q8" t="s">
        <v>38</v>
      </c>
      <c r="R8" t="b">
        <v>1</v>
      </c>
    </row>
    <row r="9" spans="1:18" x14ac:dyDescent="0.3">
      <c r="A9">
        <v>0</v>
      </c>
      <c r="B9" t="s">
        <v>26</v>
      </c>
      <c r="C9">
        <v>3</v>
      </c>
      <c r="D9" t="s">
        <v>32</v>
      </c>
      <c r="E9" t="s">
        <v>13</v>
      </c>
      <c r="F9" t="s">
        <v>36</v>
      </c>
      <c r="G9">
        <v>2</v>
      </c>
      <c r="H9">
        <v>3</v>
      </c>
      <c r="I9">
        <v>1</v>
      </c>
      <c r="J9">
        <v>21.074999999999999</v>
      </c>
      <c r="K9" t="s">
        <v>14</v>
      </c>
      <c r="L9" t="s">
        <v>24</v>
      </c>
      <c r="M9" t="s">
        <v>42</v>
      </c>
      <c r="N9" t="b">
        <v>0</v>
      </c>
      <c r="O9" t="s">
        <v>16</v>
      </c>
      <c r="P9" t="s">
        <v>17</v>
      </c>
      <c r="Q9" t="s">
        <v>38</v>
      </c>
      <c r="R9" t="b">
        <v>0</v>
      </c>
    </row>
    <row r="10" spans="1:18" x14ac:dyDescent="0.3">
      <c r="A10">
        <v>1</v>
      </c>
      <c r="B10" t="s">
        <v>27</v>
      </c>
      <c r="C10">
        <v>3</v>
      </c>
      <c r="D10" t="s">
        <v>32</v>
      </c>
      <c r="E10" t="s">
        <v>18</v>
      </c>
      <c r="F10" t="s">
        <v>39</v>
      </c>
      <c r="G10">
        <v>27</v>
      </c>
      <c r="H10">
        <v>0</v>
      </c>
      <c r="I10">
        <v>2</v>
      </c>
      <c r="J10">
        <v>11.1333</v>
      </c>
      <c r="K10" t="s">
        <v>14</v>
      </c>
      <c r="L10" t="s">
        <v>20</v>
      </c>
      <c r="M10" t="s">
        <v>40</v>
      </c>
      <c r="N10" t="b">
        <v>0</v>
      </c>
      <c r="O10" t="s">
        <v>16</v>
      </c>
      <c r="P10" t="s">
        <v>22</v>
      </c>
      <c r="Q10" t="s">
        <v>41</v>
      </c>
      <c r="R10" t="b">
        <v>0</v>
      </c>
    </row>
    <row r="11" spans="1:18" x14ac:dyDescent="0.3">
      <c r="A11">
        <v>1</v>
      </c>
      <c r="B11" t="s">
        <v>27</v>
      </c>
      <c r="C11">
        <v>2</v>
      </c>
      <c r="D11" t="s">
        <v>31</v>
      </c>
      <c r="E11" t="s">
        <v>18</v>
      </c>
      <c r="F11" t="s">
        <v>39</v>
      </c>
      <c r="G11">
        <v>14</v>
      </c>
      <c r="H11">
        <v>1</v>
      </c>
      <c r="I11">
        <v>0</v>
      </c>
      <c r="J11">
        <v>30.070799999999998</v>
      </c>
      <c r="K11" t="s">
        <v>25</v>
      </c>
      <c r="L11" t="s">
        <v>24</v>
      </c>
      <c r="M11" t="s">
        <v>42</v>
      </c>
      <c r="N11" t="b">
        <v>0</v>
      </c>
      <c r="O11" t="s">
        <v>21</v>
      </c>
      <c r="P11" t="s">
        <v>22</v>
      </c>
      <c r="Q11" t="s">
        <v>41</v>
      </c>
      <c r="R11" t="b">
        <v>0</v>
      </c>
    </row>
    <row r="12" spans="1:18" x14ac:dyDescent="0.3">
      <c r="A12">
        <v>1</v>
      </c>
      <c r="B12" t="s">
        <v>27</v>
      </c>
      <c r="C12">
        <v>3</v>
      </c>
      <c r="D12" t="s">
        <v>32</v>
      </c>
      <c r="E12" t="s">
        <v>18</v>
      </c>
      <c r="F12" t="s">
        <v>39</v>
      </c>
      <c r="G12">
        <v>4</v>
      </c>
      <c r="H12">
        <v>1</v>
      </c>
      <c r="I12">
        <v>1</v>
      </c>
      <c r="J12">
        <v>16.7</v>
      </c>
      <c r="K12" t="s">
        <v>14</v>
      </c>
      <c r="L12" t="s">
        <v>24</v>
      </c>
      <c r="M12" t="s">
        <v>42</v>
      </c>
      <c r="N12" t="b">
        <v>0</v>
      </c>
      <c r="O12" t="s">
        <v>16</v>
      </c>
      <c r="P12" t="s">
        <v>22</v>
      </c>
      <c r="Q12" t="s">
        <v>41</v>
      </c>
      <c r="R12" t="b">
        <v>0</v>
      </c>
    </row>
    <row r="13" spans="1:18" x14ac:dyDescent="0.3">
      <c r="A13">
        <v>1</v>
      </c>
      <c r="B13" t="s">
        <v>27</v>
      </c>
      <c r="C13">
        <v>1</v>
      </c>
      <c r="D13" t="s">
        <v>30</v>
      </c>
      <c r="E13" t="s">
        <v>18</v>
      </c>
      <c r="F13" t="s">
        <v>39</v>
      </c>
      <c r="G13">
        <v>58</v>
      </c>
      <c r="H13">
        <v>0</v>
      </c>
      <c r="I13">
        <v>0</v>
      </c>
      <c r="J13">
        <v>26.55</v>
      </c>
      <c r="K13" t="s">
        <v>19</v>
      </c>
      <c r="L13" t="s">
        <v>20</v>
      </c>
      <c r="M13" t="s">
        <v>40</v>
      </c>
      <c r="N13" t="b">
        <v>0</v>
      </c>
      <c r="O13" t="s">
        <v>16</v>
      </c>
      <c r="P13" t="s">
        <v>22</v>
      </c>
      <c r="Q13" t="s">
        <v>41</v>
      </c>
      <c r="R13" t="b">
        <v>1</v>
      </c>
    </row>
    <row r="14" spans="1:18" x14ac:dyDescent="0.3">
      <c r="A14">
        <v>0</v>
      </c>
      <c r="B14" t="s">
        <v>26</v>
      </c>
      <c r="C14">
        <v>3</v>
      </c>
      <c r="D14" t="s">
        <v>32</v>
      </c>
      <c r="E14" t="s">
        <v>13</v>
      </c>
      <c r="F14" t="s">
        <v>36</v>
      </c>
      <c r="G14">
        <v>20</v>
      </c>
      <c r="H14">
        <v>0</v>
      </c>
      <c r="I14">
        <v>0</v>
      </c>
      <c r="J14">
        <v>8.0500000000000007</v>
      </c>
      <c r="K14" t="s">
        <v>14</v>
      </c>
      <c r="L14" t="s">
        <v>15</v>
      </c>
      <c r="M14" t="s">
        <v>37</v>
      </c>
      <c r="N14" t="b">
        <v>1</v>
      </c>
      <c r="O14" t="s">
        <v>16</v>
      </c>
      <c r="P14" t="s">
        <v>17</v>
      </c>
      <c r="Q14" t="s">
        <v>38</v>
      </c>
      <c r="R14" t="b">
        <v>1</v>
      </c>
    </row>
    <row r="15" spans="1:18" x14ac:dyDescent="0.3">
      <c r="A15">
        <v>0</v>
      </c>
      <c r="B15" t="s">
        <v>26</v>
      </c>
      <c r="C15">
        <v>3</v>
      </c>
      <c r="D15" t="s">
        <v>32</v>
      </c>
      <c r="E15" t="s">
        <v>13</v>
      </c>
      <c r="F15" t="s">
        <v>36</v>
      </c>
      <c r="G15">
        <v>39</v>
      </c>
      <c r="H15">
        <v>1</v>
      </c>
      <c r="I15">
        <v>5</v>
      </c>
      <c r="J15">
        <v>31.274999999999999</v>
      </c>
      <c r="K15" t="s">
        <v>14</v>
      </c>
      <c r="L15" t="s">
        <v>15</v>
      </c>
      <c r="M15" t="s">
        <v>37</v>
      </c>
      <c r="N15" t="b">
        <v>1</v>
      </c>
      <c r="O15" t="s">
        <v>16</v>
      </c>
      <c r="P15" t="s">
        <v>17</v>
      </c>
      <c r="Q15" t="s">
        <v>38</v>
      </c>
      <c r="R15" t="b">
        <v>0</v>
      </c>
    </row>
    <row r="16" spans="1:18" x14ac:dyDescent="0.3">
      <c r="A16">
        <v>0</v>
      </c>
      <c r="B16" t="s">
        <v>26</v>
      </c>
      <c r="C16">
        <v>3</v>
      </c>
      <c r="D16" t="s">
        <v>32</v>
      </c>
      <c r="E16" t="s">
        <v>18</v>
      </c>
      <c r="F16" t="s">
        <v>39</v>
      </c>
      <c r="G16">
        <v>14</v>
      </c>
      <c r="H16">
        <v>0</v>
      </c>
      <c r="I16">
        <v>0</v>
      </c>
      <c r="J16">
        <v>7.8541999999999996</v>
      </c>
      <c r="K16" t="s">
        <v>14</v>
      </c>
      <c r="L16" t="s">
        <v>24</v>
      </c>
      <c r="M16" t="s">
        <v>42</v>
      </c>
      <c r="N16" t="b">
        <v>0</v>
      </c>
      <c r="O16" t="s">
        <v>16</v>
      </c>
      <c r="P16" t="s">
        <v>17</v>
      </c>
      <c r="Q16" t="s">
        <v>38</v>
      </c>
      <c r="R16" t="b">
        <v>1</v>
      </c>
    </row>
    <row r="17" spans="1:18" x14ac:dyDescent="0.3">
      <c r="A17">
        <v>1</v>
      </c>
      <c r="B17" t="s">
        <v>27</v>
      </c>
      <c r="C17">
        <v>2</v>
      </c>
      <c r="D17" t="s">
        <v>31</v>
      </c>
      <c r="E17" t="s">
        <v>18</v>
      </c>
      <c r="F17" t="s">
        <v>39</v>
      </c>
      <c r="G17">
        <v>55</v>
      </c>
      <c r="H17">
        <v>0</v>
      </c>
      <c r="I17">
        <v>0</v>
      </c>
      <c r="J17">
        <v>16</v>
      </c>
      <c r="K17" t="s">
        <v>25</v>
      </c>
      <c r="L17" t="s">
        <v>20</v>
      </c>
      <c r="M17" t="s">
        <v>40</v>
      </c>
      <c r="N17" t="b">
        <v>0</v>
      </c>
      <c r="O17" t="s">
        <v>16</v>
      </c>
      <c r="P17" t="s">
        <v>22</v>
      </c>
      <c r="Q17" t="s">
        <v>41</v>
      </c>
      <c r="R17" t="b">
        <v>1</v>
      </c>
    </row>
    <row r="18" spans="1:18" x14ac:dyDescent="0.3">
      <c r="A18">
        <v>0</v>
      </c>
      <c r="B18" t="s">
        <v>26</v>
      </c>
      <c r="C18">
        <v>3</v>
      </c>
      <c r="D18" t="s">
        <v>32</v>
      </c>
      <c r="E18" t="s">
        <v>13</v>
      </c>
      <c r="F18" t="s">
        <v>36</v>
      </c>
      <c r="G18">
        <v>2</v>
      </c>
      <c r="H18">
        <v>4</v>
      </c>
      <c r="I18">
        <v>1</v>
      </c>
      <c r="J18">
        <v>29.125</v>
      </c>
      <c r="K18" t="s">
        <v>14</v>
      </c>
      <c r="L18" t="s">
        <v>24</v>
      </c>
      <c r="M18" t="s">
        <v>42</v>
      </c>
      <c r="N18" t="b">
        <v>0</v>
      </c>
      <c r="O18" t="s">
        <v>23</v>
      </c>
      <c r="P18" t="s">
        <v>17</v>
      </c>
      <c r="Q18" t="s">
        <v>38</v>
      </c>
      <c r="R18" t="b">
        <v>0</v>
      </c>
    </row>
    <row r="19" spans="1:18" x14ac:dyDescent="0.3">
      <c r="A19">
        <v>1</v>
      </c>
      <c r="B19" t="s">
        <v>27</v>
      </c>
      <c r="C19">
        <v>2</v>
      </c>
      <c r="D19" t="s">
        <v>31</v>
      </c>
      <c r="E19" t="s">
        <v>13</v>
      </c>
      <c r="F19" t="s">
        <v>36</v>
      </c>
      <c r="G19">
        <v>30</v>
      </c>
      <c r="H19">
        <v>0</v>
      </c>
      <c r="I19">
        <v>0</v>
      </c>
      <c r="J19">
        <v>13</v>
      </c>
      <c r="K19" t="s">
        <v>25</v>
      </c>
      <c r="L19" t="s">
        <v>15</v>
      </c>
      <c r="M19" t="s">
        <v>37</v>
      </c>
      <c r="N19" t="b">
        <v>1</v>
      </c>
      <c r="O19" t="s">
        <v>16</v>
      </c>
      <c r="P19" t="s">
        <v>22</v>
      </c>
      <c r="Q19" t="s">
        <v>41</v>
      </c>
      <c r="R19" t="b">
        <v>1</v>
      </c>
    </row>
    <row r="20" spans="1:18" x14ac:dyDescent="0.3">
      <c r="A20">
        <v>0</v>
      </c>
      <c r="B20" t="s">
        <v>26</v>
      </c>
      <c r="C20">
        <v>3</v>
      </c>
      <c r="D20" t="s">
        <v>32</v>
      </c>
      <c r="E20" t="s">
        <v>18</v>
      </c>
      <c r="F20" t="s">
        <v>39</v>
      </c>
      <c r="G20">
        <v>31</v>
      </c>
      <c r="H20">
        <v>1</v>
      </c>
      <c r="I20">
        <v>0</v>
      </c>
      <c r="J20">
        <v>18</v>
      </c>
      <c r="K20" t="s">
        <v>14</v>
      </c>
      <c r="L20" t="s">
        <v>20</v>
      </c>
      <c r="M20" t="s">
        <v>40</v>
      </c>
      <c r="N20" t="b">
        <v>0</v>
      </c>
      <c r="O20" t="s">
        <v>16</v>
      </c>
      <c r="P20" t="s">
        <v>17</v>
      </c>
      <c r="Q20" t="s">
        <v>38</v>
      </c>
      <c r="R20" t="b">
        <v>0</v>
      </c>
    </row>
    <row r="21" spans="1:18" x14ac:dyDescent="0.3">
      <c r="A21">
        <v>1</v>
      </c>
      <c r="B21" t="s">
        <v>27</v>
      </c>
      <c r="C21">
        <v>3</v>
      </c>
      <c r="D21" t="s">
        <v>32</v>
      </c>
      <c r="E21" t="s">
        <v>18</v>
      </c>
      <c r="F21" t="s">
        <v>39</v>
      </c>
      <c r="G21">
        <v>30</v>
      </c>
      <c r="H21">
        <v>0</v>
      </c>
      <c r="I21">
        <v>0</v>
      </c>
      <c r="J21">
        <v>7.2249999999999996</v>
      </c>
      <c r="K21" t="s">
        <v>14</v>
      </c>
      <c r="L21" t="s">
        <v>20</v>
      </c>
      <c r="M21" t="s">
        <v>40</v>
      </c>
      <c r="N21" t="b">
        <v>0</v>
      </c>
      <c r="O21" t="s">
        <v>21</v>
      </c>
      <c r="P21" t="s">
        <v>22</v>
      </c>
      <c r="Q21" t="s">
        <v>41</v>
      </c>
      <c r="R21" t="b">
        <v>1</v>
      </c>
    </row>
    <row r="22" spans="1:18" x14ac:dyDescent="0.3">
      <c r="A22">
        <v>0</v>
      </c>
      <c r="B22" t="s">
        <v>26</v>
      </c>
      <c r="C22">
        <v>2</v>
      </c>
      <c r="D22" t="s">
        <v>31</v>
      </c>
      <c r="E22" t="s">
        <v>13</v>
      </c>
      <c r="F22" t="s">
        <v>36</v>
      </c>
      <c r="G22">
        <v>35</v>
      </c>
      <c r="H22">
        <v>0</v>
      </c>
      <c r="I22">
        <v>0</v>
      </c>
      <c r="J22">
        <v>26</v>
      </c>
      <c r="K22" t="s">
        <v>25</v>
      </c>
      <c r="L22" t="s">
        <v>15</v>
      </c>
      <c r="M22" t="s">
        <v>37</v>
      </c>
      <c r="N22" t="b">
        <v>1</v>
      </c>
      <c r="O22" t="s">
        <v>16</v>
      </c>
      <c r="P22" t="s">
        <v>17</v>
      </c>
      <c r="Q22" t="s">
        <v>38</v>
      </c>
      <c r="R22" t="b">
        <v>1</v>
      </c>
    </row>
    <row r="23" spans="1:18" x14ac:dyDescent="0.3">
      <c r="A23">
        <v>1</v>
      </c>
      <c r="B23" t="s">
        <v>27</v>
      </c>
      <c r="C23">
        <v>2</v>
      </c>
      <c r="D23" t="s">
        <v>31</v>
      </c>
      <c r="E23" t="s">
        <v>13</v>
      </c>
      <c r="F23" t="s">
        <v>36</v>
      </c>
      <c r="G23">
        <v>34</v>
      </c>
      <c r="H23">
        <v>0</v>
      </c>
      <c r="I23">
        <v>0</v>
      </c>
      <c r="J23">
        <v>13</v>
      </c>
      <c r="K23" t="s">
        <v>25</v>
      </c>
      <c r="L23" t="s">
        <v>15</v>
      </c>
      <c r="M23" t="s">
        <v>37</v>
      </c>
      <c r="N23" t="b">
        <v>1</v>
      </c>
      <c r="O23" t="s">
        <v>16</v>
      </c>
      <c r="P23" t="s">
        <v>22</v>
      </c>
      <c r="Q23" t="s">
        <v>41</v>
      </c>
      <c r="R23" t="b">
        <v>1</v>
      </c>
    </row>
    <row r="24" spans="1:18" x14ac:dyDescent="0.3">
      <c r="A24">
        <v>1</v>
      </c>
      <c r="B24" t="s">
        <v>27</v>
      </c>
      <c r="C24">
        <v>3</v>
      </c>
      <c r="D24" t="s">
        <v>32</v>
      </c>
      <c r="E24" t="s">
        <v>18</v>
      </c>
      <c r="F24" t="s">
        <v>39</v>
      </c>
      <c r="G24">
        <v>15</v>
      </c>
      <c r="H24">
        <v>0</v>
      </c>
      <c r="I24">
        <v>0</v>
      </c>
      <c r="J24">
        <v>8.0291999999999994</v>
      </c>
      <c r="K24" t="s">
        <v>14</v>
      </c>
      <c r="L24" t="s">
        <v>24</v>
      </c>
      <c r="M24" t="s">
        <v>42</v>
      </c>
      <c r="N24" t="b">
        <v>0</v>
      </c>
      <c r="O24" t="s">
        <v>23</v>
      </c>
      <c r="P24" t="s">
        <v>22</v>
      </c>
      <c r="Q24" t="s">
        <v>41</v>
      </c>
      <c r="R24" t="b">
        <v>1</v>
      </c>
    </row>
    <row r="25" spans="1:18" x14ac:dyDescent="0.3">
      <c r="A25">
        <v>1</v>
      </c>
      <c r="B25" t="s">
        <v>27</v>
      </c>
      <c r="C25">
        <v>1</v>
      </c>
      <c r="D25" t="s">
        <v>30</v>
      </c>
      <c r="E25" t="s">
        <v>13</v>
      </c>
      <c r="F25" t="s">
        <v>36</v>
      </c>
      <c r="G25">
        <v>28</v>
      </c>
      <c r="H25">
        <v>0</v>
      </c>
      <c r="I25">
        <v>0</v>
      </c>
      <c r="J25">
        <v>35.5</v>
      </c>
      <c r="K25" t="s">
        <v>19</v>
      </c>
      <c r="L25" t="s">
        <v>15</v>
      </c>
      <c r="M25" t="s">
        <v>37</v>
      </c>
      <c r="N25" t="b">
        <v>1</v>
      </c>
      <c r="O25" t="s">
        <v>16</v>
      </c>
      <c r="P25" t="s">
        <v>22</v>
      </c>
      <c r="Q25" t="s">
        <v>41</v>
      </c>
      <c r="R25" t="b">
        <v>1</v>
      </c>
    </row>
    <row r="26" spans="1:18" x14ac:dyDescent="0.3">
      <c r="A26">
        <v>0</v>
      </c>
      <c r="B26" t="s">
        <v>26</v>
      </c>
      <c r="C26">
        <v>3</v>
      </c>
      <c r="D26" t="s">
        <v>32</v>
      </c>
      <c r="E26" t="s">
        <v>18</v>
      </c>
      <c r="F26" t="s">
        <v>39</v>
      </c>
      <c r="G26">
        <v>8</v>
      </c>
      <c r="H26">
        <v>3</v>
      </c>
      <c r="I26">
        <v>1</v>
      </c>
      <c r="J26">
        <v>21.074999999999999</v>
      </c>
      <c r="K26" t="s">
        <v>14</v>
      </c>
      <c r="L26" t="s">
        <v>24</v>
      </c>
      <c r="M26" t="s">
        <v>42</v>
      </c>
      <c r="N26" t="b">
        <v>0</v>
      </c>
      <c r="O26" t="s">
        <v>16</v>
      </c>
      <c r="P26" t="s">
        <v>17</v>
      </c>
      <c r="Q26" t="s">
        <v>38</v>
      </c>
      <c r="R26" t="b">
        <v>0</v>
      </c>
    </row>
    <row r="27" spans="1:18" x14ac:dyDescent="0.3">
      <c r="A27">
        <v>1</v>
      </c>
      <c r="B27" t="s">
        <v>27</v>
      </c>
      <c r="C27">
        <v>3</v>
      </c>
      <c r="D27" t="s">
        <v>32</v>
      </c>
      <c r="E27" t="s">
        <v>18</v>
      </c>
      <c r="F27" t="s">
        <v>39</v>
      </c>
      <c r="G27">
        <v>38</v>
      </c>
      <c r="H27">
        <v>1</v>
      </c>
      <c r="I27">
        <v>5</v>
      </c>
      <c r="J27">
        <v>31.387499999999999</v>
      </c>
      <c r="K27" t="s">
        <v>14</v>
      </c>
      <c r="L27" t="s">
        <v>20</v>
      </c>
      <c r="M27" t="s">
        <v>40</v>
      </c>
      <c r="N27" t="b">
        <v>0</v>
      </c>
      <c r="O27" t="s">
        <v>16</v>
      </c>
      <c r="P27" t="s">
        <v>22</v>
      </c>
      <c r="Q27" t="s">
        <v>41</v>
      </c>
      <c r="R27" t="b">
        <v>0</v>
      </c>
    </row>
    <row r="28" spans="1:18" x14ac:dyDescent="0.3">
      <c r="A28">
        <v>0</v>
      </c>
      <c r="B28" t="s">
        <v>26</v>
      </c>
      <c r="C28">
        <v>3</v>
      </c>
      <c r="D28" t="s">
        <v>32</v>
      </c>
      <c r="E28" t="s">
        <v>13</v>
      </c>
      <c r="F28" t="s">
        <v>36</v>
      </c>
      <c r="G28">
        <v>30</v>
      </c>
      <c r="H28">
        <v>0</v>
      </c>
      <c r="I28">
        <v>0</v>
      </c>
      <c r="J28">
        <v>7.2249999999999996</v>
      </c>
      <c r="K28" t="s">
        <v>14</v>
      </c>
      <c r="L28" t="s">
        <v>15</v>
      </c>
      <c r="M28" t="s">
        <v>37</v>
      </c>
      <c r="N28" t="b">
        <v>1</v>
      </c>
      <c r="O28" t="s">
        <v>21</v>
      </c>
      <c r="P28" t="s">
        <v>17</v>
      </c>
      <c r="Q28" t="s">
        <v>38</v>
      </c>
      <c r="R28" t="b">
        <v>1</v>
      </c>
    </row>
    <row r="29" spans="1:18" x14ac:dyDescent="0.3">
      <c r="A29">
        <v>0</v>
      </c>
      <c r="B29" t="s">
        <v>26</v>
      </c>
      <c r="C29">
        <v>1</v>
      </c>
      <c r="D29" t="s">
        <v>30</v>
      </c>
      <c r="E29" t="s">
        <v>13</v>
      </c>
      <c r="F29" t="s">
        <v>36</v>
      </c>
      <c r="G29">
        <v>19</v>
      </c>
      <c r="H29">
        <v>3</v>
      </c>
      <c r="I29">
        <v>2</v>
      </c>
      <c r="J29">
        <v>263</v>
      </c>
      <c r="K29" t="s">
        <v>19</v>
      </c>
      <c r="L29" t="s">
        <v>15</v>
      </c>
      <c r="M29" t="s">
        <v>37</v>
      </c>
      <c r="N29" t="b">
        <v>1</v>
      </c>
      <c r="O29" t="s">
        <v>16</v>
      </c>
      <c r="P29" t="s">
        <v>17</v>
      </c>
      <c r="Q29" t="s">
        <v>38</v>
      </c>
      <c r="R29" t="b">
        <v>0</v>
      </c>
    </row>
    <row r="30" spans="1:18" x14ac:dyDescent="0.3">
      <c r="A30">
        <v>1</v>
      </c>
      <c r="B30" t="s">
        <v>27</v>
      </c>
      <c r="C30">
        <v>3</v>
      </c>
      <c r="D30" t="s">
        <v>32</v>
      </c>
      <c r="E30" t="s">
        <v>18</v>
      </c>
      <c r="F30" t="s">
        <v>39</v>
      </c>
      <c r="G30">
        <v>30</v>
      </c>
      <c r="H30">
        <v>0</v>
      </c>
      <c r="I30">
        <v>0</v>
      </c>
      <c r="J30">
        <v>7.8792</v>
      </c>
      <c r="K30" t="s">
        <v>14</v>
      </c>
      <c r="L30" t="s">
        <v>20</v>
      </c>
      <c r="M30" t="s">
        <v>40</v>
      </c>
      <c r="N30" t="b">
        <v>0</v>
      </c>
      <c r="O30" t="s">
        <v>23</v>
      </c>
      <c r="P30" t="s">
        <v>22</v>
      </c>
      <c r="Q30" t="s">
        <v>41</v>
      </c>
      <c r="R30" t="b">
        <v>1</v>
      </c>
    </row>
    <row r="31" spans="1:18" x14ac:dyDescent="0.3">
      <c r="A31">
        <v>0</v>
      </c>
      <c r="B31" t="s">
        <v>26</v>
      </c>
      <c r="C31">
        <v>3</v>
      </c>
      <c r="D31" t="s">
        <v>32</v>
      </c>
      <c r="E31" t="s">
        <v>13</v>
      </c>
      <c r="F31" t="s">
        <v>36</v>
      </c>
      <c r="G31">
        <v>30</v>
      </c>
      <c r="H31">
        <v>0</v>
      </c>
      <c r="I31">
        <v>0</v>
      </c>
      <c r="J31">
        <v>7.8958000000000004</v>
      </c>
      <c r="K31" t="s">
        <v>14</v>
      </c>
      <c r="L31" t="s">
        <v>15</v>
      </c>
      <c r="M31" t="s">
        <v>37</v>
      </c>
      <c r="N31" t="b">
        <v>1</v>
      </c>
      <c r="O31" t="s">
        <v>16</v>
      </c>
      <c r="P31" t="s">
        <v>17</v>
      </c>
      <c r="Q31" t="s">
        <v>38</v>
      </c>
      <c r="R31" t="b">
        <v>1</v>
      </c>
    </row>
    <row r="32" spans="1:18" x14ac:dyDescent="0.3">
      <c r="A32">
        <v>0</v>
      </c>
      <c r="B32" t="s">
        <v>26</v>
      </c>
      <c r="C32">
        <v>1</v>
      </c>
      <c r="D32" t="s">
        <v>30</v>
      </c>
      <c r="E32" t="s">
        <v>13</v>
      </c>
      <c r="F32" t="s">
        <v>36</v>
      </c>
      <c r="G32">
        <v>40</v>
      </c>
      <c r="H32">
        <v>0</v>
      </c>
      <c r="I32">
        <v>0</v>
      </c>
      <c r="J32">
        <v>27.720800000000001</v>
      </c>
      <c r="K32" t="s">
        <v>19</v>
      </c>
      <c r="L32" t="s">
        <v>15</v>
      </c>
      <c r="M32" t="s">
        <v>37</v>
      </c>
      <c r="N32" t="b">
        <v>1</v>
      </c>
      <c r="O32" t="s">
        <v>21</v>
      </c>
      <c r="P32" t="s">
        <v>17</v>
      </c>
      <c r="Q32" t="s">
        <v>38</v>
      </c>
      <c r="R32" t="b">
        <v>1</v>
      </c>
    </row>
    <row r="33" spans="1:18" x14ac:dyDescent="0.3">
      <c r="A33">
        <v>1</v>
      </c>
      <c r="B33" t="s">
        <v>27</v>
      </c>
      <c r="C33">
        <v>1</v>
      </c>
      <c r="D33" t="s">
        <v>30</v>
      </c>
      <c r="E33" t="s">
        <v>18</v>
      </c>
      <c r="F33" t="s">
        <v>39</v>
      </c>
      <c r="G33">
        <v>30</v>
      </c>
      <c r="H33">
        <v>1</v>
      </c>
      <c r="I33">
        <v>0</v>
      </c>
      <c r="J33">
        <v>146.52080000000001</v>
      </c>
      <c r="K33" t="s">
        <v>19</v>
      </c>
      <c r="L33" t="s">
        <v>20</v>
      </c>
      <c r="M33" t="s">
        <v>40</v>
      </c>
      <c r="N33" t="b">
        <v>0</v>
      </c>
      <c r="O33" t="s">
        <v>21</v>
      </c>
      <c r="P33" t="s">
        <v>22</v>
      </c>
      <c r="Q33" t="s">
        <v>41</v>
      </c>
      <c r="R33" t="b">
        <v>0</v>
      </c>
    </row>
    <row r="34" spans="1:18" x14ac:dyDescent="0.3">
      <c r="A34">
        <v>1</v>
      </c>
      <c r="B34" t="s">
        <v>27</v>
      </c>
      <c r="C34">
        <v>3</v>
      </c>
      <c r="D34" t="s">
        <v>32</v>
      </c>
      <c r="E34" t="s">
        <v>18</v>
      </c>
      <c r="F34" t="s">
        <v>39</v>
      </c>
      <c r="G34">
        <v>30</v>
      </c>
      <c r="H34">
        <v>0</v>
      </c>
      <c r="I34">
        <v>0</v>
      </c>
      <c r="J34">
        <v>7.75</v>
      </c>
      <c r="K34" t="s">
        <v>14</v>
      </c>
      <c r="L34" t="s">
        <v>20</v>
      </c>
      <c r="M34" t="s">
        <v>40</v>
      </c>
      <c r="N34" t="b">
        <v>0</v>
      </c>
      <c r="O34" t="s">
        <v>23</v>
      </c>
      <c r="P34" t="s">
        <v>22</v>
      </c>
      <c r="Q34" t="s">
        <v>41</v>
      </c>
      <c r="R34" t="b">
        <v>1</v>
      </c>
    </row>
    <row r="35" spans="1:18" x14ac:dyDescent="0.3">
      <c r="A35">
        <v>0</v>
      </c>
      <c r="B35" t="s">
        <v>26</v>
      </c>
      <c r="C35">
        <v>2</v>
      </c>
      <c r="D35" t="s">
        <v>31</v>
      </c>
      <c r="E35" t="s">
        <v>13</v>
      </c>
      <c r="F35" t="s">
        <v>36</v>
      </c>
      <c r="G35">
        <v>66</v>
      </c>
      <c r="H35">
        <v>0</v>
      </c>
      <c r="I35">
        <v>0</v>
      </c>
      <c r="J35">
        <v>10.5</v>
      </c>
      <c r="K35" t="s">
        <v>25</v>
      </c>
      <c r="L35" t="s">
        <v>15</v>
      </c>
      <c r="M35" t="s">
        <v>37</v>
      </c>
      <c r="N35" t="b">
        <v>1</v>
      </c>
      <c r="O35" t="s">
        <v>16</v>
      </c>
      <c r="P35" t="s">
        <v>17</v>
      </c>
      <c r="Q35" t="s">
        <v>38</v>
      </c>
      <c r="R35" t="b">
        <v>1</v>
      </c>
    </row>
    <row r="36" spans="1:18" x14ac:dyDescent="0.3">
      <c r="A36">
        <v>0</v>
      </c>
      <c r="B36" t="s">
        <v>26</v>
      </c>
      <c r="C36">
        <v>1</v>
      </c>
      <c r="D36" t="s">
        <v>30</v>
      </c>
      <c r="E36" t="s">
        <v>13</v>
      </c>
      <c r="F36" t="s">
        <v>36</v>
      </c>
      <c r="G36">
        <v>28</v>
      </c>
      <c r="H36">
        <v>1</v>
      </c>
      <c r="I36">
        <v>0</v>
      </c>
      <c r="J36">
        <v>82.1708</v>
      </c>
      <c r="K36" t="s">
        <v>19</v>
      </c>
      <c r="L36" t="s">
        <v>15</v>
      </c>
      <c r="M36" t="s">
        <v>37</v>
      </c>
      <c r="N36" t="b">
        <v>1</v>
      </c>
      <c r="O36" t="s">
        <v>21</v>
      </c>
      <c r="P36" t="s">
        <v>17</v>
      </c>
      <c r="Q36" t="s">
        <v>38</v>
      </c>
      <c r="R36" t="b">
        <v>0</v>
      </c>
    </row>
    <row r="37" spans="1:18" x14ac:dyDescent="0.3">
      <c r="A37">
        <v>0</v>
      </c>
      <c r="B37" t="s">
        <v>26</v>
      </c>
      <c r="C37">
        <v>1</v>
      </c>
      <c r="D37" t="s">
        <v>30</v>
      </c>
      <c r="E37" t="s">
        <v>13</v>
      </c>
      <c r="F37" t="s">
        <v>36</v>
      </c>
      <c r="G37">
        <v>42</v>
      </c>
      <c r="H37">
        <v>1</v>
      </c>
      <c r="I37">
        <v>0</v>
      </c>
      <c r="J37">
        <v>52</v>
      </c>
      <c r="K37" t="s">
        <v>19</v>
      </c>
      <c r="L37" t="s">
        <v>15</v>
      </c>
      <c r="M37" t="s">
        <v>37</v>
      </c>
      <c r="N37" t="b">
        <v>1</v>
      </c>
      <c r="O37" t="s">
        <v>16</v>
      </c>
      <c r="P37" t="s">
        <v>17</v>
      </c>
      <c r="Q37" t="s">
        <v>38</v>
      </c>
      <c r="R37" t="b">
        <v>0</v>
      </c>
    </row>
    <row r="38" spans="1:18" x14ac:dyDescent="0.3">
      <c r="A38">
        <v>1</v>
      </c>
      <c r="B38" t="s">
        <v>27</v>
      </c>
      <c r="C38">
        <v>3</v>
      </c>
      <c r="D38" t="s">
        <v>32</v>
      </c>
      <c r="E38" t="s">
        <v>13</v>
      </c>
      <c r="F38" t="s">
        <v>36</v>
      </c>
      <c r="G38">
        <v>30</v>
      </c>
      <c r="H38">
        <v>0</v>
      </c>
      <c r="I38">
        <v>0</v>
      </c>
      <c r="J38">
        <v>7.2291999999999996</v>
      </c>
      <c r="K38" t="s">
        <v>14</v>
      </c>
      <c r="L38" t="s">
        <v>15</v>
      </c>
      <c r="M38" t="s">
        <v>37</v>
      </c>
      <c r="N38" t="b">
        <v>1</v>
      </c>
      <c r="O38" t="s">
        <v>21</v>
      </c>
      <c r="P38" t="s">
        <v>22</v>
      </c>
      <c r="Q38" t="s">
        <v>41</v>
      </c>
      <c r="R38" t="b">
        <v>1</v>
      </c>
    </row>
    <row r="39" spans="1:18" x14ac:dyDescent="0.3">
      <c r="A39">
        <v>0</v>
      </c>
      <c r="B39" t="s">
        <v>26</v>
      </c>
      <c r="C39">
        <v>3</v>
      </c>
      <c r="D39" t="s">
        <v>32</v>
      </c>
      <c r="E39" t="s">
        <v>13</v>
      </c>
      <c r="F39" t="s">
        <v>36</v>
      </c>
      <c r="G39">
        <v>21</v>
      </c>
      <c r="H39">
        <v>0</v>
      </c>
      <c r="I39">
        <v>0</v>
      </c>
      <c r="J39">
        <v>8.0500000000000007</v>
      </c>
      <c r="K39" t="s">
        <v>14</v>
      </c>
      <c r="L39" t="s">
        <v>15</v>
      </c>
      <c r="M39" t="s">
        <v>37</v>
      </c>
      <c r="N39" t="b">
        <v>1</v>
      </c>
      <c r="O39" t="s">
        <v>16</v>
      </c>
      <c r="P39" t="s">
        <v>17</v>
      </c>
      <c r="Q39" t="s">
        <v>38</v>
      </c>
      <c r="R39" t="b">
        <v>1</v>
      </c>
    </row>
    <row r="40" spans="1:18" x14ac:dyDescent="0.3">
      <c r="A40">
        <v>0</v>
      </c>
      <c r="B40" t="s">
        <v>26</v>
      </c>
      <c r="C40">
        <v>3</v>
      </c>
      <c r="D40" t="s">
        <v>32</v>
      </c>
      <c r="E40" t="s">
        <v>18</v>
      </c>
      <c r="F40" t="s">
        <v>39</v>
      </c>
      <c r="G40">
        <v>18</v>
      </c>
      <c r="H40">
        <v>2</v>
      </c>
      <c r="I40">
        <v>0</v>
      </c>
      <c r="J40">
        <v>18</v>
      </c>
      <c r="K40" t="s">
        <v>14</v>
      </c>
      <c r="L40" t="s">
        <v>20</v>
      </c>
      <c r="M40" t="s">
        <v>40</v>
      </c>
      <c r="N40" t="b">
        <v>0</v>
      </c>
      <c r="O40" t="s">
        <v>16</v>
      </c>
      <c r="P40" t="s">
        <v>17</v>
      </c>
      <c r="Q40" t="s">
        <v>38</v>
      </c>
      <c r="R40" t="b">
        <v>0</v>
      </c>
    </row>
    <row r="41" spans="1:18" x14ac:dyDescent="0.3">
      <c r="A41">
        <v>1</v>
      </c>
      <c r="B41" t="s">
        <v>27</v>
      </c>
      <c r="C41">
        <v>3</v>
      </c>
      <c r="D41" t="s">
        <v>32</v>
      </c>
      <c r="E41" t="s">
        <v>18</v>
      </c>
      <c r="F41" t="s">
        <v>39</v>
      </c>
      <c r="G41">
        <v>14</v>
      </c>
      <c r="H41">
        <v>1</v>
      </c>
      <c r="I41">
        <v>0</v>
      </c>
      <c r="J41">
        <v>11.2417</v>
      </c>
      <c r="K41" t="s">
        <v>14</v>
      </c>
      <c r="L41" t="s">
        <v>24</v>
      </c>
      <c r="M41" t="s">
        <v>42</v>
      </c>
      <c r="N41" t="b">
        <v>0</v>
      </c>
      <c r="O41" t="s">
        <v>21</v>
      </c>
      <c r="P41" t="s">
        <v>22</v>
      </c>
      <c r="Q41" t="s">
        <v>41</v>
      </c>
      <c r="R41" t="b">
        <v>0</v>
      </c>
    </row>
    <row r="42" spans="1:18" x14ac:dyDescent="0.3">
      <c r="A42">
        <v>0</v>
      </c>
      <c r="B42" t="s">
        <v>26</v>
      </c>
      <c r="C42">
        <v>3</v>
      </c>
      <c r="D42" t="s">
        <v>32</v>
      </c>
      <c r="E42" t="s">
        <v>18</v>
      </c>
      <c r="F42" t="s">
        <v>39</v>
      </c>
      <c r="G42">
        <v>40</v>
      </c>
      <c r="H42">
        <v>1</v>
      </c>
      <c r="I42">
        <v>0</v>
      </c>
      <c r="J42">
        <v>9.4749999999999996</v>
      </c>
      <c r="K42" t="s">
        <v>14</v>
      </c>
      <c r="L42" t="s">
        <v>20</v>
      </c>
      <c r="M42" t="s">
        <v>40</v>
      </c>
      <c r="N42" t="b">
        <v>0</v>
      </c>
      <c r="O42" t="s">
        <v>16</v>
      </c>
      <c r="P42" t="s">
        <v>17</v>
      </c>
      <c r="Q42" t="s">
        <v>38</v>
      </c>
      <c r="R42" t="b">
        <v>0</v>
      </c>
    </row>
    <row r="43" spans="1:18" x14ac:dyDescent="0.3">
      <c r="A43">
        <v>0</v>
      </c>
      <c r="B43" t="s">
        <v>26</v>
      </c>
      <c r="C43">
        <v>2</v>
      </c>
      <c r="D43" t="s">
        <v>31</v>
      </c>
      <c r="E43" t="s">
        <v>18</v>
      </c>
      <c r="F43" t="s">
        <v>39</v>
      </c>
      <c r="G43">
        <v>27</v>
      </c>
      <c r="H43">
        <v>1</v>
      </c>
      <c r="I43">
        <v>0</v>
      </c>
      <c r="J43">
        <v>21</v>
      </c>
      <c r="K43" t="s">
        <v>25</v>
      </c>
      <c r="L43" t="s">
        <v>20</v>
      </c>
      <c r="M43" t="s">
        <v>40</v>
      </c>
      <c r="N43" t="b">
        <v>0</v>
      </c>
      <c r="O43" t="s">
        <v>16</v>
      </c>
      <c r="P43" t="s">
        <v>17</v>
      </c>
      <c r="Q43" t="s">
        <v>38</v>
      </c>
      <c r="R43" t="b">
        <v>0</v>
      </c>
    </row>
    <row r="44" spans="1:18" x14ac:dyDescent="0.3">
      <c r="A44">
        <v>0</v>
      </c>
      <c r="B44" t="s">
        <v>26</v>
      </c>
      <c r="C44">
        <v>3</v>
      </c>
      <c r="D44" t="s">
        <v>32</v>
      </c>
      <c r="E44" t="s">
        <v>13</v>
      </c>
      <c r="F44" t="s">
        <v>36</v>
      </c>
      <c r="G44">
        <v>30</v>
      </c>
      <c r="H44">
        <v>0</v>
      </c>
      <c r="I44">
        <v>0</v>
      </c>
      <c r="J44">
        <v>7.8958000000000004</v>
      </c>
      <c r="K44" t="s">
        <v>14</v>
      </c>
      <c r="L44" t="s">
        <v>15</v>
      </c>
      <c r="M44" t="s">
        <v>37</v>
      </c>
      <c r="N44" t="b">
        <v>1</v>
      </c>
      <c r="O44" t="s">
        <v>21</v>
      </c>
      <c r="P44" t="s">
        <v>17</v>
      </c>
      <c r="Q44" t="s">
        <v>38</v>
      </c>
      <c r="R44" t="b">
        <v>1</v>
      </c>
    </row>
    <row r="45" spans="1:18" x14ac:dyDescent="0.3">
      <c r="A45">
        <v>1</v>
      </c>
      <c r="B45" t="s">
        <v>27</v>
      </c>
      <c r="C45">
        <v>2</v>
      </c>
      <c r="D45" t="s">
        <v>31</v>
      </c>
      <c r="E45" t="s">
        <v>18</v>
      </c>
      <c r="F45" t="s">
        <v>39</v>
      </c>
      <c r="G45">
        <v>3</v>
      </c>
      <c r="H45">
        <v>1</v>
      </c>
      <c r="I45">
        <v>2</v>
      </c>
      <c r="J45">
        <v>41.5792</v>
      </c>
      <c r="K45" t="s">
        <v>25</v>
      </c>
      <c r="L45" t="s">
        <v>24</v>
      </c>
      <c r="M45" t="s">
        <v>42</v>
      </c>
      <c r="N45" t="b">
        <v>0</v>
      </c>
      <c r="O45" t="s">
        <v>21</v>
      </c>
      <c r="P45" t="s">
        <v>22</v>
      </c>
      <c r="Q45" t="s">
        <v>41</v>
      </c>
      <c r="R45" t="b">
        <v>0</v>
      </c>
    </row>
    <row r="46" spans="1:18" x14ac:dyDescent="0.3">
      <c r="A46">
        <v>1</v>
      </c>
      <c r="B46" t="s">
        <v>27</v>
      </c>
      <c r="C46">
        <v>3</v>
      </c>
      <c r="D46" t="s">
        <v>32</v>
      </c>
      <c r="E46" t="s">
        <v>18</v>
      </c>
      <c r="F46" t="s">
        <v>39</v>
      </c>
      <c r="G46">
        <v>19</v>
      </c>
      <c r="H46">
        <v>0</v>
      </c>
      <c r="I46">
        <v>0</v>
      </c>
      <c r="J46">
        <v>7.8792</v>
      </c>
      <c r="K46" t="s">
        <v>14</v>
      </c>
      <c r="L46" t="s">
        <v>20</v>
      </c>
      <c r="M46" t="s">
        <v>40</v>
      </c>
      <c r="N46" t="b">
        <v>0</v>
      </c>
      <c r="O46" t="s">
        <v>23</v>
      </c>
      <c r="P46" t="s">
        <v>22</v>
      </c>
      <c r="Q46" t="s">
        <v>41</v>
      </c>
      <c r="R46" t="b">
        <v>1</v>
      </c>
    </row>
    <row r="47" spans="1:18" x14ac:dyDescent="0.3">
      <c r="A47">
        <v>0</v>
      </c>
      <c r="B47" t="s">
        <v>26</v>
      </c>
      <c r="C47">
        <v>3</v>
      </c>
      <c r="D47" t="s">
        <v>32</v>
      </c>
      <c r="E47" t="s">
        <v>13</v>
      </c>
      <c r="F47" t="s">
        <v>36</v>
      </c>
      <c r="G47">
        <v>30</v>
      </c>
      <c r="H47">
        <v>0</v>
      </c>
      <c r="I47">
        <v>0</v>
      </c>
      <c r="J47">
        <v>8.0500000000000007</v>
      </c>
      <c r="K47" t="s">
        <v>14</v>
      </c>
      <c r="L47" t="s">
        <v>15</v>
      </c>
      <c r="M47" t="s">
        <v>37</v>
      </c>
      <c r="N47" t="b">
        <v>1</v>
      </c>
      <c r="O47" t="s">
        <v>16</v>
      </c>
      <c r="P47" t="s">
        <v>17</v>
      </c>
      <c r="Q47" t="s">
        <v>38</v>
      </c>
      <c r="R47" t="b">
        <v>1</v>
      </c>
    </row>
    <row r="48" spans="1:18" x14ac:dyDescent="0.3">
      <c r="A48">
        <v>0</v>
      </c>
      <c r="B48" t="s">
        <v>26</v>
      </c>
      <c r="C48">
        <v>3</v>
      </c>
      <c r="D48" t="s">
        <v>32</v>
      </c>
      <c r="E48" t="s">
        <v>13</v>
      </c>
      <c r="F48" t="s">
        <v>36</v>
      </c>
      <c r="G48">
        <v>30</v>
      </c>
      <c r="H48">
        <v>1</v>
      </c>
      <c r="I48">
        <v>0</v>
      </c>
      <c r="J48">
        <v>15.5</v>
      </c>
      <c r="K48" t="s">
        <v>14</v>
      </c>
      <c r="L48" t="s">
        <v>15</v>
      </c>
      <c r="M48" t="s">
        <v>37</v>
      </c>
      <c r="N48" t="b">
        <v>1</v>
      </c>
      <c r="O48" t="s">
        <v>23</v>
      </c>
      <c r="P48" t="s">
        <v>17</v>
      </c>
      <c r="Q48" t="s">
        <v>38</v>
      </c>
      <c r="R48" t="b">
        <v>0</v>
      </c>
    </row>
    <row r="49" spans="1:18" x14ac:dyDescent="0.3">
      <c r="A49">
        <v>1</v>
      </c>
      <c r="B49" t="s">
        <v>27</v>
      </c>
      <c r="C49">
        <v>3</v>
      </c>
      <c r="D49" t="s">
        <v>32</v>
      </c>
      <c r="E49" t="s">
        <v>18</v>
      </c>
      <c r="F49" t="s">
        <v>39</v>
      </c>
      <c r="G49">
        <v>30</v>
      </c>
      <c r="H49">
        <v>0</v>
      </c>
      <c r="I49">
        <v>0</v>
      </c>
      <c r="J49">
        <v>7.75</v>
      </c>
      <c r="K49" t="s">
        <v>14</v>
      </c>
      <c r="L49" t="s">
        <v>20</v>
      </c>
      <c r="M49" t="s">
        <v>40</v>
      </c>
      <c r="N49" t="b">
        <v>0</v>
      </c>
      <c r="O49" t="s">
        <v>23</v>
      </c>
      <c r="P49" t="s">
        <v>22</v>
      </c>
      <c r="Q49" t="s">
        <v>41</v>
      </c>
      <c r="R49" t="b">
        <v>1</v>
      </c>
    </row>
    <row r="50" spans="1:18" x14ac:dyDescent="0.3">
      <c r="A50">
        <v>0</v>
      </c>
      <c r="B50" t="s">
        <v>26</v>
      </c>
      <c r="C50">
        <v>3</v>
      </c>
      <c r="D50" t="s">
        <v>32</v>
      </c>
      <c r="E50" t="s">
        <v>13</v>
      </c>
      <c r="F50" t="s">
        <v>36</v>
      </c>
      <c r="G50">
        <v>30</v>
      </c>
      <c r="H50">
        <v>2</v>
      </c>
      <c r="I50">
        <v>0</v>
      </c>
      <c r="J50">
        <v>21.679200000000002</v>
      </c>
      <c r="K50" t="s">
        <v>14</v>
      </c>
      <c r="L50" t="s">
        <v>15</v>
      </c>
      <c r="M50" t="s">
        <v>37</v>
      </c>
      <c r="N50" t="b">
        <v>1</v>
      </c>
      <c r="O50" t="s">
        <v>21</v>
      </c>
      <c r="P50" t="s">
        <v>17</v>
      </c>
      <c r="Q50" t="s">
        <v>38</v>
      </c>
      <c r="R50" t="b">
        <v>0</v>
      </c>
    </row>
    <row r="51" spans="1:18" x14ac:dyDescent="0.3">
      <c r="A51">
        <v>0</v>
      </c>
      <c r="B51" t="s">
        <v>26</v>
      </c>
      <c r="C51">
        <v>3</v>
      </c>
      <c r="D51" t="s">
        <v>32</v>
      </c>
      <c r="E51" t="s">
        <v>18</v>
      </c>
      <c r="F51" t="s">
        <v>39</v>
      </c>
      <c r="G51">
        <v>18</v>
      </c>
      <c r="H51">
        <v>1</v>
      </c>
      <c r="I51">
        <v>0</v>
      </c>
      <c r="J51">
        <v>17.8</v>
      </c>
      <c r="K51" t="s">
        <v>14</v>
      </c>
      <c r="L51" t="s">
        <v>20</v>
      </c>
      <c r="M51" t="s">
        <v>40</v>
      </c>
      <c r="N51" t="b">
        <v>0</v>
      </c>
      <c r="O51" t="s">
        <v>16</v>
      </c>
      <c r="P51" t="s">
        <v>17</v>
      </c>
      <c r="Q51" t="s">
        <v>38</v>
      </c>
      <c r="R51" t="b">
        <v>0</v>
      </c>
    </row>
    <row r="52" spans="1:18" x14ac:dyDescent="0.3">
      <c r="A52">
        <v>0</v>
      </c>
      <c r="B52" t="s">
        <v>26</v>
      </c>
      <c r="C52">
        <v>3</v>
      </c>
      <c r="D52" t="s">
        <v>32</v>
      </c>
      <c r="E52" t="s">
        <v>13</v>
      </c>
      <c r="F52" t="s">
        <v>36</v>
      </c>
      <c r="G52">
        <v>7</v>
      </c>
      <c r="H52">
        <v>4</v>
      </c>
      <c r="I52">
        <v>1</v>
      </c>
      <c r="J52">
        <v>39.6875</v>
      </c>
      <c r="K52" t="s">
        <v>14</v>
      </c>
      <c r="L52" t="s">
        <v>24</v>
      </c>
      <c r="M52" t="s">
        <v>42</v>
      </c>
      <c r="N52" t="b">
        <v>0</v>
      </c>
      <c r="O52" t="s">
        <v>16</v>
      </c>
      <c r="P52" t="s">
        <v>17</v>
      </c>
      <c r="Q52" t="s">
        <v>38</v>
      </c>
      <c r="R52" t="b">
        <v>0</v>
      </c>
    </row>
    <row r="53" spans="1:18" x14ac:dyDescent="0.3">
      <c r="A53">
        <v>0</v>
      </c>
      <c r="B53" t="s">
        <v>26</v>
      </c>
      <c r="C53">
        <v>3</v>
      </c>
      <c r="D53" t="s">
        <v>32</v>
      </c>
      <c r="E53" t="s">
        <v>13</v>
      </c>
      <c r="F53" t="s">
        <v>36</v>
      </c>
      <c r="G53">
        <v>21</v>
      </c>
      <c r="H53">
        <v>0</v>
      </c>
      <c r="I53">
        <v>0</v>
      </c>
      <c r="J53">
        <v>7.8</v>
      </c>
      <c r="K53" t="s">
        <v>14</v>
      </c>
      <c r="L53" t="s">
        <v>15</v>
      </c>
      <c r="M53" t="s">
        <v>37</v>
      </c>
      <c r="N53" t="b">
        <v>1</v>
      </c>
      <c r="O53" t="s">
        <v>16</v>
      </c>
      <c r="P53" t="s">
        <v>17</v>
      </c>
      <c r="Q53" t="s">
        <v>38</v>
      </c>
      <c r="R53" t="b">
        <v>1</v>
      </c>
    </row>
    <row r="54" spans="1:18" x14ac:dyDescent="0.3">
      <c r="A54">
        <v>1</v>
      </c>
      <c r="B54" t="s">
        <v>27</v>
      </c>
      <c r="C54">
        <v>1</v>
      </c>
      <c r="D54" t="s">
        <v>30</v>
      </c>
      <c r="E54" t="s">
        <v>18</v>
      </c>
      <c r="F54" t="s">
        <v>39</v>
      </c>
      <c r="G54">
        <v>49</v>
      </c>
      <c r="H54">
        <v>1</v>
      </c>
      <c r="I54">
        <v>0</v>
      </c>
      <c r="J54">
        <v>76.729200000000006</v>
      </c>
      <c r="K54" t="s">
        <v>19</v>
      </c>
      <c r="L54" t="s">
        <v>20</v>
      </c>
      <c r="M54" t="s">
        <v>40</v>
      </c>
      <c r="N54" t="b">
        <v>0</v>
      </c>
      <c r="O54" t="s">
        <v>21</v>
      </c>
      <c r="P54" t="s">
        <v>22</v>
      </c>
      <c r="Q54" t="s">
        <v>41</v>
      </c>
      <c r="R54" t="b">
        <v>0</v>
      </c>
    </row>
    <row r="55" spans="1:18" x14ac:dyDescent="0.3">
      <c r="A55">
        <v>1</v>
      </c>
      <c r="B55" t="s">
        <v>27</v>
      </c>
      <c r="C55">
        <v>2</v>
      </c>
      <c r="D55" t="s">
        <v>31</v>
      </c>
      <c r="E55" t="s">
        <v>18</v>
      </c>
      <c r="F55" t="s">
        <v>39</v>
      </c>
      <c r="G55">
        <v>29</v>
      </c>
      <c r="H55">
        <v>1</v>
      </c>
      <c r="I55">
        <v>0</v>
      </c>
      <c r="J55">
        <v>26</v>
      </c>
      <c r="K55" t="s">
        <v>25</v>
      </c>
      <c r="L55" t="s">
        <v>20</v>
      </c>
      <c r="M55" t="s">
        <v>40</v>
      </c>
      <c r="N55" t="b">
        <v>0</v>
      </c>
      <c r="O55" t="s">
        <v>16</v>
      </c>
      <c r="P55" t="s">
        <v>22</v>
      </c>
      <c r="Q55" t="s">
        <v>41</v>
      </c>
      <c r="R55" t="b">
        <v>0</v>
      </c>
    </row>
    <row r="56" spans="1:18" x14ac:dyDescent="0.3">
      <c r="A56">
        <v>0</v>
      </c>
      <c r="B56" t="s">
        <v>26</v>
      </c>
      <c r="C56">
        <v>1</v>
      </c>
      <c r="D56" t="s">
        <v>30</v>
      </c>
      <c r="E56" t="s">
        <v>13</v>
      </c>
      <c r="F56" t="s">
        <v>36</v>
      </c>
      <c r="G56">
        <v>65</v>
      </c>
      <c r="H56">
        <v>0</v>
      </c>
      <c r="I56">
        <v>1</v>
      </c>
      <c r="J56">
        <v>61.979199999999999</v>
      </c>
      <c r="K56" t="s">
        <v>19</v>
      </c>
      <c r="L56" t="s">
        <v>15</v>
      </c>
      <c r="M56" t="s">
        <v>37</v>
      </c>
      <c r="N56" t="b">
        <v>1</v>
      </c>
      <c r="O56" t="s">
        <v>21</v>
      </c>
      <c r="P56" t="s">
        <v>17</v>
      </c>
      <c r="Q56" t="s">
        <v>38</v>
      </c>
      <c r="R56" t="b">
        <v>0</v>
      </c>
    </row>
    <row r="57" spans="1:18" x14ac:dyDescent="0.3">
      <c r="A57">
        <v>1</v>
      </c>
      <c r="B57" t="s">
        <v>27</v>
      </c>
      <c r="C57">
        <v>1</v>
      </c>
      <c r="D57" t="s">
        <v>30</v>
      </c>
      <c r="E57" t="s">
        <v>13</v>
      </c>
      <c r="F57" t="s">
        <v>36</v>
      </c>
      <c r="G57">
        <v>30</v>
      </c>
      <c r="H57">
        <v>0</v>
      </c>
      <c r="I57">
        <v>0</v>
      </c>
      <c r="J57">
        <v>35.5</v>
      </c>
      <c r="K57" t="s">
        <v>19</v>
      </c>
      <c r="L57" t="s">
        <v>15</v>
      </c>
      <c r="M57" t="s">
        <v>37</v>
      </c>
      <c r="N57" t="b">
        <v>1</v>
      </c>
      <c r="O57" t="s">
        <v>16</v>
      </c>
      <c r="P57" t="s">
        <v>22</v>
      </c>
      <c r="Q57" t="s">
        <v>41</v>
      </c>
      <c r="R57" t="b">
        <v>1</v>
      </c>
    </row>
    <row r="58" spans="1:18" x14ac:dyDescent="0.3">
      <c r="A58">
        <v>1</v>
      </c>
      <c r="B58" t="s">
        <v>27</v>
      </c>
      <c r="C58">
        <v>2</v>
      </c>
      <c r="D58" t="s">
        <v>31</v>
      </c>
      <c r="E58" t="s">
        <v>18</v>
      </c>
      <c r="F58" t="s">
        <v>39</v>
      </c>
      <c r="G58">
        <v>21</v>
      </c>
      <c r="H58">
        <v>0</v>
      </c>
      <c r="I58">
        <v>0</v>
      </c>
      <c r="J58">
        <v>10.5</v>
      </c>
      <c r="K58" t="s">
        <v>25</v>
      </c>
      <c r="L58" t="s">
        <v>20</v>
      </c>
      <c r="M58" t="s">
        <v>40</v>
      </c>
      <c r="N58" t="b">
        <v>0</v>
      </c>
      <c r="O58" t="s">
        <v>16</v>
      </c>
      <c r="P58" t="s">
        <v>22</v>
      </c>
      <c r="Q58" t="s">
        <v>41</v>
      </c>
      <c r="R58" t="b">
        <v>1</v>
      </c>
    </row>
    <row r="59" spans="1:18" x14ac:dyDescent="0.3">
      <c r="A59">
        <v>0</v>
      </c>
      <c r="B59" t="s">
        <v>26</v>
      </c>
      <c r="C59">
        <v>3</v>
      </c>
      <c r="D59" t="s">
        <v>32</v>
      </c>
      <c r="E59" t="s">
        <v>13</v>
      </c>
      <c r="F59" t="s">
        <v>36</v>
      </c>
      <c r="G59">
        <v>28.5</v>
      </c>
      <c r="H59">
        <v>0</v>
      </c>
      <c r="I59">
        <v>0</v>
      </c>
      <c r="J59">
        <v>7.2291999999999996</v>
      </c>
      <c r="K59" t="s">
        <v>14</v>
      </c>
      <c r="L59" t="s">
        <v>15</v>
      </c>
      <c r="M59" t="s">
        <v>37</v>
      </c>
      <c r="N59" t="b">
        <v>1</v>
      </c>
      <c r="O59" t="s">
        <v>21</v>
      </c>
      <c r="P59" t="s">
        <v>17</v>
      </c>
      <c r="Q59" t="s">
        <v>38</v>
      </c>
      <c r="R59" t="b">
        <v>1</v>
      </c>
    </row>
    <row r="60" spans="1:18" x14ac:dyDescent="0.3">
      <c r="A60">
        <v>1</v>
      </c>
      <c r="B60" t="s">
        <v>27</v>
      </c>
      <c r="C60">
        <v>2</v>
      </c>
      <c r="D60" t="s">
        <v>31</v>
      </c>
      <c r="E60" t="s">
        <v>18</v>
      </c>
      <c r="F60" t="s">
        <v>39</v>
      </c>
      <c r="G60">
        <v>5</v>
      </c>
      <c r="H60">
        <v>1</v>
      </c>
      <c r="I60">
        <v>2</v>
      </c>
      <c r="J60">
        <v>27.75</v>
      </c>
      <c r="K60" t="s">
        <v>25</v>
      </c>
      <c r="L60" t="s">
        <v>24</v>
      </c>
      <c r="M60" t="s">
        <v>42</v>
      </c>
      <c r="N60" t="b">
        <v>0</v>
      </c>
      <c r="O60" t="s">
        <v>16</v>
      </c>
      <c r="P60" t="s">
        <v>22</v>
      </c>
      <c r="Q60" t="s">
        <v>41</v>
      </c>
      <c r="R60" t="b">
        <v>0</v>
      </c>
    </row>
    <row r="61" spans="1:18" x14ac:dyDescent="0.3">
      <c r="A61">
        <v>0</v>
      </c>
      <c r="B61" t="s">
        <v>26</v>
      </c>
      <c r="C61">
        <v>3</v>
      </c>
      <c r="D61" t="s">
        <v>32</v>
      </c>
      <c r="E61" t="s">
        <v>13</v>
      </c>
      <c r="F61" t="s">
        <v>36</v>
      </c>
      <c r="G61">
        <v>11</v>
      </c>
      <c r="H61">
        <v>5</v>
      </c>
      <c r="I61">
        <v>2</v>
      </c>
      <c r="J61">
        <v>46.9</v>
      </c>
      <c r="K61" t="s">
        <v>14</v>
      </c>
      <c r="L61" t="s">
        <v>24</v>
      </c>
      <c r="M61" t="s">
        <v>42</v>
      </c>
      <c r="N61" t="b">
        <v>0</v>
      </c>
      <c r="O61" t="s">
        <v>16</v>
      </c>
      <c r="P61" t="s">
        <v>17</v>
      </c>
      <c r="Q61" t="s">
        <v>38</v>
      </c>
      <c r="R61" t="b">
        <v>0</v>
      </c>
    </row>
    <row r="62" spans="1:18" x14ac:dyDescent="0.3">
      <c r="A62">
        <v>0</v>
      </c>
      <c r="B62" t="s">
        <v>26</v>
      </c>
      <c r="C62">
        <v>3</v>
      </c>
      <c r="D62" t="s">
        <v>32</v>
      </c>
      <c r="E62" t="s">
        <v>13</v>
      </c>
      <c r="F62" t="s">
        <v>36</v>
      </c>
      <c r="G62">
        <v>22</v>
      </c>
      <c r="H62">
        <v>0</v>
      </c>
      <c r="I62">
        <v>0</v>
      </c>
      <c r="J62">
        <v>7.2291999999999996</v>
      </c>
      <c r="K62" t="s">
        <v>14</v>
      </c>
      <c r="L62" t="s">
        <v>15</v>
      </c>
      <c r="M62" t="s">
        <v>37</v>
      </c>
      <c r="N62" t="b">
        <v>1</v>
      </c>
      <c r="O62" t="s">
        <v>21</v>
      </c>
      <c r="P62" t="s">
        <v>17</v>
      </c>
      <c r="Q62" t="s">
        <v>38</v>
      </c>
      <c r="R62" t="b">
        <v>1</v>
      </c>
    </row>
    <row r="63" spans="1:18" x14ac:dyDescent="0.3">
      <c r="A63">
        <v>1</v>
      </c>
      <c r="B63" t="s">
        <v>27</v>
      </c>
      <c r="C63">
        <v>1</v>
      </c>
      <c r="D63" t="s">
        <v>30</v>
      </c>
      <c r="E63" t="s">
        <v>18</v>
      </c>
      <c r="F63" t="s">
        <v>39</v>
      </c>
      <c r="G63">
        <v>38</v>
      </c>
      <c r="H63">
        <v>0</v>
      </c>
      <c r="I63">
        <v>0</v>
      </c>
      <c r="J63">
        <v>80</v>
      </c>
      <c r="K63" t="s">
        <v>19</v>
      </c>
      <c r="L63" t="s">
        <v>20</v>
      </c>
      <c r="M63" t="s">
        <v>40</v>
      </c>
      <c r="N63" t="b">
        <v>0</v>
      </c>
      <c r="O63" t="s">
        <v>16</v>
      </c>
      <c r="P63" t="s">
        <v>22</v>
      </c>
      <c r="Q63" t="s">
        <v>41</v>
      </c>
      <c r="R63" t="b">
        <v>1</v>
      </c>
    </row>
    <row r="64" spans="1:18" x14ac:dyDescent="0.3">
      <c r="A64">
        <v>0</v>
      </c>
      <c r="B64" t="s">
        <v>26</v>
      </c>
      <c r="C64">
        <v>1</v>
      </c>
      <c r="D64" t="s">
        <v>30</v>
      </c>
      <c r="E64" t="s">
        <v>13</v>
      </c>
      <c r="F64" t="s">
        <v>36</v>
      </c>
      <c r="G64">
        <v>45</v>
      </c>
      <c r="H64">
        <v>1</v>
      </c>
      <c r="I64">
        <v>0</v>
      </c>
      <c r="J64">
        <v>83.474999999999994</v>
      </c>
      <c r="K64" t="s">
        <v>19</v>
      </c>
      <c r="L64" t="s">
        <v>15</v>
      </c>
      <c r="M64" t="s">
        <v>37</v>
      </c>
      <c r="N64" t="b">
        <v>1</v>
      </c>
      <c r="O64" t="s">
        <v>16</v>
      </c>
      <c r="P64" t="s">
        <v>17</v>
      </c>
      <c r="Q64" t="s">
        <v>38</v>
      </c>
      <c r="R64" t="b">
        <v>0</v>
      </c>
    </row>
    <row r="65" spans="1:18" x14ac:dyDescent="0.3">
      <c r="A65">
        <v>0</v>
      </c>
      <c r="B65" t="s">
        <v>26</v>
      </c>
      <c r="C65">
        <v>3</v>
      </c>
      <c r="D65" t="s">
        <v>32</v>
      </c>
      <c r="E65" t="s">
        <v>13</v>
      </c>
      <c r="F65" t="s">
        <v>36</v>
      </c>
      <c r="G65">
        <v>4</v>
      </c>
      <c r="H65">
        <v>3</v>
      </c>
      <c r="I65">
        <v>2</v>
      </c>
      <c r="J65">
        <v>27.9</v>
      </c>
      <c r="K65" t="s">
        <v>14</v>
      </c>
      <c r="L65" t="s">
        <v>24</v>
      </c>
      <c r="M65" t="s">
        <v>42</v>
      </c>
      <c r="N65" t="b">
        <v>0</v>
      </c>
      <c r="O65" t="s">
        <v>16</v>
      </c>
      <c r="P65" t="s">
        <v>17</v>
      </c>
      <c r="Q65" t="s">
        <v>38</v>
      </c>
      <c r="R65" t="b">
        <v>0</v>
      </c>
    </row>
    <row r="66" spans="1:18" x14ac:dyDescent="0.3">
      <c r="A66">
        <v>0</v>
      </c>
      <c r="B66" t="s">
        <v>26</v>
      </c>
      <c r="C66">
        <v>1</v>
      </c>
      <c r="D66" t="s">
        <v>30</v>
      </c>
      <c r="E66" t="s">
        <v>13</v>
      </c>
      <c r="F66" t="s">
        <v>36</v>
      </c>
      <c r="G66">
        <v>30</v>
      </c>
      <c r="H66">
        <v>0</v>
      </c>
      <c r="I66">
        <v>0</v>
      </c>
      <c r="J66">
        <v>27.720800000000001</v>
      </c>
      <c r="K66" t="s">
        <v>19</v>
      </c>
      <c r="L66" t="s">
        <v>15</v>
      </c>
      <c r="M66" t="s">
        <v>37</v>
      </c>
      <c r="N66" t="b">
        <v>1</v>
      </c>
      <c r="O66" t="s">
        <v>21</v>
      </c>
      <c r="P66" t="s">
        <v>17</v>
      </c>
      <c r="Q66" t="s">
        <v>38</v>
      </c>
      <c r="R66" t="b">
        <v>1</v>
      </c>
    </row>
    <row r="67" spans="1:18" x14ac:dyDescent="0.3">
      <c r="A67">
        <v>1</v>
      </c>
      <c r="B67" t="s">
        <v>27</v>
      </c>
      <c r="C67">
        <v>3</v>
      </c>
      <c r="D67" t="s">
        <v>32</v>
      </c>
      <c r="E67" t="s">
        <v>13</v>
      </c>
      <c r="F67" t="s">
        <v>36</v>
      </c>
      <c r="G67">
        <v>30</v>
      </c>
      <c r="H67">
        <v>1</v>
      </c>
      <c r="I67">
        <v>1</v>
      </c>
      <c r="J67">
        <v>15.245799999999999</v>
      </c>
      <c r="K67" t="s">
        <v>14</v>
      </c>
      <c r="L67" t="s">
        <v>15</v>
      </c>
      <c r="M67" t="s">
        <v>37</v>
      </c>
      <c r="N67" t="b">
        <v>1</v>
      </c>
      <c r="O67" t="s">
        <v>21</v>
      </c>
      <c r="P67" t="s">
        <v>22</v>
      </c>
      <c r="Q67" t="s">
        <v>41</v>
      </c>
      <c r="R67" t="b">
        <v>0</v>
      </c>
    </row>
    <row r="68" spans="1:18" x14ac:dyDescent="0.3">
      <c r="A68">
        <v>1</v>
      </c>
      <c r="B68" t="s">
        <v>27</v>
      </c>
      <c r="C68">
        <v>2</v>
      </c>
      <c r="D68" t="s">
        <v>31</v>
      </c>
      <c r="E68" t="s">
        <v>18</v>
      </c>
      <c r="F68" t="s">
        <v>39</v>
      </c>
      <c r="G68">
        <v>29</v>
      </c>
      <c r="H68">
        <v>0</v>
      </c>
      <c r="I68">
        <v>0</v>
      </c>
      <c r="J68">
        <v>10.5</v>
      </c>
      <c r="K68" t="s">
        <v>25</v>
      </c>
      <c r="L68" t="s">
        <v>20</v>
      </c>
      <c r="M68" t="s">
        <v>40</v>
      </c>
      <c r="N68" t="b">
        <v>0</v>
      </c>
      <c r="O68" t="s">
        <v>16</v>
      </c>
      <c r="P68" t="s">
        <v>22</v>
      </c>
      <c r="Q68" t="s">
        <v>41</v>
      </c>
      <c r="R68" t="b">
        <v>1</v>
      </c>
    </row>
    <row r="69" spans="1:18" x14ac:dyDescent="0.3">
      <c r="A69">
        <v>0</v>
      </c>
      <c r="B69" t="s">
        <v>26</v>
      </c>
      <c r="C69">
        <v>3</v>
      </c>
      <c r="D69" t="s">
        <v>32</v>
      </c>
      <c r="E69" t="s">
        <v>13</v>
      </c>
      <c r="F69" t="s">
        <v>36</v>
      </c>
      <c r="G69">
        <v>19</v>
      </c>
      <c r="H69">
        <v>0</v>
      </c>
      <c r="I69">
        <v>0</v>
      </c>
      <c r="J69">
        <v>8.1583000000000006</v>
      </c>
      <c r="K69" t="s">
        <v>14</v>
      </c>
      <c r="L69" t="s">
        <v>15</v>
      </c>
      <c r="M69" t="s">
        <v>37</v>
      </c>
      <c r="N69" t="b">
        <v>1</v>
      </c>
      <c r="O69" t="s">
        <v>16</v>
      </c>
      <c r="P69" t="s">
        <v>17</v>
      </c>
      <c r="Q69" t="s">
        <v>38</v>
      </c>
      <c r="R69" t="b">
        <v>1</v>
      </c>
    </row>
    <row r="70" spans="1:18" x14ac:dyDescent="0.3">
      <c r="A70">
        <v>1</v>
      </c>
      <c r="B70" t="s">
        <v>27</v>
      </c>
      <c r="C70">
        <v>3</v>
      </c>
      <c r="D70" t="s">
        <v>32</v>
      </c>
      <c r="E70" t="s">
        <v>18</v>
      </c>
      <c r="F70" t="s">
        <v>39</v>
      </c>
      <c r="G70">
        <v>17</v>
      </c>
      <c r="H70">
        <v>4</v>
      </c>
      <c r="I70">
        <v>2</v>
      </c>
      <c r="J70">
        <v>7.9249999999999998</v>
      </c>
      <c r="K70" t="s">
        <v>14</v>
      </c>
      <c r="L70" t="s">
        <v>20</v>
      </c>
      <c r="M70" t="s">
        <v>40</v>
      </c>
      <c r="N70" t="b">
        <v>0</v>
      </c>
      <c r="O70" t="s">
        <v>16</v>
      </c>
      <c r="P70" t="s">
        <v>22</v>
      </c>
      <c r="Q70" t="s">
        <v>41</v>
      </c>
      <c r="R70" t="b">
        <v>0</v>
      </c>
    </row>
    <row r="71" spans="1:18" x14ac:dyDescent="0.3">
      <c r="A71">
        <v>0</v>
      </c>
      <c r="B71" t="s">
        <v>26</v>
      </c>
      <c r="C71">
        <v>3</v>
      </c>
      <c r="D71" t="s">
        <v>32</v>
      </c>
      <c r="E71" t="s">
        <v>13</v>
      </c>
      <c r="F71" t="s">
        <v>36</v>
      </c>
      <c r="G71">
        <v>26</v>
      </c>
      <c r="H71">
        <v>2</v>
      </c>
      <c r="I71">
        <v>0</v>
      </c>
      <c r="J71">
        <v>8.6624999999999996</v>
      </c>
      <c r="K71" t="s">
        <v>14</v>
      </c>
      <c r="L71" t="s">
        <v>15</v>
      </c>
      <c r="M71" t="s">
        <v>37</v>
      </c>
      <c r="N71" t="b">
        <v>1</v>
      </c>
      <c r="O71" t="s">
        <v>16</v>
      </c>
      <c r="P71" t="s">
        <v>17</v>
      </c>
      <c r="Q71" t="s">
        <v>38</v>
      </c>
      <c r="R71" t="b">
        <v>0</v>
      </c>
    </row>
    <row r="72" spans="1:18" x14ac:dyDescent="0.3">
      <c r="A72">
        <v>0</v>
      </c>
      <c r="B72" t="s">
        <v>26</v>
      </c>
      <c r="C72">
        <v>2</v>
      </c>
      <c r="D72" t="s">
        <v>31</v>
      </c>
      <c r="E72" t="s">
        <v>13</v>
      </c>
      <c r="F72" t="s">
        <v>36</v>
      </c>
      <c r="G72">
        <v>32</v>
      </c>
      <c r="H72">
        <v>0</v>
      </c>
      <c r="I72">
        <v>0</v>
      </c>
      <c r="J72">
        <v>10.5</v>
      </c>
      <c r="K72" t="s">
        <v>25</v>
      </c>
      <c r="L72" t="s">
        <v>15</v>
      </c>
      <c r="M72" t="s">
        <v>37</v>
      </c>
      <c r="N72" t="b">
        <v>1</v>
      </c>
      <c r="O72" t="s">
        <v>16</v>
      </c>
      <c r="P72" t="s">
        <v>17</v>
      </c>
      <c r="Q72" t="s">
        <v>38</v>
      </c>
      <c r="R72" t="b">
        <v>1</v>
      </c>
    </row>
    <row r="73" spans="1:18" x14ac:dyDescent="0.3">
      <c r="A73">
        <v>0</v>
      </c>
      <c r="B73" t="s">
        <v>26</v>
      </c>
      <c r="C73">
        <v>3</v>
      </c>
      <c r="D73" t="s">
        <v>32</v>
      </c>
      <c r="E73" t="s">
        <v>18</v>
      </c>
      <c r="F73" t="s">
        <v>39</v>
      </c>
      <c r="G73">
        <v>16</v>
      </c>
      <c r="H73">
        <v>5</v>
      </c>
      <c r="I73">
        <v>2</v>
      </c>
      <c r="J73">
        <v>46.9</v>
      </c>
      <c r="K73" t="s">
        <v>14</v>
      </c>
      <c r="L73" t="s">
        <v>20</v>
      </c>
      <c r="M73" t="s">
        <v>40</v>
      </c>
      <c r="N73" t="b">
        <v>0</v>
      </c>
      <c r="O73" t="s">
        <v>16</v>
      </c>
      <c r="P73" t="s">
        <v>17</v>
      </c>
      <c r="Q73" t="s">
        <v>38</v>
      </c>
      <c r="R73" t="b">
        <v>0</v>
      </c>
    </row>
    <row r="74" spans="1:18" x14ac:dyDescent="0.3">
      <c r="A74">
        <v>0</v>
      </c>
      <c r="B74" t="s">
        <v>26</v>
      </c>
      <c r="C74">
        <v>2</v>
      </c>
      <c r="D74" t="s">
        <v>31</v>
      </c>
      <c r="E74" t="s">
        <v>13</v>
      </c>
      <c r="F74" t="s">
        <v>36</v>
      </c>
      <c r="G74">
        <v>21</v>
      </c>
      <c r="H74">
        <v>0</v>
      </c>
      <c r="I74">
        <v>0</v>
      </c>
      <c r="J74">
        <v>73.5</v>
      </c>
      <c r="K74" t="s">
        <v>25</v>
      </c>
      <c r="L74" t="s">
        <v>15</v>
      </c>
      <c r="M74" t="s">
        <v>37</v>
      </c>
      <c r="N74" t="b">
        <v>1</v>
      </c>
      <c r="O74" t="s">
        <v>16</v>
      </c>
      <c r="P74" t="s">
        <v>17</v>
      </c>
      <c r="Q74" t="s">
        <v>38</v>
      </c>
      <c r="R74" t="b">
        <v>1</v>
      </c>
    </row>
    <row r="75" spans="1:18" x14ac:dyDescent="0.3">
      <c r="A75">
        <v>0</v>
      </c>
      <c r="B75" t="s">
        <v>26</v>
      </c>
      <c r="C75">
        <v>3</v>
      </c>
      <c r="D75" t="s">
        <v>32</v>
      </c>
      <c r="E75" t="s">
        <v>13</v>
      </c>
      <c r="F75" t="s">
        <v>36</v>
      </c>
      <c r="G75">
        <v>26</v>
      </c>
      <c r="H75">
        <v>1</v>
      </c>
      <c r="I75">
        <v>0</v>
      </c>
      <c r="J75">
        <v>14.4542</v>
      </c>
      <c r="K75" t="s">
        <v>14</v>
      </c>
      <c r="L75" t="s">
        <v>15</v>
      </c>
      <c r="M75" t="s">
        <v>37</v>
      </c>
      <c r="N75" t="b">
        <v>1</v>
      </c>
      <c r="O75" t="s">
        <v>21</v>
      </c>
      <c r="P75" t="s">
        <v>17</v>
      </c>
      <c r="Q75" t="s">
        <v>38</v>
      </c>
      <c r="R75" t="b">
        <v>0</v>
      </c>
    </row>
    <row r="76" spans="1:18" x14ac:dyDescent="0.3">
      <c r="A76">
        <v>1</v>
      </c>
      <c r="B76" t="s">
        <v>27</v>
      </c>
      <c r="C76">
        <v>3</v>
      </c>
      <c r="D76" t="s">
        <v>32</v>
      </c>
      <c r="E76" t="s">
        <v>13</v>
      </c>
      <c r="F76" t="s">
        <v>36</v>
      </c>
      <c r="G76">
        <v>32</v>
      </c>
      <c r="H76">
        <v>0</v>
      </c>
      <c r="I76">
        <v>0</v>
      </c>
      <c r="J76">
        <v>56.495800000000003</v>
      </c>
      <c r="K76" t="s">
        <v>14</v>
      </c>
      <c r="L76" t="s">
        <v>15</v>
      </c>
      <c r="M76" t="s">
        <v>37</v>
      </c>
      <c r="N76" t="b">
        <v>1</v>
      </c>
      <c r="O76" t="s">
        <v>16</v>
      </c>
      <c r="P76" t="s">
        <v>22</v>
      </c>
      <c r="Q76" t="s">
        <v>41</v>
      </c>
      <c r="R76" t="b">
        <v>1</v>
      </c>
    </row>
    <row r="77" spans="1:18" x14ac:dyDescent="0.3">
      <c r="A77">
        <v>0</v>
      </c>
      <c r="B77" t="s">
        <v>26</v>
      </c>
      <c r="C77">
        <v>3</v>
      </c>
      <c r="D77" t="s">
        <v>32</v>
      </c>
      <c r="E77" t="s">
        <v>13</v>
      </c>
      <c r="F77" t="s">
        <v>36</v>
      </c>
      <c r="G77">
        <v>25</v>
      </c>
      <c r="H77">
        <v>0</v>
      </c>
      <c r="I77">
        <v>0</v>
      </c>
      <c r="J77">
        <v>7.65</v>
      </c>
      <c r="K77" t="s">
        <v>14</v>
      </c>
      <c r="L77" t="s">
        <v>15</v>
      </c>
      <c r="M77" t="s">
        <v>37</v>
      </c>
      <c r="N77" t="b">
        <v>1</v>
      </c>
      <c r="O77" t="s">
        <v>16</v>
      </c>
      <c r="P77" t="s">
        <v>17</v>
      </c>
      <c r="Q77" t="s">
        <v>38</v>
      </c>
      <c r="R77" t="b">
        <v>1</v>
      </c>
    </row>
    <row r="78" spans="1:18" x14ac:dyDescent="0.3">
      <c r="A78">
        <v>0</v>
      </c>
      <c r="B78" t="s">
        <v>26</v>
      </c>
      <c r="C78">
        <v>3</v>
      </c>
      <c r="D78" t="s">
        <v>32</v>
      </c>
      <c r="E78" t="s">
        <v>13</v>
      </c>
      <c r="F78" t="s">
        <v>36</v>
      </c>
      <c r="G78">
        <v>30</v>
      </c>
      <c r="H78">
        <v>0</v>
      </c>
      <c r="I78">
        <v>0</v>
      </c>
      <c r="J78">
        <v>7.8958000000000004</v>
      </c>
      <c r="K78" t="s">
        <v>14</v>
      </c>
      <c r="L78" t="s">
        <v>15</v>
      </c>
      <c r="M78" t="s">
        <v>37</v>
      </c>
      <c r="N78" t="b">
        <v>1</v>
      </c>
      <c r="O78" t="s">
        <v>16</v>
      </c>
      <c r="P78" t="s">
        <v>17</v>
      </c>
      <c r="Q78" t="s">
        <v>38</v>
      </c>
      <c r="R78" t="b">
        <v>1</v>
      </c>
    </row>
    <row r="79" spans="1:18" x14ac:dyDescent="0.3">
      <c r="A79">
        <v>0</v>
      </c>
      <c r="B79" t="s">
        <v>26</v>
      </c>
      <c r="C79">
        <v>3</v>
      </c>
      <c r="D79" t="s">
        <v>32</v>
      </c>
      <c r="E79" t="s">
        <v>13</v>
      </c>
      <c r="F79" t="s">
        <v>36</v>
      </c>
      <c r="G79">
        <v>30</v>
      </c>
      <c r="H79">
        <v>0</v>
      </c>
      <c r="I79">
        <v>0</v>
      </c>
      <c r="J79">
        <v>8.0500000000000007</v>
      </c>
      <c r="K79" t="s">
        <v>14</v>
      </c>
      <c r="L79" t="s">
        <v>15</v>
      </c>
      <c r="M79" t="s">
        <v>37</v>
      </c>
      <c r="N79" t="b">
        <v>1</v>
      </c>
      <c r="O79" t="s">
        <v>16</v>
      </c>
      <c r="P79" t="s">
        <v>17</v>
      </c>
      <c r="Q79" t="s">
        <v>38</v>
      </c>
      <c r="R79" t="b">
        <v>1</v>
      </c>
    </row>
    <row r="80" spans="1:18" x14ac:dyDescent="0.3">
      <c r="A80">
        <v>1</v>
      </c>
      <c r="B80" t="s">
        <v>27</v>
      </c>
      <c r="C80">
        <v>2</v>
      </c>
      <c r="D80" t="s">
        <v>31</v>
      </c>
      <c r="E80" t="s">
        <v>13</v>
      </c>
      <c r="F80" t="s">
        <v>36</v>
      </c>
      <c r="G80">
        <v>0.83</v>
      </c>
      <c r="H80">
        <v>0</v>
      </c>
      <c r="I80">
        <v>2</v>
      </c>
      <c r="J80">
        <v>29</v>
      </c>
      <c r="K80" t="s">
        <v>25</v>
      </c>
      <c r="L80" t="s">
        <v>24</v>
      </c>
      <c r="M80" t="s">
        <v>42</v>
      </c>
      <c r="N80" t="b">
        <v>0</v>
      </c>
      <c r="O80" t="s">
        <v>16</v>
      </c>
      <c r="P80" t="s">
        <v>22</v>
      </c>
      <c r="Q80" t="s">
        <v>41</v>
      </c>
      <c r="R80" t="b">
        <v>0</v>
      </c>
    </row>
    <row r="81" spans="1:18" x14ac:dyDescent="0.3">
      <c r="A81">
        <v>1</v>
      </c>
      <c r="B81" t="s">
        <v>27</v>
      </c>
      <c r="C81">
        <v>3</v>
      </c>
      <c r="D81" t="s">
        <v>32</v>
      </c>
      <c r="E81" t="s">
        <v>18</v>
      </c>
      <c r="F81" t="s">
        <v>39</v>
      </c>
      <c r="G81">
        <v>30</v>
      </c>
      <c r="H81">
        <v>0</v>
      </c>
      <c r="I81">
        <v>0</v>
      </c>
      <c r="J81">
        <v>12.475</v>
      </c>
      <c r="K81" t="s">
        <v>14</v>
      </c>
      <c r="L81" t="s">
        <v>20</v>
      </c>
      <c r="M81" t="s">
        <v>40</v>
      </c>
      <c r="N81" t="b">
        <v>0</v>
      </c>
      <c r="O81" t="s">
        <v>16</v>
      </c>
      <c r="P81" t="s">
        <v>22</v>
      </c>
      <c r="Q81" t="s">
        <v>41</v>
      </c>
      <c r="R81" t="b">
        <v>1</v>
      </c>
    </row>
    <row r="82" spans="1:18" x14ac:dyDescent="0.3">
      <c r="A82">
        <v>0</v>
      </c>
      <c r="B82" t="s">
        <v>26</v>
      </c>
      <c r="C82">
        <v>3</v>
      </c>
      <c r="D82" t="s">
        <v>32</v>
      </c>
      <c r="E82" t="s">
        <v>13</v>
      </c>
      <c r="F82" t="s">
        <v>36</v>
      </c>
      <c r="G82">
        <v>22</v>
      </c>
      <c r="H82">
        <v>0</v>
      </c>
      <c r="I82">
        <v>0</v>
      </c>
      <c r="J82">
        <v>9</v>
      </c>
      <c r="K82" t="s">
        <v>14</v>
      </c>
      <c r="L82" t="s">
        <v>15</v>
      </c>
      <c r="M82" t="s">
        <v>37</v>
      </c>
      <c r="N82" t="b">
        <v>1</v>
      </c>
      <c r="O82" t="s">
        <v>16</v>
      </c>
      <c r="P82" t="s">
        <v>17</v>
      </c>
      <c r="Q82" t="s">
        <v>38</v>
      </c>
      <c r="R82" t="b">
        <v>1</v>
      </c>
    </row>
    <row r="83" spans="1:18" x14ac:dyDescent="0.3">
      <c r="A83">
        <v>1</v>
      </c>
      <c r="B83" t="s">
        <v>27</v>
      </c>
      <c r="C83">
        <v>3</v>
      </c>
      <c r="D83" t="s">
        <v>32</v>
      </c>
      <c r="E83" t="s">
        <v>13</v>
      </c>
      <c r="F83" t="s">
        <v>36</v>
      </c>
      <c r="G83">
        <v>29</v>
      </c>
      <c r="H83">
        <v>0</v>
      </c>
      <c r="I83">
        <v>0</v>
      </c>
      <c r="J83">
        <v>9.5</v>
      </c>
      <c r="K83" t="s">
        <v>14</v>
      </c>
      <c r="L83" t="s">
        <v>15</v>
      </c>
      <c r="M83" t="s">
        <v>37</v>
      </c>
      <c r="N83" t="b">
        <v>1</v>
      </c>
      <c r="O83" t="s">
        <v>16</v>
      </c>
      <c r="P83" t="s">
        <v>22</v>
      </c>
      <c r="Q83" t="s">
        <v>41</v>
      </c>
      <c r="R83" t="b">
        <v>1</v>
      </c>
    </row>
    <row r="84" spans="1:18" x14ac:dyDescent="0.3">
      <c r="A84">
        <v>1</v>
      </c>
      <c r="B84" t="s">
        <v>27</v>
      </c>
      <c r="C84">
        <v>3</v>
      </c>
      <c r="D84" t="s">
        <v>32</v>
      </c>
      <c r="E84" t="s">
        <v>18</v>
      </c>
      <c r="F84" t="s">
        <v>39</v>
      </c>
      <c r="G84">
        <v>30</v>
      </c>
      <c r="H84">
        <v>0</v>
      </c>
      <c r="I84">
        <v>0</v>
      </c>
      <c r="J84">
        <v>7.7874999999999996</v>
      </c>
      <c r="K84" t="s">
        <v>14</v>
      </c>
      <c r="L84" t="s">
        <v>20</v>
      </c>
      <c r="M84" t="s">
        <v>40</v>
      </c>
      <c r="N84" t="b">
        <v>0</v>
      </c>
      <c r="O84" t="s">
        <v>23</v>
      </c>
      <c r="P84" t="s">
        <v>22</v>
      </c>
      <c r="Q84" t="s">
        <v>41</v>
      </c>
      <c r="R84" t="b">
        <v>1</v>
      </c>
    </row>
    <row r="85" spans="1:18" x14ac:dyDescent="0.3">
      <c r="A85">
        <v>0</v>
      </c>
      <c r="B85" t="s">
        <v>26</v>
      </c>
      <c r="C85">
        <v>1</v>
      </c>
      <c r="D85" t="s">
        <v>30</v>
      </c>
      <c r="E85" t="s">
        <v>13</v>
      </c>
      <c r="F85" t="s">
        <v>36</v>
      </c>
      <c r="G85">
        <v>28</v>
      </c>
      <c r="H85">
        <v>0</v>
      </c>
      <c r="I85">
        <v>0</v>
      </c>
      <c r="J85">
        <v>47.1</v>
      </c>
      <c r="K85" t="s">
        <v>19</v>
      </c>
      <c r="L85" t="s">
        <v>15</v>
      </c>
      <c r="M85" t="s">
        <v>37</v>
      </c>
      <c r="N85" t="b">
        <v>1</v>
      </c>
      <c r="O85" t="s">
        <v>16</v>
      </c>
      <c r="P85" t="s">
        <v>17</v>
      </c>
      <c r="Q85" t="s">
        <v>38</v>
      </c>
      <c r="R85" t="b">
        <v>1</v>
      </c>
    </row>
    <row r="86" spans="1:18" x14ac:dyDescent="0.3">
      <c r="A86">
        <v>1</v>
      </c>
      <c r="B86" t="s">
        <v>27</v>
      </c>
      <c r="C86">
        <v>2</v>
      </c>
      <c r="D86" t="s">
        <v>31</v>
      </c>
      <c r="E86" t="s">
        <v>18</v>
      </c>
      <c r="F86" t="s">
        <v>39</v>
      </c>
      <c r="G86">
        <v>17</v>
      </c>
      <c r="H86">
        <v>0</v>
      </c>
      <c r="I86">
        <v>0</v>
      </c>
      <c r="J86">
        <v>10.5</v>
      </c>
      <c r="K86" t="s">
        <v>25</v>
      </c>
      <c r="L86" t="s">
        <v>20</v>
      </c>
      <c r="M86" t="s">
        <v>40</v>
      </c>
      <c r="N86" t="b">
        <v>0</v>
      </c>
      <c r="O86" t="s">
        <v>16</v>
      </c>
      <c r="P86" t="s">
        <v>22</v>
      </c>
      <c r="Q86" t="s">
        <v>41</v>
      </c>
      <c r="R86" t="b">
        <v>1</v>
      </c>
    </row>
    <row r="87" spans="1:18" x14ac:dyDescent="0.3">
      <c r="A87">
        <v>1</v>
      </c>
      <c r="B87" t="s">
        <v>27</v>
      </c>
      <c r="C87">
        <v>3</v>
      </c>
      <c r="D87" t="s">
        <v>32</v>
      </c>
      <c r="E87" t="s">
        <v>18</v>
      </c>
      <c r="F87" t="s">
        <v>39</v>
      </c>
      <c r="G87">
        <v>33</v>
      </c>
      <c r="H87">
        <v>3</v>
      </c>
      <c r="I87">
        <v>0</v>
      </c>
      <c r="J87">
        <v>15.85</v>
      </c>
      <c r="K87" t="s">
        <v>14</v>
      </c>
      <c r="L87" t="s">
        <v>20</v>
      </c>
      <c r="M87" t="s">
        <v>40</v>
      </c>
      <c r="N87" t="b">
        <v>0</v>
      </c>
      <c r="O87" t="s">
        <v>16</v>
      </c>
      <c r="P87" t="s">
        <v>22</v>
      </c>
      <c r="Q87" t="s">
        <v>41</v>
      </c>
      <c r="R87" t="b">
        <v>0</v>
      </c>
    </row>
    <row r="88" spans="1:18" x14ac:dyDescent="0.3">
      <c r="A88">
        <v>0</v>
      </c>
      <c r="B88" t="s">
        <v>26</v>
      </c>
      <c r="C88">
        <v>3</v>
      </c>
      <c r="D88" t="s">
        <v>32</v>
      </c>
      <c r="E88" t="s">
        <v>13</v>
      </c>
      <c r="F88" t="s">
        <v>36</v>
      </c>
      <c r="G88">
        <v>16</v>
      </c>
      <c r="H88">
        <v>1</v>
      </c>
      <c r="I88">
        <v>3</v>
      </c>
      <c r="J88">
        <v>34.375</v>
      </c>
      <c r="K88" t="s">
        <v>14</v>
      </c>
      <c r="L88" t="s">
        <v>15</v>
      </c>
      <c r="M88" t="s">
        <v>37</v>
      </c>
      <c r="N88" t="b">
        <v>1</v>
      </c>
      <c r="O88" t="s">
        <v>16</v>
      </c>
      <c r="P88" t="s">
        <v>17</v>
      </c>
      <c r="Q88" t="s">
        <v>38</v>
      </c>
      <c r="R88" t="b">
        <v>0</v>
      </c>
    </row>
    <row r="89" spans="1:18" x14ac:dyDescent="0.3">
      <c r="A89">
        <v>0</v>
      </c>
      <c r="B89" t="s">
        <v>26</v>
      </c>
      <c r="C89">
        <v>3</v>
      </c>
      <c r="D89" t="s">
        <v>32</v>
      </c>
      <c r="E89" t="s">
        <v>13</v>
      </c>
      <c r="F89" t="s">
        <v>36</v>
      </c>
      <c r="G89">
        <v>30</v>
      </c>
      <c r="H89">
        <v>0</v>
      </c>
      <c r="I89">
        <v>0</v>
      </c>
      <c r="J89">
        <v>8.0500000000000007</v>
      </c>
      <c r="K89" t="s">
        <v>14</v>
      </c>
      <c r="L89" t="s">
        <v>15</v>
      </c>
      <c r="M89" t="s">
        <v>37</v>
      </c>
      <c r="N89" t="b">
        <v>1</v>
      </c>
      <c r="O89" t="s">
        <v>16</v>
      </c>
      <c r="P89" t="s">
        <v>17</v>
      </c>
      <c r="Q89" t="s">
        <v>38</v>
      </c>
      <c r="R89" t="b">
        <v>1</v>
      </c>
    </row>
    <row r="90" spans="1:18" x14ac:dyDescent="0.3">
      <c r="A90">
        <v>1</v>
      </c>
      <c r="B90" t="s">
        <v>27</v>
      </c>
      <c r="C90">
        <v>1</v>
      </c>
      <c r="D90" t="s">
        <v>30</v>
      </c>
      <c r="E90" t="s">
        <v>18</v>
      </c>
      <c r="F90" t="s">
        <v>39</v>
      </c>
      <c r="G90">
        <v>23</v>
      </c>
      <c r="H90">
        <v>3</v>
      </c>
      <c r="I90">
        <v>2</v>
      </c>
      <c r="J90">
        <v>263</v>
      </c>
      <c r="K90" t="s">
        <v>19</v>
      </c>
      <c r="L90" t="s">
        <v>20</v>
      </c>
      <c r="M90" t="s">
        <v>40</v>
      </c>
      <c r="N90" t="b">
        <v>0</v>
      </c>
      <c r="O90" t="s">
        <v>16</v>
      </c>
      <c r="P90" t="s">
        <v>22</v>
      </c>
      <c r="Q90" t="s">
        <v>41</v>
      </c>
      <c r="R90" t="b">
        <v>0</v>
      </c>
    </row>
    <row r="91" spans="1:18" x14ac:dyDescent="0.3">
      <c r="A91">
        <v>0</v>
      </c>
      <c r="B91" t="s">
        <v>26</v>
      </c>
      <c r="C91">
        <v>3</v>
      </c>
      <c r="D91" t="s">
        <v>32</v>
      </c>
      <c r="E91" t="s">
        <v>13</v>
      </c>
      <c r="F91" t="s">
        <v>36</v>
      </c>
      <c r="G91">
        <v>24</v>
      </c>
      <c r="H91">
        <v>0</v>
      </c>
      <c r="I91">
        <v>0</v>
      </c>
      <c r="J91">
        <v>8.0500000000000007</v>
      </c>
      <c r="K91" t="s">
        <v>14</v>
      </c>
      <c r="L91" t="s">
        <v>15</v>
      </c>
      <c r="M91" t="s">
        <v>37</v>
      </c>
      <c r="N91" t="b">
        <v>1</v>
      </c>
      <c r="O91" t="s">
        <v>16</v>
      </c>
      <c r="P91" t="s">
        <v>17</v>
      </c>
      <c r="Q91" t="s">
        <v>38</v>
      </c>
      <c r="R91" t="b">
        <v>1</v>
      </c>
    </row>
    <row r="92" spans="1:18" x14ac:dyDescent="0.3">
      <c r="A92">
        <v>0</v>
      </c>
      <c r="B92" t="s">
        <v>26</v>
      </c>
      <c r="C92">
        <v>3</v>
      </c>
      <c r="D92" t="s">
        <v>32</v>
      </c>
      <c r="E92" t="s">
        <v>13</v>
      </c>
      <c r="F92" t="s">
        <v>36</v>
      </c>
      <c r="G92">
        <v>29</v>
      </c>
      <c r="H92">
        <v>0</v>
      </c>
      <c r="I92">
        <v>0</v>
      </c>
      <c r="J92">
        <v>8.0500000000000007</v>
      </c>
      <c r="K92" t="s">
        <v>14</v>
      </c>
      <c r="L92" t="s">
        <v>15</v>
      </c>
      <c r="M92" t="s">
        <v>37</v>
      </c>
      <c r="N92" t="b">
        <v>1</v>
      </c>
      <c r="O92" t="s">
        <v>16</v>
      </c>
      <c r="P92" t="s">
        <v>17</v>
      </c>
      <c r="Q92" t="s">
        <v>38</v>
      </c>
      <c r="R92" t="b">
        <v>1</v>
      </c>
    </row>
    <row r="93" spans="1:18" x14ac:dyDescent="0.3">
      <c r="A93">
        <v>0</v>
      </c>
      <c r="B93" t="s">
        <v>26</v>
      </c>
      <c r="C93">
        <v>3</v>
      </c>
      <c r="D93" t="s">
        <v>32</v>
      </c>
      <c r="E93" t="s">
        <v>13</v>
      </c>
      <c r="F93" t="s">
        <v>36</v>
      </c>
      <c r="G93">
        <v>20</v>
      </c>
      <c r="H93">
        <v>0</v>
      </c>
      <c r="I93">
        <v>0</v>
      </c>
      <c r="J93">
        <v>7.8541999999999996</v>
      </c>
      <c r="K93" t="s">
        <v>14</v>
      </c>
      <c r="L93" t="s">
        <v>15</v>
      </c>
      <c r="M93" t="s">
        <v>37</v>
      </c>
      <c r="N93" t="b">
        <v>1</v>
      </c>
      <c r="O93" t="s">
        <v>16</v>
      </c>
      <c r="P93" t="s">
        <v>17</v>
      </c>
      <c r="Q93" t="s">
        <v>38</v>
      </c>
      <c r="R93" t="b">
        <v>1</v>
      </c>
    </row>
    <row r="94" spans="1:18" x14ac:dyDescent="0.3">
      <c r="A94">
        <v>0</v>
      </c>
      <c r="B94" t="s">
        <v>26</v>
      </c>
      <c r="C94">
        <v>1</v>
      </c>
      <c r="D94" t="s">
        <v>30</v>
      </c>
      <c r="E94" t="s">
        <v>13</v>
      </c>
      <c r="F94" t="s">
        <v>36</v>
      </c>
      <c r="G94">
        <v>46</v>
      </c>
      <c r="H94">
        <v>1</v>
      </c>
      <c r="I94">
        <v>0</v>
      </c>
      <c r="J94">
        <v>61.174999999999997</v>
      </c>
      <c r="K94" t="s">
        <v>19</v>
      </c>
      <c r="L94" t="s">
        <v>15</v>
      </c>
      <c r="M94" t="s">
        <v>37</v>
      </c>
      <c r="N94" t="b">
        <v>1</v>
      </c>
      <c r="O94" t="s">
        <v>16</v>
      </c>
      <c r="P94" t="s">
        <v>17</v>
      </c>
      <c r="Q94" t="s">
        <v>38</v>
      </c>
      <c r="R94" t="b">
        <v>0</v>
      </c>
    </row>
    <row r="95" spans="1:18" x14ac:dyDescent="0.3">
      <c r="A95">
        <v>0</v>
      </c>
      <c r="B95" t="s">
        <v>26</v>
      </c>
      <c r="C95">
        <v>3</v>
      </c>
      <c r="D95" t="s">
        <v>32</v>
      </c>
      <c r="E95" t="s">
        <v>13</v>
      </c>
      <c r="F95" t="s">
        <v>36</v>
      </c>
      <c r="G95">
        <v>26</v>
      </c>
      <c r="H95">
        <v>1</v>
      </c>
      <c r="I95">
        <v>2</v>
      </c>
      <c r="J95">
        <v>20.574999999999999</v>
      </c>
      <c r="K95" t="s">
        <v>14</v>
      </c>
      <c r="L95" t="s">
        <v>15</v>
      </c>
      <c r="M95" t="s">
        <v>37</v>
      </c>
      <c r="N95" t="b">
        <v>1</v>
      </c>
      <c r="O95" t="s">
        <v>16</v>
      </c>
      <c r="P95" t="s">
        <v>17</v>
      </c>
      <c r="Q95" t="s">
        <v>38</v>
      </c>
      <c r="R95" t="b">
        <v>0</v>
      </c>
    </row>
    <row r="96" spans="1:18" x14ac:dyDescent="0.3">
      <c r="A96">
        <v>0</v>
      </c>
      <c r="B96" t="s">
        <v>26</v>
      </c>
      <c r="C96">
        <v>3</v>
      </c>
      <c r="D96" t="s">
        <v>32</v>
      </c>
      <c r="E96" t="s">
        <v>13</v>
      </c>
      <c r="F96" t="s">
        <v>36</v>
      </c>
      <c r="G96">
        <v>59</v>
      </c>
      <c r="H96">
        <v>0</v>
      </c>
      <c r="I96">
        <v>0</v>
      </c>
      <c r="J96">
        <v>7.25</v>
      </c>
      <c r="K96" t="s">
        <v>14</v>
      </c>
      <c r="L96" t="s">
        <v>15</v>
      </c>
      <c r="M96" t="s">
        <v>37</v>
      </c>
      <c r="N96" t="b">
        <v>1</v>
      </c>
      <c r="O96" t="s">
        <v>16</v>
      </c>
      <c r="P96" t="s">
        <v>17</v>
      </c>
      <c r="Q96" t="s">
        <v>38</v>
      </c>
      <c r="R96" t="b">
        <v>1</v>
      </c>
    </row>
    <row r="97" spans="1:18" x14ac:dyDescent="0.3">
      <c r="A97">
        <v>0</v>
      </c>
      <c r="B97" t="s">
        <v>26</v>
      </c>
      <c r="C97">
        <v>3</v>
      </c>
      <c r="D97" t="s">
        <v>32</v>
      </c>
      <c r="E97" t="s">
        <v>13</v>
      </c>
      <c r="F97" t="s">
        <v>36</v>
      </c>
      <c r="G97">
        <v>30</v>
      </c>
      <c r="H97">
        <v>0</v>
      </c>
      <c r="I97">
        <v>0</v>
      </c>
      <c r="J97">
        <v>8.0500000000000007</v>
      </c>
      <c r="K97" t="s">
        <v>14</v>
      </c>
      <c r="L97" t="s">
        <v>15</v>
      </c>
      <c r="M97" t="s">
        <v>37</v>
      </c>
      <c r="N97" t="b">
        <v>1</v>
      </c>
      <c r="O97" t="s">
        <v>16</v>
      </c>
      <c r="P97" t="s">
        <v>17</v>
      </c>
      <c r="Q97" t="s">
        <v>38</v>
      </c>
      <c r="R97" t="b">
        <v>1</v>
      </c>
    </row>
    <row r="98" spans="1:18" x14ac:dyDescent="0.3">
      <c r="A98">
        <v>0</v>
      </c>
      <c r="B98" t="s">
        <v>26</v>
      </c>
      <c r="C98">
        <v>1</v>
      </c>
      <c r="D98" t="s">
        <v>30</v>
      </c>
      <c r="E98" t="s">
        <v>13</v>
      </c>
      <c r="F98" t="s">
        <v>36</v>
      </c>
      <c r="G98">
        <v>71</v>
      </c>
      <c r="H98">
        <v>0</v>
      </c>
      <c r="I98">
        <v>0</v>
      </c>
      <c r="J98">
        <v>34.654200000000003</v>
      </c>
      <c r="K98" t="s">
        <v>19</v>
      </c>
      <c r="L98" t="s">
        <v>15</v>
      </c>
      <c r="M98" t="s">
        <v>37</v>
      </c>
      <c r="N98" t="b">
        <v>1</v>
      </c>
      <c r="O98" t="s">
        <v>21</v>
      </c>
      <c r="P98" t="s">
        <v>17</v>
      </c>
      <c r="Q98" t="s">
        <v>38</v>
      </c>
      <c r="R98" t="b">
        <v>1</v>
      </c>
    </row>
    <row r="99" spans="1:18" x14ac:dyDescent="0.3">
      <c r="A99">
        <v>1</v>
      </c>
      <c r="B99" t="s">
        <v>27</v>
      </c>
      <c r="C99">
        <v>1</v>
      </c>
      <c r="D99" t="s">
        <v>30</v>
      </c>
      <c r="E99" t="s">
        <v>13</v>
      </c>
      <c r="F99" t="s">
        <v>36</v>
      </c>
      <c r="G99">
        <v>23</v>
      </c>
      <c r="H99">
        <v>0</v>
      </c>
      <c r="I99">
        <v>1</v>
      </c>
      <c r="J99">
        <v>63.3583</v>
      </c>
      <c r="K99" t="s">
        <v>19</v>
      </c>
      <c r="L99" t="s">
        <v>15</v>
      </c>
      <c r="M99" t="s">
        <v>37</v>
      </c>
      <c r="N99" t="b">
        <v>1</v>
      </c>
      <c r="O99" t="s">
        <v>21</v>
      </c>
      <c r="P99" t="s">
        <v>22</v>
      </c>
      <c r="Q99" t="s">
        <v>41</v>
      </c>
      <c r="R99" t="b">
        <v>0</v>
      </c>
    </row>
    <row r="100" spans="1:18" x14ac:dyDescent="0.3">
      <c r="A100">
        <v>1</v>
      </c>
      <c r="B100" t="s">
        <v>27</v>
      </c>
      <c r="C100">
        <v>2</v>
      </c>
      <c r="D100" t="s">
        <v>31</v>
      </c>
      <c r="E100" t="s">
        <v>18</v>
      </c>
      <c r="F100" t="s">
        <v>39</v>
      </c>
      <c r="G100">
        <v>34</v>
      </c>
      <c r="H100">
        <v>0</v>
      </c>
      <c r="I100">
        <v>1</v>
      </c>
      <c r="J100">
        <v>23</v>
      </c>
      <c r="K100" t="s">
        <v>25</v>
      </c>
      <c r="L100" t="s">
        <v>20</v>
      </c>
      <c r="M100" t="s">
        <v>40</v>
      </c>
      <c r="N100" t="b">
        <v>0</v>
      </c>
      <c r="O100" t="s">
        <v>16</v>
      </c>
      <c r="P100" t="s">
        <v>22</v>
      </c>
      <c r="Q100" t="s">
        <v>41</v>
      </c>
      <c r="R100" t="b">
        <v>0</v>
      </c>
    </row>
    <row r="101" spans="1:18" x14ac:dyDescent="0.3">
      <c r="A101">
        <v>0</v>
      </c>
      <c r="B101" t="s">
        <v>26</v>
      </c>
      <c r="C101">
        <v>2</v>
      </c>
      <c r="D101" t="s">
        <v>31</v>
      </c>
      <c r="E101" t="s">
        <v>13</v>
      </c>
      <c r="F101" t="s">
        <v>36</v>
      </c>
      <c r="G101">
        <v>34</v>
      </c>
      <c r="H101">
        <v>1</v>
      </c>
      <c r="I101">
        <v>0</v>
      </c>
      <c r="J101">
        <v>26</v>
      </c>
      <c r="K101" t="s">
        <v>25</v>
      </c>
      <c r="L101" t="s">
        <v>15</v>
      </c>
      <c r="M101" t="s">
        <v>37</v>
      </c>
      <c r="N101" t="b">
        <v>1</v>
      </c>
      <c r="O101" t="s">
        <v>16</v>
      </c>
      <c r="P101" t="s">
        <v>17</v>
      </c>
      <c r="Q101" t="s">
        <v>38</v>
      </c>
      <c r="R101" t="b">
        <v>0</v>
      </c>
    </row>
    <row r="102" spans="1:18" x14ac:dyDescent="0.3">
      <c r="A102">
        <v>0</v>
      </c>
      <c r="B102" t="s">
        <v>26</v>
      </c>
      <c r="C102">
        <v>3</v>
      </c>
      <c r="D102" t="s">
        <v>32</v>
      </c>
      <c r="E102" t="s">
        <v>18</v>
      </c>
      <c r="F102" t="s">
        <v>39</v>
      </c>
      <c r="G102">
        <v>28</v>
      </c>
      <c r="H102">
        <v>0</v>
      </c>
      <c r="I102">
        <v>0</v>
      </c>
      <c r="J102">
        <v>7.8958000000000004</v>
      </c>
      <c r="K102" t="s">
        <v>14</v>
      </c>
      <c r="L102" t="s">
        <v>20</v>
      </c>
      <c r="M102" t="s">
        <v>40</v>
      </c>
      <c r="N102" t="b">
        <v>0</v>
      </c>
      <c r="O102" t="s">
        <v>16</v>
      </c>
      <c r="P102" t="s">
        <v>17</v>
      </c>
      <c r="Q102" t="s">
        <v>38</v>
      </c>
      <c r="R102" t="b">
        <v>1</v>
      </c>
    </row>
    <row r="103" spans="1:18" x14ac:dyDescent="0.3">
      <c r="A103">
        <v>0</v>
      </c>
      <c r="B103" t="s">
        <v>26</v>
      </c>
      <c r="C103">
        <v>3</v>
      </c>
      <c r="D103" t="s">
        <v>32</v>
      </c>
      <c r="E103" t="s">
        <v>13</v>
      </c>
      <c r="F103" t="s">
        <v>36</v>
      </c>
      <c r="G103">
        <v>30</v>
      </c>
      <c r="H103">
        <v>0</v>
      </c>
      <c r="I103">
        <v>0</v>
      </c>
      <c r="J103">
        <v>7.8958000000000004</v>
      </c>
      <c r="K103" t="s">
        <v>14</v>
      </c>
      <c r="L103" t="s">
        <v>15</v>
      </c>
      <c r="M103" t="s">
        <v>37</v>
      </c>
      <c r="N103" t="b">
        <v>1</v>
      </c>
      <c r="O103" t="s">
        <v>16</v>
      </c>
      <c r="P103" t="s">
        <v>17</v>
      </c>
      <c r="Q103" t="s">
        <v>38</v>
      </c>
      <c r="R103" t="b">
        <v>1</v>
      </c>
    </row>
    <row r="104" spans="1:18" x14ac:dyDescent="0.3">
      <c r="A104">
        <v>0</v>
      </c>
      <c r="B104" t="s">
        <v>26</v>
      </c>
      <c r="C104">
        <v>1</v>
      </c>
      <c r="D104" t="s">
        <v>30</v>
      </c>
      <c r="E104" t="s">
        <v>13</v>
      </c>
      <c r="F104" t="s">
        <v>36</v>
      </c>
      <c r="G104">
        <v>21</v>
      </c>
      <c r="H104">
        <v>0</v>
      </c>
      <c r="I104">
        <v>1</v>
      </c>
      <c r="J104">
        <v>77.287499999999994</v>
      </c>
      <c r="K104" t="s">
        <v>19</v>
      </c>
      <c r="L104" t="s">
        <v>15</v>
      </c>
      <c r="M104" t="s">
        <v>37</v>
      </c>
      <c r="N104" t="b">
        <v>1</v>
      </c>
      <c r="O104" t="s">
        <v>16</v>
      </c>
      <c r="P104" t="s">
        <v>17</v>
      </c>
      <c r="Q104" t="s">
        <v>38</v>
      </c>
      <c r="R104" t="b">
        <v>0</v>
      </c>
    </row>
    <row r="105" spans="1:18" x14ac:dyDescent="0.3">
      <c r="A105">
        <v>0</v>
      </c>
      <c r="B105" t="s">
        <v>26</v>
      </c>
      <c r="C105">
        <v>3</v>
      </c>
      <c r="D105" t="s">
        <v>32</v>
      </c>
      <c r="E105" t="s">
        <v>13</v>
      </c>
      <c r="F105" t="s">
        <v>36</v>
      </c>
      <c r="G105">
        <v>33</v>
      </c>
      <c r="H105">
        <v>0</v>
      </c>
      <c r="I105">
        <v>0</v>
      </c>
      <c r="J105">
        <v>8.6541999999999994</v>
      </c>
      <c r="K105" t="s">
        <v>14</v>
      </c>
      <c r="L105" t="s">
        <v>15</v>
      </c>
      <c r="M105" t="s">
        <v>37</v>
      </c>
      <c r="N105" t="b">
        <v>1</v>
      </c>
      <c r="O105" t="s">
        <v>16</v>
      </c>
      <c r="P105" t="s">
        <v>17</v>
      </c>
      <c r="Q105" t="s">
        <v>38</v>
      </c>
      <c r="R105" t="b">
        <v>1</v>
      </c>
    </row>
    <row r="106" spans="1:18" x14ac:dyDescent="0.3">
      <c r="A106">
        <v>0</v>
      </c>
      <c r="B106" t="s">
        <v>26</v>
      </c>
      <c r="C106">
        <v>3</v>
      </c>
      <c r="D106" t="s">
        <v>32</v>
      </c>
      <c r="E106" t="s">
        <v>13</v>
      </c>
      <c r="F106" t="s">
        <v>36</v>
      </c>
      <c r="G106">
        <v>37</v>
      </c>
      <c r="H106">
        <v>2</v>
      </c>
      <c r="I106">
        <v>0</v>
      </c>
      <c r="J106">
        <v>7.9249999999999998</v>
      </c>
      <c r="K106" t="s">
        <v>14</v>
      </c>
      <c r="L106" t="s">
        <v>15</v>
      </c>
      <c r="M106" t="s">
        <v>37</v>
      </c>
      <c r="N106" t="b">
        <v>1</v>
      </c>
      <c r="O106" t="s">
        <v>16</v>
      </c>
      <c r="P106" t="s">
        <v>17</v>
      </c>
      <c r="Q106" t="s">
        <v>38</v>
      </c>
      <c r="R106" t="b">
        <v>0</v>
      </c>
    </row>
    <row r="107" spans="1:18" x14ac:dyDescent="0.3">
      <c r="A107">
        <v>0</v>
      </c>
      <c r="B107" t="s">
        <v>26</v>
      </c>
      <c r="C107">
        <v>3</v>
      </c>
      <c r="D107" t="s">
        <v>32</v>
      </c>
      <c r="E107" t="s">
        <v>13</v>
      </c>
      <c r="F107" t="s">
        <v>36</v>
      </c>
      <c r="G107">
        <v>28</v>
      </c>
      <c r="H107">
        <v>0</v>
      </c>
      <c r="I107">
        <v>0</v>
      </c>
      <c r="J107">
        <v>7.8958000000000004</v>
      </c>
      <c r="K107" t="s">
        <v>14</v>
      </c>
      <c r="L107" t="s">
        <v>15</v>
      </c>
      <c r="M107" t="s">
        <v>37</v>
      </c>
      <c r="N107" t="b">
        <v>1</v>
      </c>
      <c r="O107" t="s">
        <v>16</v>
      </c>
      <c r="P107" t="s">
        <v>17</v>
      </c>
      <c r="Q107" t="s">
        <v>38</v>
      </c>
      <c r="R107" t="b">
        <v>1</v>
      </c>
    </row>
    <row r="108" spans="1:18" x14ac:dyDescent="0.3">
      <c r="A108">
        <v>1</v>
      </c>
      <c r="B108" t="s">
        <v>27</v>
      </c>
      <c r="C108">
        <v>3</v>
      </c>
      <c r="D108" t="s">
        <v>32</v>
      </c>
      <c r="E108" t="s">
        <v>18</v>
      </c>
      <c r="F108" t="s">
        <v>39</v>
      </c>
      <c r="G108">
        <v>21</v>
      </c>
      <c r="H108">
        <v>0</v>
      </c>
      <c r="I108">
        <v>0</v>
      </c>
      <c r="J108">
        <v>7.65</v>
      </c>
      <c r="K108" t="s">
        <v>14</v>
      </c>
      <c r="L108" t="s">
        <v>20</v>
      </c>
      <c r="M108" t="s">
        <v>40</v>
      </c>
      <c r="N108" t="b">
        <v>0</v>
      </c>
      <c r="O108" t="s">
        <v>16</v>
      </c>
      <c r="P108" t="s">
        <v>22</v>
      </c>
      <c r="Q108" t="s">
        <v>41</v>
      </c>
      <c r="R108" t="b">
        <v>1</v>
      </c>
    </row>
    <row r="109" spans="1:18" x14ac:dyDescent="0.3">
      <c r="A109">
        <v>1</v>
      </c>
      <c r="B109" t="s">
        <v>27</v>
      </c>
      <c r="C109">
        <v>3</v>
      </c>
      <c r="D109" t="s">
        <v>32</v>
      </c>
      <c r="E109" t="s">
        <v>13</v>
      </c>
      <c r="F109" t="s">
        <v>36</v>
      </c>
      <c r="G109">
        <v>30</v>
      </c>
      <c r="H109">
        <v>0</v>
      </c>
      <c r="I109">
        <v>0</v>
      </c>
      <c r="J109">
        <v>7.7750000000000004</v>
      </c>
      <c r="K109" t="s">
        <v>14</v>
      </c>
      <c r="L109" t="s">
        <v>15</v>
      </c>
      <c r="M109" t="s">
        <v>37</v>
      </c>
      <c r="N109" t="b">
        <v>1</v>
      </c>
      <c r="O109" t="s">
        <v>16</v>
      </c>
      <c r="P109" t="s">
        <v>22</v>
      </c>
      <c r="Q109" t="s">
        <v>41</v>
      </c>
      <c r="R109" t="b">
        <v>1</v>
      </c>
    </row>
    <row r="110" spans="1:18" x14ac:dyDescent="0.3">
      <c r="A110">
        <v>0</v>
      </c>
      <c r="B110" t="s">
        <v>26</v>
      </c>
      <c r="C110">
        <v>3</v>
      </c>
      <c r="D110" t="s">
        <v>32</v>
      </c>
      <c r="E110" t="s">
        <v>13</v>
      </c>
      <c r="F110" t="s">
        <v>36</v>
      </c>
      <c r="G110">
        <v>38</v>
      </c>
      <c r="H110">
        <v>0</v>
      </c>
      <c r="I110">
        <v>0</v>
      </c>
      <c r="J110">
        <v>7.8958000000000004</v>
      </c>
      <c r="K110" t="s">
        <v>14</v>
      </c>
      <c r="L110" t="s">
        <v>15</v>
      </c>
      <c r="M110" t="s">
        <v>37</v>
      </c>
      <c r="N110" t="b">
        <v>1</v>
      </c>
      <c r="O110" t="s">
        <v>16</v>
      </c>
      <c r="P110" t="s">
        <v>17</v>
      </c>
      <c r="Q110" t="s">
        <v>38</v>
      </c>
      <c r="R110" t="b">
        <v>1</v>
      </c>
    </row>
    <row r="111" spans="1:18" x14ac:dyDescent="0.3">
      <c r="A111">
        <v>1</v>
      </c>
      <c r="B111" t="s">
        <v>27</v>
      </c>
      <c r="C111">
        <v>3</v>
      </c>
      <c r="D111" t="s">
        <v>32</v>
      </c>
      <c r="E111" t="s">
        <v>18</v>
      </c>
      <c r="F111" t="s">
        <v>39</v>
      </c>
      <c r="G111">
        <v>30</v>
      </c>
      <c r="H111">
        <v>1</v>
      </c>
      <c r="I111">
        <v>0</v>
      </c>
      <c r="J111">
        <v>24.15</v>
      </c>
      <c r="K111" t="s">
        <v>14</v>
      </c>
      <c r="L111" t="s">
        <v>20</v>
      </c>
      <c r="M111" t="s">
        <v>40</v>
      </c>
      <c r="N111" t="b">
        <v>0</v>
      </c>
      <c r="O111" t="s">
        <v>23</v>
      </c>
      <c r="P111" t="s">
        <v>22</v>
      </c>
      <c r="Q111" t="s">
        <v>41</v>
      </c>
      <c r="R111" t="b">
        <v>0</v>
      </c>
    </row>
    <row r="112" spans="1:18" x14ac:dyDescent="0.3">
      <c r="A112">
        <v>0</v>
      </c>
      <c r="B112" t="s">
        <v>26</v>
      </c>
      <c r="C112">
        <v>1</v>
      </c>
      <c r="D112" t="s">
        <v>30</v>
      </c>
      <c r="E112" t="s">
        <v>13</v>
      </c>
      <c r="F112" t="s">
        <v>36</v>
      </c>
      <c r="G112">
        <v>47</v>
      </c>
      <c r="H112">
        <v>0</v>
      </c>
      <c r="I112">
        <v>0</v>
      </c>
      <c r="J112">
        <v>52</v>
      </c>
      <c r="K112" t="s">
        <v>19</v>
      </c>
      <c r="L112" t="s">
        <v>15</v>
      </c>
      <c r="M112" t="s">
        <v>37</v>
      </c>
      <c r="N112" t="b">
        <v>1</v>
      </c>
      <c r="O112" t="s">
        <v>16</v>
      </c>
      <c r="P112" t="s">
        <v>17</v>
      </c>
      <c r="Q112" t="s">
        <v>38</v>
      </c>
      <c r="R112" t="b">
        <v>1</v>
      </c>
    </row>
    <row r="113" spans="1:18" x14ac:dyDescent="0.3">
      <c r="A113">
        <v>0</v>
      </c>
      <c r="B113" t="s">
        <v>26</v>
      </c>
      <c r="C113">
        <v>3</v>
      </c>
      <c r="D113" t="s">
        <v>32</v>
      </c>
      <c r="E113" t="s">
        <v>18</v>
      </c>
      <c r="F113" t="s">
        <v>39</v>
      </c>
      <c r="G113">
        <v>14.5</v>
      </c>
      <c r="H113">
        <v>1</v>
      </c>
      <c r="I113">
        <v>0</v>
      </c>
      <c r="J113">
        <v>14.4542</v>
      </c>
      <c r="K113" t="s">
        <v>14</v>
      </c>
      <c r="L113" t="s">
        <v>24</v>
      </c>
      <c r="M113" t="s">
        <v>42</v>
      </c>
      <c r="N113" t="b">
        <v>0</v>
      </c>
      <c r="O113" t="s">
        <v>21</v>
      </c>
      <c r="P113" t="s">
        <v>17</v>
      </c>
      <c r="Q113" t="s">
        <v>38</v>
      </c>
      <c r="R113" t="b">
        <v>0</v>
      </c>
    </row>
    <row r="114" spans="1:18" x14ac:dyDescent="0.3">
      <c r="A114">
        <v>0</v>
      </c>
      <c r="B114" t="s">
        <v>26</v>
      </c>
      <c r="C114">
        <v>3</v>
      </c>
      <c r="D114" t="s">
        <v>32</v>
      </c>
      <c r="E114" t="s">
        <v>13</v>
      </c>
      <c r="F114" t="s">
        <v>36</v>
      </c>
      <c r="G114">
        <v>22</v>
      </c>
      <c r="H114">
        <v>0</v>
      </c>
      <c r="I114">
        <v>0</v>
      </c>
      <c r="J114">
        <v>8.0500000000000007</v>
      </c>
      <c r="K114" t="s">
        <v>14</v>
      </c>
      <c r="L114" t="s">
        <v>15</v>
      </c>
      <c r="M114" t="s">
        <v>37</v>
      </c>
      <c r="N114" t="b">
        <v>1</v>
      </c>
      <c r="O114" t="s">
        <v>16</v>
      </c>
      <c r="P114" t="s">
        <v>17</v>
      </c>
      <c r="Q114" t="s">
        <v>38</v>
      </c>
      <c r="R114" t="b">
        <v>1</v>
      </c>
    </row>
    <row r="115" spans="1:18" x14ac:dyDescent="0.3">
      <c r="A115">
        <v>0</v>
      </c>
      <c r="B115" t="s">
        <v>26</v>
      </c>
      <c r="C115">
        <v>3</v>
      </c>
      <c r="D115" t="s">
        <v>32</v>
      </c>
      <c r="E115" t="s">
        <v>18</v>
      </c>
      <c r="F115" t="s">
        <v>39</v>
      </c>
      <c r="G115">
        <v>20</v>
      </c>
      <c r="H115">
        <v>1</v>
      </c>
      <c r="I115">
        <v>0</v>
      </c>
      <c r="J115">
        <v>9.8249999999999993</v>
      </c>
      <c r="K115" t="s">
        <v>14</v>
      </c>
      <c r="L115" t="s">
        <v>20</v>
      </c>
      <c r="M115" t="s">
        <v>40</v>
      </c>
      <c r="N115" t="b">
        <v>0</v>
      </c>
      <c r="O115" t="s">
        <v>16</v>
      </c>
      <c r="P115" t="s">
        <v>17</v>
      </c>
      <c r="Q115" t="s">
        <v>38</v>
      </c>
      <c r="R115" t="b">
        <v>0</v>
      </c>
    </row>
    <row r="116" spans="1:18" x14ac:dyDescent="0.3">
      <c r="A116">
        <v>0</v>
      </c>
      <c r="B116" t="s">
        <v>26</v>
      </c>
      <c r="C116">
        <v>3</v>
      </c>
      <c r="D116" t="s">
        <v>32</v>
      </c>
      <c r="E116" t="s">
        <v>18</v>
      </c>
      <c r="F116" t="s">
        <v>39</v>
      </c>
      <c r="G116">
        <v>17</v>
      </c>
      <c r="H116">
        <v>0</v>
      </c>
      <c r="I116">
        <v>0</v>
      </c>
      <c r="J116">
        <v>14.458299999999999</v>
      </c>
      <c r="K116" t="s">
        <v>14</v>
      </c>
      <c r="L116" t="s">
        <v>20</v>
      </c>
      <c r="M116" t="s">
        <v>40</v>
      </c>
      <c r="N116" t="b">
        <v>0</v>
      </c>
      <c r="O116" t="s">
        <v>21</v>
      </c>
      <c r="P116" t="s">
        <v>17</v>
      </c>
      <c r="Q116" t="s">
        <v>38</v>
      </c>
      <c r="R116" t="b">
        <v>1</v>
      </c>
    </row>
    <row r="117" spans="1:18" x14ac:dyDescent="0.3">
      <c r="A117">
        <v>0</v>
      </c>
      <c r="B117" t="s">
        <v>26</v>
      </c>
      <c r="C117">
        <v>3</v>
      </c>
      <c r="D117" t="s">
        <v>32</v>
      </c>
      <c r="E117" t="s">
        <v>13</v>
      </c>
      <c r="F117" t="s">
        <v>36</v>
      </c>
      <c r="G117">
        <v>21</v>
      </c>
      <c r="H117">
        <v>0</v>
      </c>
      <c r="I117">
        <v>0</v>
      </c>
      <c r="J117">
        <v>7.9249999999999998</v>
      </c>
      <c r="K117" t="s">
        <v>14</v>
      </c>
      <c r="L117" t="s">
        <v>15</v>
      </c>
      <c r="M117" t="s">
        <v>37</v>
      </c>
      <c r="N117" t="b">
        <v>1</v>
      </c>
      <c r="O117" t="s">
        <v>16</v>
      </c>
      <c r="P117" t="s">
        <v>17</v>
      </c>
      <c r="Q117" t="s">
        <v>38</v>
      </c>
      <c r="R117" t="b">
        <v>1</v>
      </c>
    </row>
    <row r="118" spans="1:18" x14ac:dyDescent="0.3">
      <c r="A118">
        <v>0</v>
      </c>
      <c r="B118" t="s">
        <v>26</v>
      </c>
      <c r="C118">
        <v>3</v>
      </c>
      <c r="D118" t="s">
        <v>32</v>
      </c>
      <c r="E118" t="s">
        <v>13</v>
      </c>
      <c r="F118" t="s">
        <v>36</v>
      </c>
      <c r="G118">
        <v>70.5</v>
      </c>
      <c r="H118">
        <v>0</v>
      </c>
      <c r="I118">
        <v>0</v>
      </c>
      <c r="J118">
        <v>7.75</v>
      </c>
      <c r="K118" t="s">
        <v>14</v>
      </c>
      <c r="L118" t="s">
        <v>15</v>
      </c>
      <c r="M118" t="s">
        <v>37</v>
      </c>
      <c r="N118" t="b">
        <v>1</v>
      </c>
      <c r="O118" t="s">
        <v>23</v>
      </c>
      <c r="P118" t="s">
        <v>17</v>
      </c>
      <c r="Q118" t="s">
        <v>38</v>
      </c>
      <c r="R118" t="b">
        <v>1</v>
      </c>
    </row>
    <row r="119" spans="1:18" x14ac:dyDescent="0.3">
      <c r="A119">
        <v>0</v>
      </c>
      <c r="B119" t="s">
        <v>26</v>
      </c>
      <c r="C119">
        <v>2</v>
      </c>
      <c r="D119" t="s">
        <v>31</v>
      </c>
      <c r="E119" t="s">
        <v>13</v>
      </c>
      <c r="F119" t="s">
        <v>36</v>
      </c>
      <c r="G119">
        <v>29</v>
      </c>
      <c r="H119">
        <v>1</v>
      </c>
      <c r="I119">
        <v>0</v>
      </c>
      <c r="J119">
        <v>21</v>
      </c>
      <c r="K119" t="s">
        <v>25</v>
      </c>
      <c r="L119" t="s">
        <v>15</v>
      </c>
      <c r="M119" t="s">
        <v>37</v>
      </c>
      <c r="N119" t="b">
        <v>1</v>
      </c>
      <c r="O119" t="s">
        <v>16</v>
      </c>
      <c r="P119" t="s">
        <v>17</v>
      </c>
      <c r="Q119" t="s">
        <v>38</v>
      </c>
      <c r="R119" t="b">
        <v>0</v>
      </c>
    </row>
    <row r="120" spans="1:18" x14ac:dyDescent="0.3">
      <c r="A120">
        <v>0</v>
      </c>
      <c r="B120" t="s">
        <v>26</v>
      </c>
      <c r="C120">
        <v>1</v>
      </c>
      <c r="D120" t="s">
        <v>30</v>
      </c>
      <c r="E120" t="s">
        <v>13</v>
      </c>
      <c r="F120" t="s">
        <v>36</v>
      </c>
      <c r="G120">
        <v>24</v>
      </c>
      <c r="H120">
        <v>0</v>
      </c>
      <c r="I120">
        <v>1</v>
      </c>
      <c r="J120">
        <v>247.52080000000001</v>
      </c>
      <c r="K120" t="s">
        <v>19</v>
      </c>
      <c r="L120" t="s">
        <v>15</v>
      </c>
      <c r="M120" t="s">
        <v>37</v>
      </c>
      <c r="N120" t="b">
        <v>1</v>
      </c>
      <c r="O120" t="s">
        <v>21</v>
      </c>
      <c r="P120" t="s">
        <v>17</v>
      </c>
      <c r="Q120" t="s">
        <v>38</v>
      </c>
      <c r="R120" t="b">
        <v>0</v>
      </c>
    </row>
    <row r="121" spans="1:18" x14ac:dyDescent="0.3">
      <c r="A121">
        <v>0</v>
      </c>
      <c r="B121" t="s">
        <v>26</v>
      </c>
      <c r="C121">
        <v>3</v>
      </c>
      <c r="D121" t="s">
        <v>32</v>
      </c>
      <c r="E121" t="s">
        <v>18</v>
      </c>
      <c r="F121" t="s">
        <v>39</v>
      </c>
      <c r="G121">
        <v>2</v>
      </c>
      <c r="H121">
        <v>4</v>
      </c>
      <c r="I121">
        <v>2</v>
      </c>
      <c r="J121">
        <v>31.274999999999999</v>
      </c>
      <c r="K121" t="s">
        <v>14</v>
      </c>
      <c r="L121" t="s">
        <v>24</v>
      </c>
      <c r="M121" t="s">
        <v>42</v>
      </c>
      <c r="N121" t="b">
        <v>0</v>
      </c>
      <c r="O121" t="s">
        <v>16</v>
      </c>
      <c r="P121" t="s">
        <v>17</v>
      </c>
      <c r="Q121" t="s">
        <v>38</v>
      </c>
      <c r="R121" t="b">
        <v>0</v>
      </c>
    </row>
    <row r="122" spans="1:18" x14ac:dyDescent="0.3">
      <c r="A122">
        <v>0</v>
      </c>
      <c r="B122" t="s">
        <v>26</v>
      </c>
      <c r="C122">
        <v>2</v>
      </c>
      <c r="D122" t="s">
        <v>31</v>
      </c>
      <c r="E122" t="s">
        <v>13</v>
      </c>
      <c r="F122" t="s">
        <v>36</v>
      </c>
      <c r="G122">
        <v>21</v>
      </c>
      <c r="H122">
        <v>2</v>
      </c>
      <c r="I122">
        <v>0</v>
      </c>
      <c r="J122">
        <v>73.5</v>
      </c>
      <c r="K122" t="s">
        <v>25</v>
      </c>
      <c r="L122" t="s">
        <v>15</v>
      </c>
      <c r="M122" t="s">
        <v>37</v>
      </c>
      <c r="N122" t="b">
        <v>1</v>
      </c>
      <c r="O122" t="s">
        <v>16</v>
      </c>
      <c r="P122" t="s">
        <v>17</v>
      </c>
      <c r="Q122" t="s">
        <v>38</v>
      </c>
      <c r="R122" t="b">
        <v>0</v>
      </c>
    </row>
    <row r="123" spans="1:18" x14ac:dyDescent="0.3">
      <c r="A123">
        <v>0</v>
      </c>
      <c r="B123" t="s">
        <v>26</v>
      </c>
      <c r="C123">
        <v>3</v>
      </c>
      <c r="D123" t="s">
        <v>32</v>
      </c>
      <c r="E123" t="s">
        <v>13</v>
      </c>
      <c r="F123" t="s">
        <v>36</v>
      </c>
      <c r="G123">
        <v>30</v>
      </c>
      <c r="H123">
        <v>0</v>
      </c>
      <c r="I123">
        <v>0</v>
      </c>
      <c r="J123">
        <v>8.0500000000000007</v>
      </c>
      <c r="K123" t="s">
        <v>14</v>
      </c>
      <c r="L123" t="s">
        <v>15</v>
      </c>
      <c r="M123" t="s">
        <v>37</v>
      </c>
      <c r="N123" t="b">
        <v>1</v>
      </c>
      <c r="O123" t="s">
        <v>16</v>
      </c>
      <c r="P123" t="s">
        <v>17</v>
      </c>
      <c r="Q123" t="s">
        <v>38</v>
      </c>
      <c r="R123" t="b">
        <v>1</v>
      </c>
    </row>
    <row r="124" spans="1:18" x14ac:dyDescent="0.3">
      <c r="A124">
        <v>0</v>
      </c>
      <c r="B124" t="s">
        <v>26</v>
      </c>
      <c r="C124">
        <v>2</v>
      </c>
      <c r="D124" t="s">
        <v>31</v>
      </c>
      <c r="E124" t="s">
        <v>13</v>
      </c>
      <c r="F124" t="s">
        <v>36</v>
      </c>
      <c r="G124">
        <v>32.5</v>
      </c>
      <c r="H124">
        <v>1</v>
      </c>
      <c r="I124">
        <v>0</v>
      </c>
      <c r="J124">
        <v>30.070799999999998</v>
      </c>
      <c r="K124" t="s">
        <v>25</v>
      </c>
      <c r="L124" t="s">
        <v>15</v>
      </c>
      <c r="M124" t="s">
        <v>37</v>
      </c>
      <c r="N124" t="b">
        <v>1</v>
      </c>
      <c r="O124" t="s">
        <v>21</v>
      </c>
      <c r="P124" t="s">
        <v>17</v>
      </c>
      <c r="Q124" t="s">
        <v>38</v>
      </c>
      <c r="R124" t="b">
        <v>0</v>
      </c>
    </row>
    <row r="125" spans="1:18" x14ac:dyDescent="0.3">
      <c r="A125">
        <v>1</v>
      </c>
      <c r="B125" t="s">
        <v>27</v>
      </c>
      <c r="C125">
        <v>2</v>
      </c>
      <c r="D125" t="s">
        <v>31</v>
      </c>
      <c r="E125" t="s">
        <v>18</v>
      </c>
      <c r="F125" t="s">
        <v>39</v>
      </c>
      <c r="G125">
        <v>32.5</v>
      </c>
      <c r="H125">
        <v>0</v>
      </c>
      <c r="I125">
        <v>0</v>
      </c>
      <c r="J125">
        <v>13</v>
      </c>
      <c r="K125" t="s">
        <v>25</v>
      </c>
      <c r="L125" t="s">
        <v>20</v>
      </c>
      <c r="M125" t="s">
        <v>40</v>
      </c>
      <c r="N125" t="b">
        <v>0</v>
      </c>
      <c r="O125" t="s">
        <v>16</v>
      </c>
      <c r="P125" t="s">
        <v>22</v>
      </c>
      <c r="Q125" t="s">
        <v>41</v>
      </c>
      <c r="R125" t="b">
        <v>1</v>
      </c>
    </row>
    <row r="126" spans="1:18" x14ac:dyDescent="0.3">
      <c r="A126">
        <v>0</v>
      </c>
      <c r="B126" t="s">
        <v>26</v>
      </c>
      <c r="C126">
        <v>1</v>
      </c>
      <c r="D126" t="s">
        <v>30</v>
      </c>
      <c r="E126" t="s">
        <v>13</v>
      </c>
      <c r="F126" t="s">
        <v>36</v>
      </c>
      <c r="G126">
        <v>54</v>
      </c>
      <c r="H126">
        <v>0</v>
      </c>
      <c r="I126">
        <v>1</v>
      </c>
      <c r="J126">
        <v>77.287499999999994</v>
      </c>
      <c r="K126" t="s">
        <v>19</v>
      </c>
      <c r="L126" t="s">
        <v>15</v>
      </c>
      <c r="M126" t="s">
        <v>37</v>
      </c>
      <c r="N126" t="b">
        <v>1</v>
      </c>
      <c r="O126" t="s">
        <v>16</v>
      </c>
      <c r="P126" t="s">
        <v>17</v>
      </c>
      <c r="Q126" t="s">
        <v>38</v>
      </c>
      <c r="R126" t="b">
        <v>0</v>
      </c>
    </row>
    <row r="127" spans="1:18" x14ac:dyDescent="0.3">
      <c r="A127">
        <v>1</v>
      </c>
      <c r="B127" t="s">
        <v>27</v>
      </c>
      <c r="C127">
        <v>3</v>
      </c>
      <c r="D127" t="s">
        <v>32</v>
      </c>
      <c r="E127" t="s">
        <v>13</v>
      </c>
      <c r="F127" t="s">
        <v>36</v>
      </c>
      <c r="G127">
        <v>12</v>
      </c>
      <c r="H127">
        <v>1</v>
      </c>
      <c r="I127">
        <v>0</v>
      </c>
      <c r="J127">
        <v>11.2417</v>
      </c>
      <c r="K127" t="s">
        <v>14</v>
      </c>
      <c r="L127" t="s">
        <v>24</v>
      </c>
      <c r="M127" t="s">
        <v>42</v>
      </c>
      <c r="N127" t="b">
        <v>0</v>
      </c>
      <c r="O127" t="s">
        <v>21</v>
      </c>
      <c r="P127" t="s">
        <v>22</v>
      </c>
      <c r="Q127" t="s">
        <v>41</v>
      </c>
      <c r="R127" t="b">
        <v>0</v>
      </c>
    </row>
    <row r="128" spans="1:18" x14ac:dyDescent="0.3">
      <c r="A128">
        <v>0</v>
      </c>
      <c r="B128" t="s">
        <v>26</v>
      </c>
      <c r="C128">
        <v>3</v>
      </c>
      <c r="D128" t="s">
        <v>32</v>
      </c>
      <c r="E128" t="s">
        <v>13</v>
      </c>
      <c r="F128" t="s">
        <v>36</v>
      </c>
      <c r="G128">
        <v>30</v>
      </c>
      <c r="H128">
        <v>0</v>
      </c>
      <c r="I128">
        <v>0</v>
      </c>
      <c r="J128">
        <v>7.75</v>
      </c>
      <c r="K128" t="s">
        <v>14</v>
      </c>
      <c r="L128" t="s">
        <v>15</v>
      </c>
      <c r="M128" t="s">
        <v>37</v>
      </c>
      <c r="N128" t="b">
        <v>1</v>
      </c>
      <c r="O128" t="s">
        <v>23</v>
      </c>
      <c r="P128" t="s">
        <v>17</v>
      </c>
      <c r="Q128" t="s">
        <v>38</v>
      </c>
      <c r="R128" t="b">
        <v>1</v>
      </c>
    </row>
    <row r="129" spans="1:18" x14ac:dyDescent="0.3">
      <c r="A129">
        <v>1</v>
      </c>
      <c r="B129" t="s">
        <v>27</v>
      </c>
      <c r="C129">
        <v>3</v>
      </c>
      <c r="D129" t="s">
        <v>32</v>
      </c>
      <c r="E129" t="s">
        <v>13</v>
      </c>
      <c r="F129" t="s">
        <v>36</v>
      </c>
      <c r="G129">
        <v>24</v>
      </c>
      <c r="H129">
        <v>0</v>
      </c>
      <c r="I129">
        <v>0</v>
      </c>
      <c r="J129">
        <v>7.1417000000000002</v>
      </c>
      <c r="K129" t="s">
        <v>14</v>
      </c>
      <c r="L129" t="s">
        <v>15</v>
      </c>
      <c r="M129" t="s">
        <v>37</v>
      </c>
      <c r="N129" t="b">
        <v>1</v>
      </c>
      <c r="O129" t="s">
        <v>16</v>
      </c>
      <c r="P129" t="s">
        <v>22</v>
      </c>
      <c r="Q129" t="s">
        <v>41</v>
      </c>
      <c r="R129" t="b">
        <v>1</v>
      </c>
    </row>
    <row r="130" spans="1:18" x14ac:dyDescent="0.3">
      <c r="A130">
        <v>1</v>
      </c>
      <c r="B130" t="s">
        <v>27</v>
      </c>
      <c r="C130">
        <v>3</v>
      </c>
      <c r="D130" t="s">
        <v>32</v>
      </c>
      <c r="E130" t="s">
        <v>18</v>
      </c>
      <c r="F130" t="s">
        <v>39</v>
      </c>
      <c r="G130">
        <v>30</v>
      </c>
      <c r="H130">
        <v>1</v>
      </c>
      <c r="I130">
        <v>1</v>
      </c>
      <c r="J130">
        <v>22.3583</v>
      </c>
      <c r="K130" t="s">
        <v>14</v>
      </c>
      <c r="L130" t="s">
        <v>20</v>
      </c>
      <c r="M130" t="s">
        <v>40</v>
      </c>
      <c r="N130" t="b">
        <v>0</v>
      </c>
      <c r="O130" t="s">
        <v>21</v>
      </c>
      <c r="P130" t="s">
        <v>22</v>
      </c>
      <c r="Q130" t="s">
        <v>41</v>
      </c>
      <c r="R130" t="b">
        <v>0</v>
      </c>
    </row>
    <row r="131" spans="1:18" x14ac:dyDescent="0.3">
      <c r="A131">
        <v>0</v>
      </c>
      <c r="B131" t="s">
        <v>26</v>
      </c>
      <c r="C131">
        <v>3</v>
      </c>
      <c r="D131" t="s">
        <v>32</v>
      </c>
      <c r="E131" t="s">
        <v>13</v>
      </c>
      <c r="F131" t="s">
        <v>36</v>
      </c>
      <c r="G131">
        <v>45</v>
      </c>
      <c r="H131">
        <v>0</v>
      </c>
      <c r="I131">
        <v>0</v>
      </c>
      <c r="J131">
        <v>6.9749999999999996</v>
      </c>
      <c r="K131" t="s">
        <v>14</v>
      </c>
      <c r="L131" t="s">
        <v>15</v>
      </c>
      <c r="M131" t="s">
        <v>37</v>
      </c>
      <c r="N131" t="b">
        <v>1</v>
      </c>
      <c r="O131" t="s">
        <v>16</v>
      </c>
      <c r="P131" t="s">
        <v>17</v>
      </c>
      <c r="Q131" t="s">
        <v>38</v>
      </c>
      <c r="R131" t="b">
        <v>1</v>
      </c>
    </row>
    <row r="132" spans="1:18" x14ac:dyDescent="0.3">
      <c r="A132">
        <v>0</v>
      </c>
      <c r="B132" t="s">
        <v>26</v>
      </c>
      <c r="C132">
        <v>3</v>
      </c>
      <c r="D132" t="s">
        <v>32</v>
      </c>
      <c r="E132" t="s">
        <v>13</v>
      </c>
      <c r="F132" t="s">
        <v>36</v>
      </c>
      <c r="G132">
        <v>33</v>
      </c>
      <c r="H132">
        <v>0</v>
      </c>
      <c r="I132">
        <v>0</v>
      </c>
      <c r="J132">
        <v>7.8958000000000004</v>
      </c>
      <c r="K132" t="s">
        <v>14</v>
      </c>
      <c r="L132" t="s">
        <v>15</v>
      </c>
      <c r="M132" t="s">
        <v>37</v>
      </c>
      <c r="N132" t="b">
        <v>1</v>
      </c>
      <c r="O132" t="s">
        <v>21</v>
      </c>
      <c r="P132" t="s">
        <v>17</v>
      </c>
      <c r="Q132" t="s">
        <v>38</v>
      </c>
      <c r="R132" t="b">
        <v>1</v>
      </c>
    </row>
    <row r="133" spans="1:18" x14ac:dyDescent="0.3">
      <c r="A133">
        <v>0</v>
      </c>
      <c r="B133" t="s">
        <v>26</v>
      </c>
      <c r="C133">
        <v>3</v>
      </c>
      <c r="D133" t="s">
        <v>32</v>
      </c>
      <c r="E133" t="s">
        <v>13</v>
      </c>
      <c r="F133" t="s">
        <v>36</v>
      </c>
      <c r="G133">
        <v>20</v>
      </c>
      <c r="H133">
        <v>0</v>
      </c>
      <c r="I133">
        <v>0</v>
      </c>
      <c r="J133">
        <v>7.05</v>
      </c>
      <c r="K133" t="s">
        <v>14</v>
      </c>
      <c r="L133" t="s">
        <v>15</v>
      </c>
      <c r="M133" t="s">
        <v>37</v>
      </c>
      <c r="N133" t="b">
        <v>1</v>
      </c>
      <c r="O133" t="s">
        <v>16</v>
      </c>
      <c r="P133" t="s">
        <v>17</v>
      </c>
      <c r="Q133" t="s">
        <v>38</v>
      </c>
      <c r="R133" t="b">
        <v>1</v>
      </c>
    </row>
    <row r="134" spans="1:18" x14ac:dyDescent="0.3">
      <c r="A134">
        <v>0</v>
      </c>
      <c r="B134" t="s">
        <v>26</v>
      </c>
      <c r="C134">
        <v>3</v>
      </c>
      <c r="D134" t="s">
        <v>32</v>
      </c>
      <c r="E134" t="s">
        <v>18</v>
      </c>
      <c r="F134" t="s">
        <v>39</v>
      </c>
      <c r="G134">
        <v>47</v>
      </c>
      <c r="H134">
        <v>1</v>
      </c>
      <c r="I134">
        <v>0</v>
      </c>
      <c r="J134">
        <v>14.5</v>
      </c>
      <c r="K134" t="s">
        <v>14</v>
      </c>
      <c r="L134" t="s">
        <v>20</v>
      </c>
      <c r="M134" t="s">
        <v>40</v>
      </c>
      <c r="N134" t="b">
        <v>0</v>
      </c>
      <c r="O134" t="s">
        <v>16</v>
      </c>
      <c r="P134" t="s">
        <v>17</v>
      </c>
      <c r="Q134" t="s">
        <v>38</v>
      </c>
      <c r="R134" t="b">
        <v>0</v>
      </c>
    </row>
    <row r="135" spans="1:18" x14ac:dyDescent="0.3">
      <c r="A135">
        <v>1</v>
      </c>
      <c r="B135" t="s">
        <v>27</v>
      </c>
      <c r="C135">
        <v>2</v>
      </c>
      <c r="D135" t="s">
        <v>31</v>
      </c>
      <c r="E135" t="s">
        <v>18</v>
      </c>
      <c r="F135" t="s">
        <v>39</v>
      </c>
      <c r="G135">
        <v>29</v>
      </c>
      <c r="H135">
        <v>1</v>
      </c>
      <c r="I135">
        <v>0</v>
      </c>
      <c r="J135">
        <v>26</v>
      </c>
      <c r="K135" t="s">
        <v>25</v>
      </c>
      <c r="L135" t="s">
        <v>20</v>
      </c>
      <c r="M135" t="s">
        <v>40</v>
      </c>
      <c r="N135" t="b">
        <v>0</v>
      </c>
      <c r="O135" t="s">
        <v>16</v>
      </c>
      <c r="P135" t="s">
        <v>22</v>
      </c>
      <c r="Q135" t="s">
        <v>41</v>
      </c>
      <c r="R135" t="b">
        <v>0</v>
      </c>
    </row>
    <row r="136" spans="1:18" x14ac:dyDescent="0.3">
      <c r="A136">
        <v>0</v>
      </c>
      <c r="B136" t="s">
        <v>26</v>
      </c>
      <c r="C136">
        <v>2</v>
      </c>
      <c r="D136" t="s">
        <v>31</v>
      </c>
      <c r="E136" t="s">
        <v>13</v>
      </c>
      <c r="F136" t="s">
        <v>36</v>
      </c>
      <c r="G136">
        <v>25</v>
      </c>
      <c r="H136">
        <v>0</v>
      </c>
      <c r="I136">
        <v>0</v>
      </c>
      <c r="J136">
        <v>13</v>
      </c>
      <c r="K136" t="s">
        <v>25</v>
      </c>
      <c r="L136" t="s">
        <v>15</v>
      </c>
      <c r="M136" t="s">
        <v>37</v>
      </c>
      <c r="N136" t="b">
        <v>1</v>
      </c>
      <c r="O136" t="s">
        <v>16</v>
      </c>
      <c r="P136" t="s">
        <v>17</v>
      </c>
      <c r="Q136" t="s">
        <v>38</v>
      </c>
      <c r="R136" t="b">
        <v>1</v>
      </c>
    </row>
    <row r="137" spans="1:18" x14ac:dyDescent="0.3">
      <c r="A137">
        <v>0</v>
      </c>
      <c r="B137" t="s">
        <v>26</v>
      </c>
      <c r="C137">
        <v>2</v>
      </c>
      <c r="D137" t="s">
        <v>31</v>
      </c>
      <c r="E137" t="s">
        <v>13</v>
      </c>
      <c r="F137" t="s">
        <v>36</v>
      </c>
      <c r="G137">
        <v>23</v>
      </c>
      <c r="H137">
        <v>0</v>
      </c>
      <c r="I137">
        <v>0</v>
      </c>
      <c r="J137">
        <v>15.0458</v>
      </c>
      <c r="K137" t="s">
        <v>25</v>
      </c>
      <c r="L137" t="s">
        <v>15</v>
      </c>
      <c r="M137" t="s">
        <v>37</v>
      </c>
      <c r="N137" t="b">
        <v>1</v>
      </c>
      <c r="O137" t="s">
        <v>21</v>
      </c>
      <c r="P137" t="s">
        <v>17</v>
      </c>
      <c r="Q137" t="s">
        <v>38</v>
      </c>
      <c r="R137" t="b">
        <v>1</v>
      </c>
    </row>
    <row r="138" spans="1:18" x14ac:dyDescent="0.3">
      <c r="A138">
        <v>1</v>
      </c>
      <c r="B138" t="s">
        <v>27</v>
      </c>
      <c r="C138">
        <v>1</v>
      </c>
      <c r="D138" t="s">
        <v>30</v>
      </c>
      <c r="E138" t="s">
        <v>18</v>
      </c>
      <c r="F138" t="s">
        <v>39</v>
      </c>
      <c r="G138">
        <v>19</v>
      </c>
      <c r="H138">
        <v>0</v>
      </c>
      <c r="I138">
        <v>2</v>
      </c>
      <c r="J138">
        <v>26.283300000000001</v>
      </c>
      <c r="K138" t="s">
        <v>19</v>
      </c>
      <c r="L138" t="s">
        <v>20</v>
      </c>
      <c r="M138" t="s">
        <v>40</v>
      </c>
      <c r="N138" t="b">
        <v>0</v>
      </c>
      <c r="O138" t="s">
        <v>16</v>
      </c>
      <c r="P138" t="s">
        <v>22</v>
      </c>
      <c r="Q138" t="s">
        <v>41</v>
      </c>
      <c r="R138" t="b">
        <v>0</v>
      </c>
    </row>
    <row r="139" spans="1:18" x14ac:dyDescent="0.3">
      <c r="A139">
        <v>0</v>
      </c>
      <c r="B139" t="s">
        <v>26</v>
      </c>
      <c r="C139">
        <v>1</v>
      </c>
      <c r="D139" t="s">
        <v>30</v>
      </c>
      <c r="E139" t="s">
        <v>13</v>
      </c>
      <c r="F139" t="s">
        <v>36</v>
      </c>
      <c r="G139">
        <v>37</v>
      </c>
      <c r="H139">
        <v>1</v>
      </c>
      <c r="I139">
        <v>0</v>
      </c>
      <c r="J139">
        <v>53.1</v>
      </c>
      <c r="K139" t="s">
        <v>19</v>
      </c>
      <c r="L139" t="s">
        <v>15</v>
      </c>
      <c r="M139" t="s">
        <v>37</v>
      </c>
      <c r="N139" t="b">
        <v>1</v>
      </c>
      <c r="O139" t="s">
        <v>16</v>
      </c>
      <c r="P139" t="s">
        <v>17</v>
      </c>
      <c r="Q139" t="s">
        <v>38</v>
      </c>
      <c r="R139" t="b">
        <v>0</v>
      </c>
    </row>
    <row r="140" spans="1:18" x14ac:dyDescent="0.3">
      <c r="A140">
        <v>0</v>
      </c>
      <c r="B140" t="s">
        <v>26</v>
      </c>
      <c r="C140">
        <v>3</v>
      </c>
      <c r="D140" t="s">
        <v>32</v>
      </c>
      <c r="E140" t="s">
        <v>13</v>
      </c>
      <c r="F140" t="s">
        <v>36</v>
      </c>
      <c r="G140">
        <v>16</v>
      </c>
      <c r="H140">
        <v>0</v>
      </c>
      <c r="I140">
        <v>0</v>
      </c>
      <c r="J140">
        <v>9.2166999999999994</v>
      </c>
      <c r="K140" t="s">
        <v>14</v>
      </c>
      <c r="L140" t="s">
        <v>15</v>
      </c>
      <c r="M140" t="s">
        <v>37</v>
      </c>
      <c r="N140" t="b">
        <v>1</v>
      </c>
      <c r="O140" t="s">
        <v>16</v>
      </c>
      <c r="P140" t="s">
        <v>17</v>
      </c>
      <c r="Q140" t="s">
        <v>38</v>
      </c>
      <c r="R140" t="b">
        <v>1</v>
      </c>
    </row>
    <row r="141" spans="1:18" x14ac:dyDescent="0.3">
      <c r="A141">
        <v>0</v>
      </c>
      <c r="B141" t="s">
        <v>26</v>
      </c>
      <c r="C141">
        <v>1</v>
      </c>
      <c r="D141" t="s">
        <v>30</v>
      </c>
      <c r="E141" t="s">
        <v>13</v>
      </c>
      <c r="F141" t="s">
        <v>36</v>
      </c>
      <c r="G141">
        <v>24</v>
      </c>
      <c r="H141">
        <v>0</v>
      </c>
      <c r="I141">
        <v>0</v>
      </c>
      <c r="J141">
        <v>79.2</v>
      </c>
      <c r="K141" t="s">
        <v>19</v>
      </c>
      <c r="L141" t="s">
        <v>15</v>
      </c>
      <c r="M141" t="s">
        <v>37</v>
      </c>
      <c r="N141" t="b">
        <v>1</v>
      </c>
      <c r="O141" t="s">
        <v>21</v>
      </c>
      <c r="P141" t="s">
        <v>17</v>
      </c>
      <c r="Q141" t="s">
        <v>38</v>
      </c>
      <c r="R141" t="b">
        <v>1</v>
      </c>
    </row>
    <row r="142" spans="1:18" x14ac:dyDescent="0.3">
      <c r="A142">
        <v>0</v>
      </c>
      <c r="B142" t="s">
        <v>26</v>
      </c>
      <c r="C142">
        <v>3</v>
      </c>
      <c r="D142" t="s">
        <v>32</v>
      </c>
      <c r="E142" t="s">
        <v>18</v>
      </c>
      <c r="F142" t="s">
        <v>39</v>
      </c>
      <c r="G142">
        <v>30</v>
      </c>
      <c r="H142">
        <v>0</v>
      </c>
      <c r="I142">
        <v>2</v>
      </c>
      <c r="J142">
        <v>15.245799999999999</v>
      </c>
      <c r="K142" t="s">
        <v>14</v>
      </c>
      <c r="L142" t="s">
        <v>20</v>
      </c>
      <c r="M142" t="s">
        <v>40</v>
      </c>
      <c r="N142" t="b">
        <v>0</v>
      </c>
      <c r="O142" t="s">
        <v>21</v>
      </c>
      <c r="P142" t="s">
        <v>17</v>
      </c>
      <c r="Q142" t="s">
        <v>38</v>
      </c>
      <c r="R142" t="b">
        <v>0</v>
      </c>
    </row>
    <row r="143" spans="1:18" x14ac:dyDescent="0.3">
      <c r="A143">
        <v>1</v>
      </c>
      <c r="B143" t="s">
        <v>27</v>
      </c>
      <c r="C143">
        <v>3</v>
      </c>
      <c r="D143" t="s">
        <v>32</v>
      </c>
      <c r="E143" t="s">
        <v>18</v>
      </c>
      <c r="F143" t="s">
        <v>39</v>
      </c>
      <c r="G143">
        <v>22</v>
      </c>
      <c r="H143">
        <v>0</v>
      </c>
      <c r="I143">
        <v>0</v>
      </c>
      <c r="J143">
        <v>7.75</v>
      </c>
      <c r="K143" t="s">
        <v>14</v>
      </c>
      <c r="L143" t="s">
        <v>20</v>
      </c>
      <c r="M143" t="s">
        <v>40</v>
      </c>
      <c r="N143" t="b">
        <v>0</v>
      </c>
      <c r="O143" t="s">
        <v>16</v>
      </c>
      <c r="P143" t="s">
        <v>22</v>
      </c>
      <c r="Q143" t="s">
        <v>41</v>
      </c>
      <c r="R143" t="b">
        <v>1</v>
      </c>
    </row>
    <row r="144" spans="1:18" x14ac:dyDescent="0.3">
      <c r="A144">
        <v>1</v>
      </c>
      <c r="B144" t="s">
        <v>27</v>
      </c>
      <c r="C144">
        <v>3</v>
      </c>
      <c r="D144" t="s">
        <v>32</v>
      </c>
      <c r="E144" t="s">
        <v>18</v>
      </c>
      <c r="F144" t="s">
        <v>39</v>
      </c>
      <c r="G144">
        <v>24</v>
      </c>
      <c r="H144">
        <v>1</v>
      </c>
      <c r="I144">
        <v>0</v>
      </c>
      <c r="J144">
        <v>15.85</v>
      </c>
      <c r="K144" t="s">
        <v>14</v>
      </c>
      <c r="L144" t="s">
        <v>20</v>
      </c>
      <c r="M144" t="s">
        <v>40</v>
      </c>
      <c r="N144" t="b">
        <v>0</v>
      </c>
      <c r="O144" t="s">
        <v>16</v>
      </c>
      <c r="P144" t="s">
        <v>22</v>
      </c>
      <c r="Q144" t="s">
        <v>41</v>
      </c>
      <c r="R144" t="b">
        <v>0</v>
      </c>
    </row>
    <row r="145" spans="1:18" x14ac:dyDescent="0.3">
      <c r="A145">
        <v>0</v>
      </c>
      <c r="B145" t="s">
        <v>26</v>
      </c>
      <c r="C145">
        <v>3</v>
      </c>
      <c r="D145" t="s">
        <v>32</v>
      </c>
      <c r="E145" t="s">
        <v>13</v>
      </c>
      <c r="F145" t="s">
        <v>36</v>
      </c>
      <c r="G145">
        <v>19</v>
      </c>
      <c r="H145">
        <v>0</v>
      </c>
      <c r="I145">
        <v>0</v>
      </c>
      <c r="J145">
        <v>6.75</v>
      </c>
      <c r="K145" t="s">
        <v>14</v>
      </c>
      <c r="L145" t="s">
        <v>15</v>
      </c>
      <c r="M145" t="s">
        <v>37</v>
      </c>
      <c r="N145" t="b">
        <v>1</v>
      </c>
      <c r="O145" t="s">
        <v>23</v>
      </c>
      <c r="P145" t="s">
        <v>17</v>
      </c>
      <c r="Q145" t="s">
        <v>38</v>
      </c>
      <c r="R145" t="b">
        <v>1</v>
      </c>
    </row>
    <row r="146" spans="1:18" x14ac:dyDescent="0.3">
      <c r="A146">
        <v>0</v>
      </c>
      <c r="B146" t="s">
        <v>26</v>
      </c>
      <c r="C146">
        <v>2</v>
      </c>
      <c r="D146" t="s">
        <v>31</v>
      </c>
      <c r="E146" t="s">
        <v>13</v>
      </c>
      <c r="F146" t="s">
        <v>36</v>
      </c>
      <c r="G146">
        <v>18</v>
      </c>
      <c r="H146">
        <v>0</v>
      </c>
      <c r="I146">
        <v>0</v>
      </c>
      <c r="J146">
        <v>11.5</v>
      </c>
      <c r="K146" t="s">
        <v>25</v>
      </c>
      <c r="L146" t="s">
        <v>15</v>
      </c>
      <c r="M146" t="s">
        <v>37</v>
      </c>
      <c r="N146" t="b">
        <v>1</v>
      </c>
      <c r="O146" t="s">
        <v>16</v>
      </c>
      <c r="P146" t="s">
        <v>17</v>
      </c>
      <c r="Q146" t="s">
        <v>38</v>
      </c>
      <c r="R146" t="b">
        <v>1</v>
      </c>
    </row>
    <row r="147" spans="1:18" x14ac:dyDescent="0.3">
      <c r="A147">
        <v>0</v>
      </c>
      <c r="B147" t="s">
        <v>26</v>
      </c>
      <c r="C147">
        <v>2</v>
      </c>
      <c r="D147" t="s">
        <v>31</v>
      </c>
      <c r="E147" t="s">
        <v>13</v>
      </c>
      <c r="F147" t="s">
        <v>36</v>
      </c>
      <c r="G147">
        <v>19</v>
      </c>
      <c r="H147">
        <v>1</v>
      </c>
      <c r="I147">
        <v>1</v>
      </c>
      <c r="J147">
        <v>36.75</v>
      </c>
      <c r="K147" t="s">
        <v>25</v>
      </c>
      <c r="L147" t="s">
        <v>15</v>
      </c>
      <c r="M147" t="s">
        <v>37</v>
      </c>
      <c r="N147" t="b">
        <v>1</v>
      </c>
      <c r="O147" t="s">
        <v>16</v>
      </c>
      <c r="P147" t="s">
        <v>17</v>
      </c>
      <c r="Q147" t="s">
        <v>38</v>
      </c>
      <c r="R147" t="b">
        <v>0</v>
      </c>
    </row>
    <row r="148" spans="1:18" x14ac:dyDescent="0.3">
      <c r="A148">
        <v>1</v>
      </c>
      <c r="B148" t="s">
        <v>27</v>
      </c>
      <c r="C148">
        <v>3</v>
      </c>
      <c r="D148" t="s">
        <v>32</v>
      </c>
      <c r="E148" t="s">
        <v>13</v>
      </c>
      <c r="F148" t="s">
        <v>36</v>
      </c>
      <c r="G148">
        <v>27</v>
      </c>
      <c r="H148">
        <v>0</v>
      </c>
      <c r="I148">
        <v>0</v>
      </c>
      <c r="J148">
        <v>7.7957999999999998</v>
      </c>
      <c r="K148" t="s">
        <v>14</v>
      </c>
      <c r="L148" t="s">
        <v>15</v>
      </c>
      <c r="M148" t="s">
        <v>37</v>
      </c>
      <c r="N148" t="b">
        <v>1</v>
      </c>
      <c r="O148" t="s">
        <v>16</v>
      </c>
      <c r="P148" t="s">
        <v>22</v>
      </c>
      <c r="Q148" t="s">
        <v>41</v>
      </c>
      <c r="R148" t="b">
        <v>1</v>
      </c>
    </row>
    <row r="149" spans="1:18" x14ac:dyDescent="0.3">
      <c r="A149">
        <v>0</v>
      </c>
      <c r="B149" t="s">
        <v>26</v>
      </c>
      <c r="C149">
        <v>3</v>
      </c>
      <c r="D149" t="s">
        <v>32</v>
      </c>
      <c r="E149" t="s">
        <v>18</v>
      </c>
      <c r="F149" t="s">
        <v>39</v>
      </c>
      <c r="G149">
        <v>9</v>
      </c>
      <c r="H149">
        <v>2</v>
      </c>
      <c r="I149">
        <v>2</v>
      </c>
      <c r="J149">
        <v>34.375</v>
      </c>
      <c r="K149" t="s">
        <v>14</v>
      </c>
      <c r="L149" t="s">
        <v>24</v>
      </c>
      <c r="M149" t="s">
        <v>42</v>
      </c>
      <c r="N149" t="b">
        <v>0</v>
      </c>
      <c r="O149" t="s">
        <v>16</v>
      </c>
      <c r="P149" t="s">
        <v>17</v>
      </c>
      <c r="Q149" t="s">
        <v>38</v>
      </c>
      <c r="R149" t="b">
        <v>0</v>
      </c>
    </row>
    <row r="150" spans="1:18" x14ac:dyDescent="0.3">
      <c r="A150">
        <v>0</v>
      </c>
      <c r="B150" t="s">
        <v>26</v>
      </c>
      <c r="C150">
        <v>2</v>
      </c>
      <c r="D150" t="s">
        <v>31</v>
      </c>
      <c r="E150" t="s">
        <v>13</v>
      </c>
      <c r="F150" t="s">
        <v>36</v>
      </c>
      <c r="G150">
        <v>36.5</v>
      </c>
      <c r="H150">
        <v>0</v>
      </c>
      <c r="I150">
        <v>2</v>
      </c>
      <c r="J150">
        <v>26</v>
      </c>
      <c r="K150" t="s">
        <v>25</v>
      </c>
      <c r="L150" t="s">
        <v>15</v>
      </c>
      <c r="M150" t="s">
        <v>37</v>
      </c>
      <c r="N150" t="b">
        <v>1</v>
      </c>
      <c r="O150" t="s">
        <v>16</v>
      </c>
      <c r="P150" t="s">
        <v>17</v>
      </c>
      <c r="Q150" t="s">
        <v>38</v>
      </c>
      <c r="R150" t="b">
        <v>0</v>
      </c>
    </row>
    <row r="151" spans="1:18" x14ac:dyDescent="0.3">
      <c r="A151">
        <v>0</v>
      </c>
      <c r="B151" t="s">
        <v>26</v>
      </c>
      <c r="C151">
        <v>2</v>
      </c>
      <c r="D151" t="s">
        <v>31</v>
      </c>
      <c r="E151" t="s">
        <v>13</v>
      </c>
      <c r="F151" t="s">
        <v>36</v>
      </c>
      <c r="G151">
        <v>42</v>
      </c>
      <c r="H151">
        <v>0</v>
      </c>
      <c r="I151">
        <v>0</v>
      </c>
      <c r="J151">
        <v>13</v>
      </c>
      <c r="K151" t="s">
        <v>25</v>
      </c>
      <c r="L151" t="s">
        <v>15</v>
      </c>
      <c r="M151" t="s">
        <v>37</v>
      </c>
      <c r="N151" t="b">
        <v>1</v>
      </c>
      <c r="O151" t="s">
        <v>16</v>
      </c>
      <c r="P151" t="s">
        <v>17</v>
      </c>
      <c r="Q151" t="s">
        <v>38</v>
      </c>
      <c r="R151" t="b">
        <v>1</v>
      </c>
    </row>
    <row r="152" spans="1:18" x14ac:dyDescent="0.3">
      <c r="A152">
        <v>0</v>
      </c>
      <c r="B152" t="s">
        <v>26</v>
      </c>
      <c r="C152">
        <v>2</v>
      </c>
      <c r="D152" t="s">
        <v>31</v>
      </c>
      <c r="E152" t="s">
        <v>13</v>
      </c>
      <c r="F152" t="s">
        <v>36</v>
      </c>
      <c r="G152">
        <v>51</v>
      </c>
      <c r="H152">
        <v>0</v>
      </c>
      <c r="I152">
        <v>0</v>
      </c>
      <c r="J152">
        <v>12.525</v>
      </c>
      <c r="K152" t="s">
        <v>25</v>
      </c>
      <c r="L152" t="s">
        <v>15</v>
      </c>
      <c r="M152" t="s">
        <v>37</v>
      </c>
      <c r="N152" t="b">
        <v>1</v>
      </c>
      <c r="O152" t="s">
        <v>16</v>
      </c>
      <c r="P152" t="s">
        <v>17</v>
      </c>
      <c r="Q152" t="s">
        <v>38</v>
      </c>
      <c r="R152" t="b">
        <v>1</v>
      </c>
    </row>
    <row r="153" spans="1:18" x14ac:dyDescent="0.3">
      <c r="A153">
        <v>1</v>
      </c>
      <c r="B153" t="s">
        <v>27</v>
      </c>
      <c r="C153">
        <v>1</v>
      </c>
      <c r="D153" t="s">
        <v>30</v>
      </c>
      <c r="E153" t="s">
        <v>18</v>
      </c>
      <c r="F153" t="s">
        <v>39</v>
      </c>
      <c r="G153">
        <v>22</v>
      </c>
      <c r="H153">
        <v>1</v>
      </c>
      <c r="I153">
        <v>0</v>
      </c>
      <c r="J153">
        <v>66.599999999999994</v>
      </c>
      <c r="K153" t="s">
        <v>19</v>
      </c>
      <c r="L153" t="s">
        <v>20</v>
      </c>
      <c r="M153" t="s">
        <v>40</v>
      </c>
      <c r="N153" t="b">
        <v>0</v>
      </c>
      <c r="O153" t="s">
        <v>16</v>
      </c>
      <c r="P153" t="s">
        <v>22</v>
      </c>
      <c r="Q153" t="s">
        <v>41</v>
      </c>
      <c r="R153" t="b">
        <v>0</v>
      </c>
    </row>
    <row r="154" spans="1:18" x14ac:dyDescent="0.3">
      <c r="A154">
        <v>0</v>
      </c>
      <c r="B154" t="s">
        <v>26</v>
      </c>
      <c r="C154">
        <v>3</v>
      </c>
      <c r="D154" t="s">
        <v>32</v>
      </c>
      <c r="E154" t="s">
        <v>13</v>
      </c>
      <c r="F154" t="s">
        <v>36</v>
      </c>
      <c r="G154">
        <v>55.5</v>
      </c>
      <c r="H154">
        <v>0</v>
      </c>
      <c r="I154">
        <v>0</v>
      </c>
      <c r="J154">
        <v>8.0500000000000007</v>
      </c>
      <c r="K154" t="s">
        <v>14</v>
      </c>
      <c r="L154" t="s">
        <v>15</v>
      </c>
      <c r="M154" t="s">
        <v>37</v>
      </c>
      <c r="N154" t="b">
        <v>1</v>
      </c>
      <c r="O154" t="s">
        <v>16</v>
      </c>
      <c r="P154" t="s">
        <v>17</v>
      </c>
      <c r="Q154" t="s">
        <v>38</v>
      </c>
      <c r="R154" t="b">
        <v>1</v>
      </c>
    </row>
    <row r="155" spans="1:18" x14ac:dyDescent="0.3">
      <c r="A155">
        <v>0</v>
      </c>
      <c r="B155" t="s">
        <v>26</v>
      </c>
      <c r="C155">
        <v>3</v>
      </c>
      <c r="D155" t="s">
        <v>32</v>
      </c>
      <c r="E155" t="s">
        <v>13</v>
      </c>
      <c r="F155" t="s">
        <v>36</v>
      </c>
      <c r="G155">
        <v>40.5</v>
      </c>
      <c r="H155">
        <v>0</v>
      </c>
      <c r="I155">
        <v>2</v>
      </c>
      <c r="J155">
        <v>14.5</v>
      </c>
      <c r="K155" t="s">
        <v>14</v>
      </c>
      <c r="L155" t="s">
        <v>15</v>
      </c>
      <c r="M155" t="s">
        <v>37</v>
      </c>
      <c r="N155" t="b">
        <v>1</v>
      </c>
      <c r="O155" t="s">
        <v>16</v>
      </c>
      <c r="P155" t="s">
        <v>17</v>
      </c>
      <c r="Q155" t="s">
        <v>38</v>
      </c>
      <c r="R155" t="b">
        <v>0</v>
      </c>
    </row>
    <row r="156" spans="1:18" x14ac:dyDescent="0.3">
      <c r="A156">
        <v>0</v>
      </c>
      <c r="B156" t="s">
        <v>26</v>
      </c>
      <c r="C156">
        <v>3</v>
      </c>
      <c r="D156" t="s">
        <v>32</v>
      </c>
      <c r="E156" t="s">
        <v>13</v>
      </c>
      <c r="F156" t="s">
        <v>36</v>
      </c>
      <c r="G156">
        <v>30</v>
      </c>
      <c r="H156">
        <v>0</v>
      </c>
      <c r="I156">
        <v>0</v>
      </c>
      <c r="J156">
        <v>7.3125</v>
      </c>
      <c r="K156" t="s">
        <v>14</v>
      </c>
      <c r="L156" t="s">
        <v>15</v>
      </c>
      <c r="M156" t="s">
        <v>37</v>
      </c>
      <c r="N156" t="b">
        <v>1</v>
      </c>
      <c r="O156" t="s">
        <v>16</v>
      </c>
      <c r="P156" t="s">
        <v>17</v>
      </c>
      <c r="Q156" t="s">
        <v>38</v>
      </c>
      <c r="R156" t="b">
        <v>1</v>
      </c>
    </row>
    <row r="157" spans="1:18" x14ac:dyDescent="0.3">
      <c r="A157">
        <v>0</v>
      </c>
      <c r="B157" t="s">
        <v>26</v>
      </c>
      <c r="C157">
        <v>1</v>
      </c>
      <c r="D157" t="s">
        <v>30</v>
      </c>
      <c r="E157" t="s">
        <v>13</v>
      </c>
      <c r="F157" t="s">
        <v>36</v>
      </c>
      <c r="G157">
        <v>51</v>
      </c>
      <c r="H157">
        <v>0</v>
      </c>
      <c r="I157">
        <v>1</v>
      </c>
      <c r="J157">
        <v>61.379199999999997</v>
      </c>
      <c r="K157" t="s">
        <v>19</v>
      </c>
      <c r="L157" t="s">
        <v>15</v>
      </c>
      <c r="M157" t="s">
        <v>37</v>
      </c>
      <c r="N157" t="b">
        <v>1</v>
      </c>
      <c r="O157" t="s">
        <v>21</v>
      </c>
      <c r="P157" t="s">
        <v>17</v>
      </c>
      <c r="Q157" t="s">
        <v>38</v>
      </c>
      <c r="R157" t="b">
        <v>0</v>
      </c>
    </row>
    <row r="158" spans="1:18" x14ac:dyDescent="0.3">
      <c r="A158">
        <v>1</v>
      </c>
      <c r="B158" t="s">
        <v>27</v>
      </c>
      <c r="C158">
        <v>3</v>
      </c>
      <c r="D158" t="s">
        <v>32</v>
      </c>
      <c r="E158" t="s">
        <v>18</v>
      </c>
      <c r="F158" t="s">
        <v>39</v>
      </c>
      <c r="G158">
        <v>16</v>
      </c>
      <c r="H158">
        <v>0</v>
      </c>
      <c r="I158">
        <v>0</v>
      </c>
      <c r="J158">
        <v>7.7332999999999998</v>
      </c>
      <c r="K158" t="s">
        <v>14</v>
      </c>
      <c r="L158" t="s">
        <v>20</v>
      </c>
      <c r="M158" t="s">
        <v>40</v>
      </c>
      <c r="N158" t="b">
        <v>0</v>
      </c>
      <c r="O158" t="s">
        <v>23</v>
      </c>
      <c r="P158" t="s">
        <v>22</v>
      </c>
      <c r="Q158" t="s">
        <v>41</v>
      </c>
      <c r="R158" t="b">
        <v>1</v>
      </c>
    </row>
    <row r="159" spans="1:18" x14ac:dyDescent="0.3">
      <c r="A159">
        <v>0</v>
      </c>
      <c r="B159" t="s">
        <v>26</v>
      </c>
      <c r="C159">
        <v>3</v>
      </c>
      <c r="D159" t="s">
        <v>32</v>
      </c>
      <c r="E159" t="s">
        <v>13</v>
      </c>
      <c r="F159" t="s">
        <v>36</v>
      </c>
      <c r="G159">
        <v>30</v>
      </c>
      <c r="H159">
        <v>0</v>
      </c>
      <c r="I159">
        <v>0</v>
      </c>
      <c r="J159">
        <v>8.0500000000000007</v>
      </c>
      <c r="K159" t="s">
        <v>14</v>
      </c>
      <c r="L159" t="s">
        <v>15</v>
      </c>
      <c r="M159" t="s">
        <v>37</v>
      </c>
      <c r="N159" t="b">
        <v>1</v>
      </c>
      <c r="O159" t="s">
        <v>16</v>
      </c>
      <c r="P159" t="s">
        <v>17</v>
      </c>
      <c r="Q159" t="s">
        <v>38</v>
      </c>
      <c r="R159" t="b">
        <v>1</v>
      </c>
    </row>
    <row r="160" spans="1:18" x14ac:dyDescent="0.3">
      <c r="A160">
        <v>0</v>
      </c>
      <c r="B160" t="s">
        <v>26</v>
      </c>
      <c r="C160">
        <v>3</v>
      </c>
      <c r="D160" t="s">
        <v>32</v>
      </c>
      <c r="E160" t="s">
        <v>13</v>
      </c>
      <c r="F160" t="s">
        <v>36</v>
      </c>
      <c r="G160">
        <v>30</v>
      </c>
      <c r="H160">
        <v>0</v>
      </c>
      <c r="I160">
        <v>0</v>
      </c>
      <c r="J160">
        <v>8.6624999999999996</v>
      </c>
      <c r="K160" t="s">
        <v>14</v>
      </c>
      <c r="L160" t="s">
        <v>15</v>
      </c>
      <c r="M160" t="s">
        <v>37</v>
      </c>
      <c r="N160" t="b">
        <v>1</v>
      </c>
      <c r="O160" t="s">
        <v>16</v>
      </c>
      <c r="P160" t="s">
        <v>17</v>
      </c>
      <c r="Q160" t="s">
        <v>38</v>
      </c>
      <c r="R160" t="b">
        <v>1</v>
      </c>
    </row>
    <row r="161" spans="1:18" x14ac:dyDescent="0.3">
      <c r="A161">
        <v>0</v>
      </c>
      <c r="B161" t="s">
        <v>26</v>
      </c>
      <c r="C161">
        <v>3</v>
      </c>
      <c r="D161" t="s">
        <v>32</v>
      </c>
      <c r="E161" t="s">
        <v>13</v>
      </c>
      <c r="F161" t="s">
        <v>36</v>
      </c>
      <c r="G161">
        <v>30</v>
      </c>
      <c r="H161">
        <v>8</v>
      </c>
      <c r="I161">
        <v>2</v>
      </c>
      <c r="J161">
        <v>69.55</v>
      </c>
      <c r="K161" t="s">
        <v>14</v>
      </c>
      <c r="L161" t="s">
        <v>15</v>
      </c>
      <c r="M161" t="s">
        <v>37</v>
      </c>
      <c r="N161" t="b">
        <v>1</v>
      </c>
      <c r="O161" t="s">
        <v>16</v>
      </c>
      <c r="P161" t="s">
        <v>17</v>
      </c>
      <c r="Q161" t="s">
        <v>38</v>
      </c>
      <c r="R161" t="b">
        <v>0</v>
      </c>
    </row>
    <row r="162" spans="1:18" x14ac:dyDescent="0.3">
      <c r="A162">
        <v>0</v>
      </c>
      <c r="B162" t="s">
        <v>26</v>
      </c>
      <c r="C162">
        <v>3</v>
      </c>
      <c r="D162" t="s">
        <v>32</v>
      </c>
      <c r="E162" t="s">
        <v>13</v>
      </c>
      <c r="F162" t="s">
        <v>36</v>
      </c>
      <c r="G162">
        <v>44</v>
      </c>
      <c r="H162">
        <v>0</v>
      </c>
      <c r="I162">
        <v>1</v>
      </c>
      <c r="J162">
        <v>16.100000000000001</v>
      </c>
      <c r="K162" t="s">
        <v>14</v>
      </c>
      <c r="L162" t="s">
        <v>15</v>
      </c>
      <c r="M162" t="s">
        <v>37</v>
      </c>
      <c r="N162" t="b">
        <v>1</v>
      </c>
      <c r="O162" t="s">
        <v>16</v>
      </c>
      <c r="P162" t="s">
        <v>17</v>
      </c>
      <c r="Q162" t="s">
        <v>38</v>
      </c>
      <c r="R162" t="b">
        <v>0</v>
      </c>
    </row>
    <row r="163" spans="1:18" x14ac:dyDescent="0.3">
      <c r="A163">
        <v>1</v>
      </c>
      <c r="B163" t="s">
        <v>27</v>
      </c>
      <c r="C163">
        <v>2</v>
      </c>
      <c r="D163" t="s">
        <v>31</v>
      </c>
      <c r="E163" t="s">
        <v>18</v>
      </c>
      <c r="F163" t="s">
        <v>39</v>
      </c>
      <c r="G163">
        <v>40</v>
      </c>
      <c r="H163">
        <v>0</v>
      </c>
      <c r="I163">
        <v>0</v>
      </c>
      <c r="J163">
        <v>15.75</v>
      </c>
      <c r="K163" t="s">
        <v>25</v>
      </c>
      <c r="L163" t="s">
        <v>20</v>
      </c>
      <c r="M163" t="s">
        <v>40</v>
      </c>
      <c r="N163" t="b">
        <v>0</v>
      </c>
      <c r="O163" t="s">
        <v>16</v>
      </c>
      <c r="P163" t="s">
        <v>22</v>
      </c>
      <c r="Q163" t="s">
        <v>41</v>
      </c>
      <c r="R163" t="b">
        <v>1</v>
      </c>
    </row>
    <row r="164" spans="1:18" x14ac:dyDescent="0.3">
      <c r="A164">
        <v>0</v>
      </c>
      <c r="B164" t="s">
        <v>26</v>
      </c>
      <c r="C164">
        <v>3</v>
      </c>
      <c r="D164" t="s">
        <v>32</v>
      </c>
      <c r="E164" t="s">
        <v>13</v>
      </c>
      <c r="F164" t="s">
        <v>36</v>
      </c>
      <c r="G164">
        <v>26</v>
      </c>
      <c r="H164">
        <v>0</v>
      </c>
      <c r="I164">
        <v>0</v>
      </c>
      <c r="J164">
        <v>7.7750000000000004</v>
      </c>
      <c r="K164" t="s">
        <v>14</v>
      </c>
      <c r="L164" t="s">
        <v>15</v>
      </c>
      <c r="M164" t="s">
        <v>37</v>
      </c>
      <c r="N164" t="b">
        <v>1</v>
      </c>
      <c r="O164" t="s">
        <v>16</v>
      </c>
      <c r="P164" t="s">
        <v>17</v>
      </c>
      <c r="Q164" t="s">
        <v>38</v>
      </c>
      <c r="R164" t="b">
        <v>1</v>
      </c>
    </row>
    <row r="165" spans="1:18" x14ac:dyDescent="0.3">
      <c r="A165">
        <v>0</v>
      </c>
      <c r="B165" t="s">
        <v>26</v>
      </c>
      <c r="C165">
        <v>3</v>
      </c>
      <c r="D165" t="s">
        <v>32</v>
      </c>
      <c r="E165" t="s">
        <v>13</v>
      </c>
      <c r="F165" t="s">
        <v>36</v>
      </c>
      <c r="G165">
        <v>17</v>
      </c>
      <c r="H165">
        <v>0</v>
      </c>
      <c r="I165">
        <v>0</v>
      </c>
      <c r="J165">
        <v>8.6624999999999996</v>
      </c>
      <c r="K165" t="s">
        <v>14</v>
      </c>
      <c r="L165" t="s">
        <v>15</v>
      </c>
      <c r="M165" t="s">
        <v>37</v>
      </c>
      <c r="N165" t="b">
        <v>1</v>
      </c>
      <c r="O165" t="s">
        <v>16</v>
      </c>
      <c r="P165" t="s">
        <v>17</v>
      </c>
      <c r="Q165" t="s">
        <v>38</v>
      </c>
      <c r="R165" t="b">
        <v>1</v>
      </c>
    </row>
    <row r="166" spans="1:18" x14ac:dyDescent="0.3">
      <c r="A166">
        <v>0</v>
      </c>
      <c r="B166" t="s">
        <v>26</v>
      </c>
      <c r="C166">
        <v>3</v>
      </c>
      <c r="D166" t="s">
        <v>32</v>
      </c>
      <c r="E166" t="s">
        <v>13</v>
      </c>
      <c r="F166" t="s">
        <v>36</v>
      </c>
      <c r="G166">
        <v>1</v>
      </c>
      <c r="H166">
        <v>4</v>
      </c>
      <c r="I166">
        <v>1</v>
      </c>
      <c r="J166">
        <v>39.6875</v>
      </c>
      <c r="K166" t="s">
        <v>14</v>
      </c>
      <c r="L166" t="s">
        <v>24</v>
      </c>
      <c r="M166" t="s">
        <v>42</v>
      </c>
      <c r="N166" t="b">
        <v>0</v>
      </c>
      <c r="O166" t="s">
        <v>16</v>
      </c>
      <c r="P166" t="s">
        <v>17</v>
      </c>
      <c r="Q166" t="s">
        <v>38</v>
      </c>
      <c r="R166" t="b">
        <v>0</v>
      </c>
    </row>
    <row r="167" spans="1:18" x14ac:dyDescent="0.3">
      <c r="A167">
        <v>1</v>
      </c>
      <c r="B167" t="s">
        <v>27</v>
      </c>
      <c r="C167">
        <v>3</v>
      </c>
      <c r="D167" t="s">
        <v>32</v>
      </c>
      <c r="E167" t="s">
        <v>13</v>
      </c>
      <c r="F167" t="s">
        <v>36</v>
      </c>
      <c r="G167">
        <v>9</v>
      </c>
      <c r="H167">
        <v>0</v>
      </c>
      <c r="I167">
        <v>2</v>
      </c>
      <c r="J167">
        <v>20.524999999999999</v>
      </c>
      <c r="K167" t="s">
        <v>14</v>
      </c>
      <c r="L167" t="s">
        <v>24</v>
      </c>
      <c r="M167" t="s">
        <v>42</v>
      </c>
      <c r="N167" t="b">
        <v>0</v>
      </c>
      <c r="O167" t="s">
        <v>16</v>
      </c>
      <c r="P167" t="s">
        <v>22</v>
      </c>
      <c r="Q167" t="s">
        <v>41</v>
      </c>
      <c r="R167" t="b">
        <v>0</v>
      </c>
    </row>
    <row r="168" spans="1:18" x14ac:dyDescent="0.3">
      <c r="A168">
        <v>1</v>
      </c>
      <c r="B168" t="s">
        <v>27</v>
      </c>
      <c r="C168">
        <v>1</v>
      </c>
      <c r="D168" t="s">
        <v>30</v>
      </c>
      <c r="E168" t="s">
        <v>18</v>
      </c>
      <c r="F168" t="s">
        <v>39</v>
      </c>
      <c r="G168">
        <v>30</v>
      </c>
      <c r="H168">
        <v>0</v>
      </c>
      <c r="I168">
        <v>1</v>
      </c>
      <c r="J168">
        <v>55</v>
      </c>
      <c r="K168" t="s">
        <v>19</v>
      </c>
      <c r="L168" t="s">
        <v>20</v>
      </c>
      <c r="M168" t="s">
        <v>40</v>
      </c>
      <c r="N168" t="b">
        <v>0</v>
      </c>
      <c r="O168" t="s">
        <v>16</v>
      </c>
      <c r="P168" t="s">
        <v>22</v>
      </c>
      <c r="Q168" t="s">
        <v>41</v>
      </c>
      <c r="R168" t="b">
        <v>0</v>
      </c>
    </row>
    <row r="169" spans="1:18" x14ac:dyDescent="0.3">
      <c r="A169">
        <v>0</v>
      </c>
      <c r="B169" t="s">
        <v>26</v>
      </c>
      <c r="C169">
        <v>3</v>
      </c>
      <c r="D169" t="s">
        <v>32</v>
      </c>
      <c r="E169" t="s">
        <v>18</v>
      </c>
      <c r="F169" t="s">
        <v>39</v>
      </c>
      <c r="G169">
        <v>45</v>
      </c>
      <c r="H169">
        <v>1</v>
      </c>
      <c r="I169">
        <v>4</v>
      </c>
      <c r="J169">
        <v>27.9</v>
      </c>
      <c r="K169" t="s">
        <v>14</v>
      </c>
      <c r="L169" t="s">
        <v>20</v>
      </c>
      <c r="M169" t="s">
        <v>40</v>
      </c>
      <c r="N169" t="b">
        <v>0</v>
      </c>
      <c r="O169" t="s">
        <v>16</v>
      </c>
      <c r="P169" t="s">
        <v>17</v>
      </c>
      <c r="Q169" t="s">
        <v>38</v>
      </c>
      <c r="R169" t="b">
        <v>0</v>
      </c>
    </row>
    <row r="170" spans="1:18" x14ac:dyDescent="0.3">
      <c r="A170">
        <v>0</v>
      </c>
      <c r="B170" t="s">
        <v>26</v>
      </c>
      <c r="C170">
        <v>1</v>
      </c>
      <c r="D170" t="s">
        <v>30</v>
      </c>
      <c r="E170" t="s">
        <v>13</v>
      </c>
      <c r="F170" t="s">
        <v>36</v>
      </c>
      <c r="G170">
        <v>30</v>
      </c>
      <c r="H170">
        <v>0</v>
      </c>
      <c r="I170">
        <v>0</v>
      </c>
      <c r="J170">
        <v>25.925000000000001</v>
      </c>
      <c r="K170" t="s">
        <v>19</v>
      </c>
      <c r="L170" t="s">
        <v>15</v>
      </c>
      <c r="M170" t="s">
        <v>37</v>
      </c>
      <c r="N170" t="b">
        <v>1</v>
      </c>
      <c r="O170" t="s">
        <v>16</v>
      </c>
      <c r="P170" t="s">
        <v>17</v>
      </c>
      <c r="Q170" t="s">
        <v>38</v>
      </c>
      <c r="R170" t="b">
        <v>1</v>
      </c>
    </row>
    <row r="171" spans="1:18" x14ac:dyDescent="0.3">
      <c r="A171">
        <v>0</v>
      </c>
      <c r="B171" t="s">
        <v>26</v>
      </c>
      <c r="C171">
        <v>3</v>
      </c>
      <c r="D171" t="s">
        <v>32</v>
      </c>
      <c r="E171" t="s">
        <v>13</v>
      </c>
      <c r="F171" t="s">
        <v>36</v>
      </c>
      <c r="G171">
        <v>28</v>
      </c>
      <c r="H171">
        <v>0</v>
      </c>
      <c r="I171">
        <v>0</v>
      </c>
      <c r="J171">
        <v>56.495800000000003</v>
      </c>
      <c r="K171" t="s">
        <v>14</v>
      </c>
      <c r="L171" t="s">
        <v>15</v>
      </c>
      <c r="M171" t="s">
        <v>37</v>
      </c>
      <c r="N171" t="b">
        <v>1</v>
      </c>
      <c r="O171" t="s">
        <v>16</v>
      </c>
      <c r="P171" t="s">
        <v>17</v>
      </c>
      <c r="Q171" t="s">
        <v>38</v>
      </c>
      <c r="R171" t="b">
        <v>1</v>
      </c>
    </row>
    <row r="172" spans="1:18" x14ac:dyDescent="0.3">
      <c r="A172">
        <v>0</v>
      </c>
      <c r="B172" t="s">
        <v>26</v>
      </c>
      <c r="C172">
        <v>1</v>
      </c>
      <c r="D172" t="s">
        <v>30</v>
      </c>
      <c r="E172" t="s">
        <v>13</v>
      </c>
      <c r="F172" t="s">
        <v>36</v>
      </c>
      <c r="G172">
        <v>61</v>
      </c>
      <c r="H172">
        <v>0</v>
      </c>
      <c r="I172">
        <v>0</v>
      </c>
      <c r="J172">
        <v>33.5</v>
      </c>
      <c r="K172" t="s">
        <v>19</v>
      </c>
      <c r="L172" t="s">
        <v>15</v>
      </c>
      <c r="M172" t="s">
        <v>37</v>
      </c>
      <c r="N172" t="b">
        <v>1</v>
      </c>
      <c r="O172" t="s">
        <v>16</v>
      </c>
      <c r="P172" t="s">
        <v>17</v>
      </c>
      <c r="Q172" t="s">
        <v>38</v>
      </c>
      <c r="R172" t="b">
        <v>1</v>
      </c>
    </row>
    <row r="173" spans="1:18" x14ac:dyDescent="0.3">
      <c r="A173">
        <v>0</v>
      </c>
      <c r="B173" t="s">
        <v>26</v>
      </c>
      <c r="C173">
        <v>3</v>
      </c>
      <c r="D173" t="s">
        <v>32</v>
      </c>
      <c r="E173" t="s">
        <v>13</v>
      </c>
      <c r="F173" t="s">
        <v>36</v>
      </c>
      <c r="G173">
        <v>4</v>
      </c>
      <c r="H173">
        <v>4</v>
      </c>
      <c r="I173">
        <v>1</v>
      </c>
      <c r="J173">
        <v>29.125</v>
      </c>
      <c r="K173" t="s">
        <v>14</v>
      </c>
      <c r="L173" t="s">
        <v>24</v>
      </c>
      <c r="M173" t="s">
        <v>42</v>
      </c>
      <c r="N173" t="b">
        <v>0</v>
      </c>
      <c r="O173" t="s">
        <v>23</v>
      </c>
      <c r="P173" t="s">
        <v>17</v>
      </c>
      <c r="Q173" t="s">
        <v>38</v>
      </c>
      <c r="R173" t="b">
        <v>0</v>
      </c>
    </row>
    <row r="174" spans="1:18" x14ac:dyDescent="0.3">
      <c r="A174">
        <v>1</v>
      </c>
      <c r="B174" t="s">
        <v>27</v>
      </c>
      <c r="C174">
        <v>3</v>
      </c>
      <c r="D174" t="s">
        <v>32</v>
      </c>
      <c r="E174" t="s">
        <v>18</v>
      </c>
      <c r="F174" t="s">
        <v>39</v>
      </c>
      <c r="G174">
        <v>1</v>
      </c>
      <c r="H174">
        <v>1</v>
      </c>
      <c r="I174">
        <v>1</v>
      </c>
      <c r="J174">
        <v>11.1333</v>
      </c>
      <c r="K174" t="s">
        <v>14</v>
      </c>
      <c r="L174" t="s">
        <v>24</v>
      </c>
      <c r="M174" t="s">
        <v>42</v>
      </c>
      <c r="N174" t="b">
        <v>0</v>
      </c>
      <c r="O174" t="s">
        <v>16</v>
      </c>
      <c r="P174" t="s">
        <v>22</v>
      </c>
      <c r="Q174" t="s">
        <v>41</v>
      </c>
      <c r="R174" t="b">
        <v>0</v>
      </c>
    </row>
    <row r="175" spans="1:18" x14ac:dyDescent="0.3">
      <c r="A175">
        <v>0</v>
      </c>
      <c r="B175" t="s">
        <v>26</v>
      </c>
      <c r="C175">
        <v>3</v>
      </c>
      <c r="D175" t="s">
        <v>32</v>
      </c>
      <c r="E175" t="s">
        <v>13</v>
      </c>
      <c r="F175" t="s">
        <v>36</v>
      </c>
      <c r="G175">
        <v>21</v>
      </c>
      <c r="H175">
        <v>0</v>
      </c>
      <c r="I175">
        <v>0</v>
      </c>
      <c r="J175">
        <v>7.9249999999999998</v>
      </c>
      <c r="K175" t="s">
        <v>14</v>
      </c>
      <c r="L175" t="s">
        <v>15</v>
      </c>
      <c r="M175" t="s">
        <v>37</v>
      </c>
      <c r="N175" t="b">
        <v>1</v>
      </c>
      <c r="O175" t="s">
        <v>16</v>
      </c>
      <c r="P175" t="s">
        <v>17</v>
      </c>
      <c r="Q175" t="s">
        <v>38</v>
      </c>
      <c r="R175" t="b">
        <v>1</v>
      </c>
    </row>
    <row r="176" spans="1:18" x14ac:dyDescent="0.3">
      <c r="A176">
        <v>0</v>
      </c>
      <c r="B176" t="s">
        <v>26</v>
      </c>
      <c r="C176">
        <v>1</v>
      </c>
      <c r="D176" t="s">
        <v>30</v>
      </c>
      <c r="E176" t="s">
        <v>13</v>
      </c>
      <c r="F176" t="s">
        <v>36</v>
      </c>
      <c r="G176">
        <v>56</v>
      </c>
      <c r="H176">
        <v>0</v>
      </c>
      <c r="I176">
        <v>0</v>
      </c>
      <c r="J176">
        <v>30.695799999999998</v>
      </c>
      <c r="K176" t="s">
        <v>19</v>
      </c>
      <c r="L176" t="s">
        <v>15</v>
      </c>
      <c r="M176" t="s">
        <v>37</v>
      </c>
      <c r="N176" t="b">
        <v>1</v>
      </c>
      <c r="O176" t="s">
        <v>21</v>
      </c>
      <c r="P176" t="s">
        <v>17</v>
      </c>
      <c r="Q176" t="s">
        <v>38</v>
      </c>
      <c r="R176" t="b">
        <v>1</v>
      </c>
    </row>
    <row r="177" spans="1:18" x14ac:dyDescent="0.3">
      <c r="A177">
        <v>0</v>
      </c>
      <c r="B177" t="s">
        <v>26</v>
      </c>
      <c r="C177">
        <v>3</v>
      </c>
      <c r="D177" t="s">
        <v>32</v>
      </c>
      <c r="E177" t="s">
        <v>13</v>
      </c>
      <c r="F177" t="s">
        <v>36</v>
      </c>
      <c r="G177">
        <v>18</v>
      </c>
      <c r="H177">
        <v>1</v>
      </c>
      <c r="I177">
        <v>1</v>
      </c>
      <c r="J177">
        <v>7.8541999999999996</v>
      </c>
      <c r="K177" t="s">
        <v>14</v>
      </c>
      <c r="L177" t="s">
        <v>15</v>
      </c>
      <c r="M177" t="s">
        <v>37</v>
      </c>
      <c r="N177" t="b">
        <v>1</v>
      </c>
      <c r="O177" t="s">
        <v>16</v>
      </c>
      <c r="P177" t="s">
        <v>17</v>
      </c>
      <c r="Q177" t="s">
        <v>38</v>
      </c>
      <c r="R177" t="b">
        <v>0</v>
      </c>
    </row>
    <row r="178" spans="1:18" x14ac:dyDescent="0.3">
      <c r="A178">
        <v>0</v>
      </c>
      <c r="B178" t="s">
        <v>26</v>
      </c>
      <c r="C178">
        <v>3</v>
      </c>
      <c r="D178" t="s">
        <v>32</v>
      </c>
      <c r="E178" t="s">
        <v>13</v>
      </c>
      <c r="F178" t="s">
        <v>36</v>
      </c>
      <c r="G178">
        <v>30</v>
      </c>
      <c r="H178">
        <v>3</v>
      </c>
      <c r="I178">
        <v>1</v>
      </c>
      <c r="J178">
        <v>25.466699999999999</v>
      </c>
      <c r="K178" t="s">
        <v>14</v>
      </c>
      <c r="L178" t="s">
        <v>15</v>
      </c>
      <c r="M178" t="s">
        <v>37</v>
      </c>
      <c r="N178" t="b">
        <v>1</v>
      </c>
      <c r="O178" t="s">
        <v>16</v>
      </c>
      <c r="P178" t="s">
        <v>17</v>
      </c>
      <c r="Q178" t="s">
        <v>38</v>
      </c>
      <c r="R178" t="b">
        <v>0</v>
      </c>
    </row>
    <row r="179" spans="1:18" x14ac:dyDescent="0.3">
      <c r="A179">
        <v>0</v>
      </c>
      <c r="B179" t="s">
        <v>26</v>
      </c>
      <c r="C179">
        <v>1</v>
      </c>
      <c r="D179" t="s">
        <v>30</v>
      </c>
      <c r="E179" t="s">
        <v>18</v>
      </c>
      <c r="F179" t="s">
        <v>39</v>
      </c>
      <c r="G179">
        <v>50</v>
      </c>
      <c r="H179">
        <v>0</v>
      </c>
      <c r="I179">
        <v>0</v>
      </c>
      <c r="J179">
        <v>28.712499999999999</v>
      </c>
      <c r="K179" t="s">
        <v>19</v>
      </c>
      <c r="L179" t="s">
        <v>20</v>
      </c>
      <c r="M179" t="s">
        <v>40</v>
      </c>
      <c r="N179" t="b">
        <v>0</v>
      </c>
      <c r="O179" t="s">
        <v>21</v>
      </c>
      <c r="P179" t="s">
        <v>17</v>
      </c>
      <c r="Q179" t="s">
        <v>38</v>
      </c>
      <c r="R179" t="b">
        <v>1</v>
      </c>
    </row>
    <row r="180" spans="1:18" x14ac:dyDescent="0.3">
      <c r="A180">
        <v>0</v>
      </c>
      <c r="B180" t="s">
        <v>26</v>
      </c>
      <c r="C180">
        <v>2</v>
      </c>
      <c r="D180" t="s">
        <v>31</v>
      </c>
      <c r="E180" t="s">
        <v>13</v>
      </c>
      <c r="F180" t="s">
        <v>36</v>
      </c>
      <c r="G180">
        <v>30</v>
      </c>
      <c r="H180">
        <v>0</v>
      </c>
      <c r="I180">
        <v>0</v>
      </c>
      <c r="J180">
        <v>13</v>
      </c>
      <c r="K180" t="s">
        <v>25</v>
      </c>
      <c r="L180" t="s">
        <v>15</v>
      </c>
      <c r="M180" t="s">
        <v>37</v>
      </c>
      <c r="N180" t="b">
        <v>1</v>
      </c>
      <c r="O180" t="s">
        <v>16</v>
      </c>
      <c r="P180" t="s">
        <v>17</v>
      </c>
      <c r="Q180" t="s">
        <v>38</v>
      </c>
      <c r="R180" t="b">
        <v>1</v>
      </c>
    </row>
    <row r="181" spans="1:18" x14ac:dyDescent="0.3">
      <c r="A181">
        <v>0</v>
      </c>
      <c r="B181" t="s">
        <v>26</v>
      </c>
      <c r="C181">
        <v>3</v>
      </c>
      <c r="D181" t="s">
        <v>32</v>
      </c>
      <c r="E181" t="s">
        <v>13</v>
      </c>
      <c r="F181" t="s">
        <v>36</v>
      </c>
      <c r="G181">
        <v>36</v>
      </c>
      <c r="H181">
        <v>0</v>
      </c>
      <c r="I181">
        <v>0</v>
      </c>
      <c r="J181">
        <v>0</v>
      </c>
      <c r="K181" t="s">
        <v>14</v>
      </c>
      <c r="L181" t="s">
        <v>15</v>
      </c>
      <c r="M181" t="s">
        <v>37</v>
      </c>
      <c r="N181" t="b">
        <v>1</v>
      </c>
      <c r="O181" t="s">
        <v>16</v>
      </c>
      <c r="P181" t="s">
        <v>17</v>
      </c>
      <c r="Q181" t="s">
        <v>38</v>
      </c>
      <c r="R181" t="b">
        <v>1</v>
      </c>
    </row>
    <row r="182" spans="1:18" x14ac:dyDescent="0.3">
      <c r="A182">
        <v>0</v>
      </c>
      <c r="B182" t="s">
        <v>26</v>
      </c>
      <c r="C182">
        <v>3</v>
      </c>
      <c r="D182" t="s">
        <v>32</v>
      </c>
      <c r="E182" t="s">
        <v>18</v>
      </c>
      <c r="F182" t="s">
        <v>39</v>
      </c>
      <c r="G182">
        <v>30</v>
      </c>
      <c r="H182">
        <v>8</v>
      </c>
      <c r="I182">
        <v>2</v>
      </c>
      <c r="J182">
        <v>69.55</v>
      </c>
      <c r="K182" t="s">
        <v>14</v>
      </c>
      <c r="L182" t="s">
        <v>20</v>
      </c>
      <c r="M182" t="s">
        <v>40</v>
      </c>
      <c r="N182" t="b">
        <v>0</v>
      </c>
      <c r="O182" t="s">
        <v>16</v>
      </c>
      <c r="P182" t="s">
        <v>17</v>
      </c>
      <c r="Q182" t="s">
        <v>38</v>
      </c>
      <c r="R182" t="b">
        <v>0</v>
      </c>
    </row>
    <row r="183" spans="1:18" x14ac:dyDescent="0.3">
      <c r="A183">
        <v>0</v>
      </c>
      <c r="B183" t="s">
        <v>26</v>
      </c>
      <c r="C183">
        <v>2</v>
      </c>
      <c r="D183" t="s">
        <v>31</v>
      </c>
      <c r="E183" t="s">
        <v>13</v>
      </c>
      <c r="F183" t="s">
        <v>36</v>
      </c>
      <c r="G183">
        <v>30</v>
      </c>
      <c r="H183">
        <v>0</v>
      </c>
      <c r="I183">
        <v>0</v>
      </c>
      <c r="J183">
        <v>15.05</v>
      </c>
      <c r="K183" t="s">
        <v>25</v>
      </c>
      <c r="L183" t="s">
        <v>15</v>
      </c>
      <c r="M183" t="s">
        <v>37</v>
      </c>
      <c r="N183" t="b">
        <v>1</v>
      </c>
      <c r="O183" t="s">
        <v>21</v>
      </c>
      <c r="P183" t="s">
        <v>17</v>
      </c>
      <c r="Q183" t="s">
        <v>38</v>
      </c>
      <c r="R183" t="b">
        <v>1</v>
      </c>
    </row>
    <row r="184" spans="1:18" x14ac:dyDescent="0.3">
      <c r="A184">
        <v>0</v>
      </c>
      <c r="B184" t="s">
        <v>26</v>
      </c>
      <c r="C184">
        <v>3</v>
      </c>
      <c r="D184" t="s">
        <v>32</v>
      </c>
      <c r="E184" t="s">
        <v>13</v>
      </c>
      <c r="F184" t="s">
        <v>36</v>
      </c>
      <c r="G184">
        <v>9</v>
      </c>
      <c r="H184">
        <v>4</v>
      </c>
      <c r="I184">
        <v>2</v>
      </c>
      <c r="J184">
        <v>31.387499999999999</v>
      </c>
      <c r="K184" t="s">
        <v>14</v>
      </c>
      <c r="L184" t="s">
        <v>24</v>
      </c>
      <c r="M184" t="s">
        <v>42</v>
      </c>
      <c r="N184" t="b">
        <v>0</v>
      </c>
      <c r="O184" t="s">
        <v>16</v>
      </c>
      <c r="P184" t="s">
        <v>17</v>
      </c>
      <c r="Q184" t="s">
        <v>38</v>
      </c>
      <c r="R184" t="b">
        <v>0</v>
      </c>
    </row>
    <row r="185" spans="1:18" x14ac:dyDescent="0.3">
      <c r="A185">
        <v>1</v>
      </c>
      <c r="B185" t="s">
        <v>27</v>
      </c>
      <c r="C185">
        <v>2</v>
      </c>
      <c r="D185" t="s">
        <v>31</v>
      </c>
      <c r="E185" t="s">
        <v>13</v>
      </c>
      <c r="F185" t="s">
        <v>36</v>
      </c>
      <c r="G185">
        <v>1</v>
      </c>
      <c r="H185">
        <v>2</v>
      </c>
      <c r="I185">
        <v>1</v>
      </c>
      <c r="J185">
        <v>39</v>
      </c>
      <c r="K185" t="s">
        <v>25</v>
      </c>
      <c r="L185" t="s">
        <v>24</v>
      </c>
      <c r="M185" t="s">
        <v>42</v>
      </c>
      <c r="N185" t="b">
        <v>0</v>
      </c>
      <c r="O185" t="s">
        <v>16</v>
      </c>
      <c r="P185" t="s">
        <v>22</v>
      </c>
      <c r="Q185" t="s">
        <v>41</v>
      </c>
      <c r="R185" t="b">
        <v>0</v>
      </c>
    </row>
    <row r="186" spans="1:18" x14ac:dyDescent="0.3">
      <c r="A186">
        <v>1</v>
      </c>
      <c r="B186" t="s">
        <v>27</v>
      </c>
      <c r="C186">
        <v>3</v>
      </c>
      <c r="D186" t="s">
        <v>32</v>
      </c>
      <c r="E186" t="s">
        <v>18</v>
      </c>
      <c r="F186" t="s">
        <v>39</v>
      </c>
      <c r="G186">
        <v>4</v>
      </c>
      <c r="H186">
        <v>0</v>
      </c>
      <c r="I186">
        <v>2</v>
      </c>
      <c r="J186">
        <v>22.024999999999999</v>
      </c>
      <c r="K186" t="s">
        <v>14</v>
      </c>
      <c r="L186" t="s">
        <v>24</v>
      </c>
      <c r="M186" t="s">
        <v>42</v>
      </c>
      <c r="N186" t="b">
        <v>0</v>
      </c>
      <c r="O186" t="s">
        <v>16</v>
      </c>
      <c r="P186" t="s">
        <v>22</v>
      </c>
      <c r="Q186" t="s">
        <v>41</v>
      </c>
      <c r="R186" t="b">
        <v>0</v>
      </c>
    </row>
    <row r="187" spans="1:18" x14ac:dyDescent="0.3">
      <c r="A187">
        <v>0</v>
      </c>
      <c r="B187" t="s">
        <v>26</v>
      </c>
      <c r="C187">
        <v>1</v>
      </c>
      <c r="D187" t="s">
        <v>30</v>
      </c>
      <c r="E187" t="s">
        <v>13</v>
      </c>
      <c r="F187" t="s">
        <v>36</v>
      </c>
      <c r="G187">
        <v>30</v>
      </c>
      <c r="H187">
        <v>0</v>
      </c>
      <c r="I187">
        <v>0</v>
      </c>
      <c r="J187">
        <v>50</v>
      </c>
      <c r="K187" t="s">
        <v>19</v>
      </c>
      <c r="L187" t="s">
        <v>15</v>
      </c>
      <c r="M187" t="s">
        <v>37</v>
      </c>
      <c r="N187" t="b">
        <v>1</v>
      </c>
      <c r="O187" t="s">
        <v>16</v>
      </c>
      <c r="P187" t="s">
        <v>17</v>
      </c>
      <c r="Q187" t="s">
        <v>38</v>
      </c>
      <c r="R187" t="b">
        <v>1</v>
      </c>
    </row>
    <row r="188" spans="1:18" x14ac:dyDescent="0.3">
      <c r="A188">
        <v>1</v>
      </c>
      <c r="B188" t="s">
        <v>27</v>
      </c>
      <c r="C188">
        <v>3</v>
      </c>
      <c r="D188" t="s">
        <v>32</v>
      </c>
      <c r="E188" t="s">
        <v>18</v>
      </c>
      <c r="F188" t="s">
        <v>39</v>
      </c>
      <c r="G188">
        <v>30</v>
      </c>
      <c r="H188">
        <v>1</v>
      </c>
      <c r="I188">
        <v>0</v>
      </c>
      <c r="J188">
        <v>15.5</v>
      </c>
      <c r="K188" t="s">
        <v>14</v>
      </c>
      <c r="L188" t="s">
        <v>20</v>
      </c>
      <c r="M188" t="s">
        <v>40</v>
      </c>
      <c r="N188" t="b">
        <v>0</v>
      </c>
      <c r="O188" t="s">
        <v>23</v>
      </c>
      <c r="P188" t="s">
        <v>22</v>
      </c>
      <c r="Q188" t="s">
        <v>41</v>
      </c>
      <c r="R188" t="b">
        <v>0</v>
      </c>
    </row>
    <row r="189" spans="1:18" x14ac:dyDescent="0.3">
      <c r="A189">
        <v>1</v>
      </c>
      <c r="B189" t="s">
        <v>27</v>
      </c>
      <c r="C189">
        <v>1</v>
      </c>
      <c r="D189" t="s">
        <v>30</v>
      </c>
      <c r="E189" t="s">
        <v>13</v>
      </c>
      <c r="F189" t="s">
        <v>36</v>
      </c>
      <c r="G189">
        <v>45</v>
      </c>
      <c r="H189">
        <v>0</v>
      </c>
      <c r="I189">
        <v>0</v>
      </c>
      <c r="J189">
        <v>26.55</v>
      </c>
      <c r="K189" t="s">
        <v>19</v>
      </c>
      <c r="L189" t="s">
        <v>15</v>
      </c>
      <c r="M189" t="s">
        <v>37</v>
      </c>
      <c r="N189" t="b">
        <v>1</v>
      </c>
      <c r="O189" t="s">
        <v>16</v>
      </c>
      <c r="P189" t="s">
        <v>22</v>
      </c>
      <c r="Q189" t="s">
        <v>41</v>
      </c>
      <c r="R189" t="b">
        <v>1</v>
      </c>
    </row>
    <row r="190" spans="1:18" x14ac:dyDescent="0.3">
      <c r="A190">
        <v>0</v>
      </c>
      <c r="B190" t="s">
        <v>26</v>
      </c>
      <c r="C190">
        <v>3</v>
      </c>
      <c r="D190" t="s">
        <v>32</v>
      </c>
      <c r="E190" t="s">
        <v>13</v>
      </c>
      <c r="F190" t="s">
        <v>36</v>
      </c>
      <c r="G190">
        <v>40</v>
      </c>
      <c r="H190">
        <v>1</v>
      </c>
      <c r="I190">
        <v>1</v>
      </c>
      <c r="J190">
        <v>15.5</v>
      </c>
      <c r="K190" t="s">
        <v>14</v>
      </c>
      <c r="L190" t="s">
        <v>15</v>
      </c>
      <c r="M190" t="s">
        <v>37</v>
      </c>
      <c r="N190" t="b">
        <v>1</v>
      </c>
      <c r="O190" t="s">
        <v>23</v>
      </c>
      <c r="P190" t="s">
        <v>17</v>
      </c>
      <c r="Q190" t="s">
        <v>38</v>
      </c>
      <c r="R190" t="b">
        <v>0</v>
      </c>
    </row>
    <row r="191" spans="1:18" x14ac:dyDescent="0.3">
      <c r="A191">
        <v>0</v>
      </c>
      <c r="B191" t="s">
        <v>26</v>
      </c>
      <c r="C191">
        <v>3</v>
      </c>
      <c r="D191" t="s">
        <v>32</v>
      </c>
      <c r="E191" t="s">
        <v>13</v>
      </c>
      <c r="F191" t="s">
        <v>36</v>
      </c>
      <c r="G191">
        <v>36</v>
      </c>
      <c r="H191">
        <v>0</v>
      </c>
      <c r="I191">
        <v>0</v>
      </c>
      <c r="J191">
        <v>7.8958000000000004</v>
      </c>
      <c r="K191" t="s">
        <v>14</v>
      </c>
      <c r="L191" t="s">
        <v>15</v>
      </c>
      <c r="M191" t="s">
        <v>37</v>
      </c>
      <c r="N191" t="b">
        <v>1</v>
      </c>
      <c r="O191" t="s">
        <v>16</v>
      </c>
      <c r="P191" t="s">
        <v>17</v>
      </c>
      <c r="Q191" t="s">
        <v>38</v>
      </c>
      <c r="R191" t="b">
        <v>1</v>
      </c>
    </row>
    <row r="192" spans="1:18" x14ac:dyDescent="0.3">
      <c r="A192">
        <v>1</v>
      </c>
      <c r="B192" t="s">
        <v>27</v>
      </c>
      <c r="C192">
        <v>2</v>
      </c>
      <c r="D192" t="s">
        <v>31</v>
      </c>
      <c r="E192" t="s">
        <v>18</v>
      </c>
      <c r="F192" t="s">
        <v>39</v>
      </c>
      <c r="G192">
        <v>32</v>
      </c>
      <c r="H192">
        <v>0</v>
      </c>
      <c r="I192">
        <v>0</v>
      </c>
      <c r="J192">
        <v>13</v>
      </c>
      <c r="K192" t="s">
        <v>25</v>
      </c>
      <c r="L192" t="s">
        <v>20</v>
      </c>
      <c r="M192" t="s">
        <v>40</v>
      </c>
      <c r="N192" t="b">
        <v>0</v>
      </c>
      <c r="O192" t="s">
        <v>16</v>
      </c>
      <c r="P192" t="s">
        <v>22</v>
      </c>
      <c r="Q192" t="s">
        <v>41</v>
      </c>
      <c r="R192" t="b">
        <v>1</v>
      </c>
    </row>
    <row r="193" spans="1:18" x14ac:dyDescent="0.3">
      <c r="A193">
        <v>0</v>
      </c>
      <c r="B193" t="s">
        <v>26</v>
      </c>
      <c r="C193">
        <v>2</v>
      </c>
      <c r="D193" t="s">
        <v>31</v>
      </c>
      <c r="E193" t="s">
        <v>13</v>
      </c>
      <c r="F193" t="s">
        <v>36</v>
      </c>
      <c r="G193">
        <v>19</v>
      </c>
      <c r="H193">
        <v>0</v>
      </c>
      <c r="I193">
        <v>0</v>
      </c>
      <c r="J193">
        <v>13</v>
      </c>
      <c r="K193" t="s">
        <v>25</v>
      </c>
      <c r="L193" t="s">
        <v>15</v>
      </c>
      <c r="M193" t="s">
        <v>37</v>
      </c>
      <c r="N193" t="b">
        <v>1</v>
      </c>
      <c r="O193" t="s">
        <v>16</v>
      </c>
      <c r="P193" t="s">
        <v>17</v>
      </c>
      <c r="Q193" t="s">
        <v>38</v>
      </c>
      <c r="R193" t="b">
        <v>1</v>
      </c>
    </row>
    <row r="194" spans="1:18" x14ac:dyDescent="0.3">
      <c r="A194">
        <v>1</v>
      </c>
      <c r="B194" t="s">
        <v>27</v>
      </c>
      <c r="C194">
        <v>3</v>
      </c>
      <c r="D194" t="s">
        <v>32</v>
      </c>
      <c r="E194" t="s">
        <v>18</v>
      </c>
      <c r="F194" t="s">
        <v>39</v>
      </c>
      <c r="G194">
        <v>19</v>
      </c>
      <c r="H194">
        <v>1</v>
      </c>
      <c r="I194">
        <v>0</v>
      </c>
      <c r="J194">
        <v>7.8541999999999996</v>
      </c>
      <c r="K194" t="s">
        <v>14</v>
      </c>
      <c r="L194" t="s">
        <v>20</v>
      </c>
      <c r="M194" t="s">
        <v>40</v>
      </c>
      <c r="N194" t="b">
        <v>0</v>
      </c>
      <c r="O194" t="s">
        <v>16</v>
      </c>
      <c r="P194" t="s">
        <v>22</v>
      </c>
      <c r="Q194" t="s">
        <v>41</v>
      </c>
      <c r="R194" t="b">
        <v>0</v>
      </c>
    </row>
    <row r="195" spans="1:18" x14ac:dyDescent="0.3">
      <c r="A195">
        <v>1</v>
      </c>
      <c r="B195" t="s">
        <v>27</v>
      </c>
      <c r="C195">
        <v>2</v>
      </c>
      <c r="D195" t="s">
        <v>31</v>
      </c>
      <c r="E195" t="s">
        <v>13</v>
      </c>
      <c r="F195" t="s">
        <v>36</v>
      </c>
      <c r="G195">
        <v>3</v>
      </c>
      <c r="H195">
        <v>1</v>
      </c>
      <c r="I195">
        <v>1</v>
      </c>
      <c r="J195">
        <v>26</v>
      </c>
      <c r="K195" t="s">
        <v>25</v>
      </c>
      <c r="L195" t="s">
        <v>24</v>
      </c>
      <c r="M195" t="s">
        <v>42</v>
      </c>
      <c r="N195" t="b">
        <v>0</v>
      </c>
      <c r="O195" t="s">
        <v>16</v>
      </c>
      <c r="P195" t="s">
        <v>22</v>
      </c>
      <c r="Q195" t="s">
        <v>41</v>
      </c>
      <c r="R195" t="b">
        <v>0</v>
      </c>
    </row>
    <row r="196" spans="1:18" x14ac:dyDescent="0.3">
      <c r="A196">
        <v>1</v>
      </c>
      <c r="B196" t="s">
        <v>27</v>
      </c>
      <c r="C196">
        <v>1</v>
      </c>
      <c r="D196" t="s">
        <v>30</v>
      </c>
      <c r="E196" t="s">
        <v>18</v>
      </c>
      <c r="F196" t="s">
        <v>39</v>
      </c>
      <c r="G196">
        <v>44</v>
      </c>
      <c r="H196">
        <v>0</v>
      </c>
      <c r="I196">
        <v>0</v>
      </c>
      <c r="J196">
        <v>27.720800000000001</v>
      </c>
      <c r="K196" t="s">
        <v>19</v>
      </c>
      <c r="L196" t="s">
        <v>20</v>
      </c>
      <c r="M196" t="s">
        <v>40</v>
      </c>
      <c r="N196" t="b">
        <v>0</v>
      </c>
      <c r="O196" t="s">
        <v>21</v>
      </c>
      <c r="P196" t="s">
        <v>22</v>
      </c>
      <c r="Q196" t="s">
        <v>41</v>
      </c>
      <c r="R196" t="b">
        <v>1</v>
      </c>
    </row>
    <row r="197" spans="1:18" x14ac:dyDescent="0.3">
      <c r="A197">
        <v>1</v>
      </c>
      <c r="B197" t="s">
        <v>27</v>
      </c>
      <c r="C197">
        <v>1</v>
      </c>
      <c r="D197" t="s">
        <v>30</v>
      </c>
      <c r="E197" t="s">
        <v>18</v>
      </c>
      <c r="F197" t="s">
        <v>39</v>
      </c>
      <c r="G197">
        <v>58</v>
      </c>
      <c r="H197">
        <v>0</v>
      </c>
      <c r="I197">
        <v>0</v>
      </c>
      <c r="J197">
        <v>146.52080000000001</v>
      </c>
      <c r="K197" t="s">
        <v>19</v>
      </c>
      <c r="L197" t="s">
        <v>20</v>
      </c>
      <c r="M197" t="s">
        <v>40</v>
      </c>
      <c r="N197" t="b">
        <v>0</v>
      </c>
      <c r="O197" t="s">
        <v>21</v>
      </c>
      <c r="P197" t="s">
        <v>22</v>
      </c>
      <c r="Q197" t="s">
        <v>41</v>
      </c>
      <c r="R197" t="b">
        <v>1</v>
      </c>
    </row>
    <row r="198" spans="1:18" x14ac:dyDescent="0.3">
      <c r="A198">
        <v>0</v>
      </c>
      <c r="B198" t="s">
        <v>26</v>
      </c>
      <c r="C198">
        <v>3</v>
      </c>
      <c r="D198" t="s">
        <v>32</v>
      </c>
      <c r="E198" t="s">
        <v>13</v>
      </c>
      <c r="F198" t="s">
        <v>36</v>
      </c>
      <c r="G198">
        <v>30</v>
      </c>
      <c r="H198">
        <v>0</v>
      </c>
      <c r="I198">
        <v>0</v>
      </c>
      <c r="J198">
        <v>7.75</v>
      </c>
      <c r="K198" t="s">
        <v>14</v>
      </c>
      <c r="L198" t="s">
        <v>15</v>
      </c>
      <c r="M198" t="s">
        <v>37</v>
      </c>
      <c r="N198" t="b">
        <v>1</v>
      </c>
      <c r="O198" t="s">
        <v>23</v>
      </c>
      <c r="P198" t="s">
        <v>17</v>
      </c>
      <c r="Q198" t="s">
        <v>38</v>
      </c>
      <c r="R198" t="b">
        <v>1</v>
      </c>
    </row>
    <row r="199" spans="1:18" x14ac:dyDescent="0.3">
      <c r="A199">
        <v>0</v>
      </c>
      <c r="B199" t="s">
        <v>26</v>
      </c>
      <c r="C199">
        <v>3</v>
      </c>
      <c r="D199" t="s">
        <v>32</v>
      </c>
      <c r="E199" t="s">
        <v>13</v>
      </c>
      <c r="F199" t="s">
        <v>36</v>
      </c>
      <c r="G199">
        <v>42</v>
      </c>
      <c r="H199">
        <v>0</v>
      </c>
      <c r="I199">
        <v>1</v>
      </c>
      <c r="J199">
        <v>8.4041999999999994</v>
      </c>
      <c r="K199" t="s">
        <v>14</v>
      </c>
      <c r="L199" t="s">
        <v>15</v>
      </c>
      <c r="M199" t="s">
        <v>37</v>
      </c>
      <c r="N199" t="b">
        <v>1</v>
      </c>
      <c r="O199" t="s">
        <v>16</v>
      </c>
      <c r="P199" t="s">
        <v>17</v>
      </c>
      <c r="Q199" t="s">
        <v>38</v>
      </c>
      <c r="R199" t="b">
        <v>0</v>
      </c>
    </row>
    <row r="200" spans="1:18" x14ac:dyDescent="0.3">
      <c r="A200">
        <v>1</v>
      </c>
      <c r="B200" t="s">
        <v>27</v>
      </c>
      <c r="C200">
        <v>3</v>
      </c>
      <c r="D200" t="s">
        <v>32</v>
      </c>
      <c r="E200" t="s">
        <v>18</v>
      </c>
      <c r="F200" t="s">
        <v>39</v>
      </c>
      <c r="G200">
        <v>30</v>
      </c>
      <c r="H200">
        <v>0</v>
      </c>
      <c r="I200">
        <v>0</v>
      </c>
      <c r="J200">
        <v>7.75</v>
      </c>
      <c r="K200" t="s">
        <v>14</v>
      </c>
      <c r="L200" t="s">
        <v>20</v>
      </c>
      <c r="M200" t="s">
        <v>40</v>
      </c>
      <c r="N200" t="b">
        <v>0</v>
      </c>
      <c r="O200" t="s">
        <v>23</v>
      </c>
      <c r="P200" t="s">
        <v>22</v>
      </c>
      <c r="Q200" t="s">
        <v>41</v>
      </c>
      <c r="R200" t="b">
        <v>1</v>
      </c>
    </row>
    <row r="201" spans="1:18" x14ac:dyDescent="0.3">
      <c r="A201">
        <v>0</v>
      </c>
      <c r="B201" t="s">
        <v>26</v>
      </c>
      <c r="C201">
        <v>2</v>
      </c>
      <c r="D201" t="s">
        <v>31</v>
      </c>
      <c r="E201" t="s">
        <v>18</v>
      </c>
      <c r="F201" t="s">
        <v>39</v>
      </c>
      <c r="G201">
        <v>24</v>
      </c>
      <c r="H201">
        <v>0</v>
      </c>
      <c r="I201">
        <v>0</v>
      </c>
      <c r="J201">
        <v>13</v>
      </c>
      <c r="K201" t="s">
        <v>25</v>
      </c>
      <c r="L201" t="s">
        <v>20</v>
      </c>
      <c r="M201" t="s">
        <v>40</v>
      </c>
      <c r="N201" t="b">
        <v>0</v>
      </c>
      <c r="O201" t="s">
        <v>16</v>
      </c>
      <c r="P201" t="s">
        <v>17</v>
      </c>
      <c r="Q201" t="s">
        <v>38</v>
      </c>
      <c r="R201" t="b">
        <v>1</v>
      </c>
    </row>
    <row r="202" spans="1:18" x14ac:dyDescent="0.3">
      <c r="A202">
        <v>0</v>
      </c>
      <c r="B202" t="s">
        <v>26</v>
      </c>
      <c r="C202">
        <v>3</v>
      </c>
      <c r="D202" t="s">
        <v>32</v>
      </c>
      <c r="E202" t="s">
        <v>13</v>
      </c>
      <c r="F202" t="s">
        <v>36</v>
      </c>
      <c r="G202">
        <v>28</v>
      </c>
      <c r="H202">
        <v>0</v>
      </c>
      <c r="I202">
        <v>0</v>
      </c>
      <c r="J202">
        <v>9.5</v>
      </c>
      <c r="K202" t="s">
        <v>14</v>
      </c>
      <c r="L202" t="s">
        <v>15</v>
      </c>
      <c r="M202" t="s">
        <v>37</v>
      </c>
      <c r="N202" t="b">
        <v>1</v>
      </c>
      <c r="O202" t="s">
        <v>16</v>
      </c>
      <c r="P202" t="s">
        <v>17</v>
      </c>
      <c r="Q202" t="s">
        <v>38</v>
      </c>
      <c r="R202" t="b">
        <v>1</v>
      </c>
    </row>
    <row r="203" spans="1:18" x14ac:dyDescent="0.3">
      <c r="A203">
        <v>0</v>
      </c>
      <c r="B203" t="s">
        <v>26</v>
      </c>
      <c r="C203">
        <v>3</v>
      </c>
      <c r="D203" t="s">
        <v>32</v>
      </c>
      <c r="E203" t="s">
        <v>13</v>
      </c>
      <c r="F203" t="s">
        <v>36</v>
      </c>
      <c r="G203">
        <v>30</v>
      </c>
      <c r="H203">
        <v>8</v>
      </c>
      <c r="I203">
        <v>2</v>
      </c>
      <c r="J203">
        <v>69.55</v>
      </c>
      <c r="K203" t="s">
        <v>14</v>
      </c>
      <c r="L203" t="s">
        <v>15</v>
      </c>
      <c r="M203" t="s">
        <v>37</v>
      </c>
      <c r="N203" t="b">
        <v>1</v>
      </c>
      <c r="O203" t="s">
        <v>16</v>
      </c>
      <c r="P203" t="s">
        <v>17</v>
      </c>
      <c r="Q203" t="s">
        <v>38</v>
      </c>
      <c r="R203" t="b">
        <v>0</v>
      </c>
    </row>
    <row r="204" spans="1:18" x14ac:dyDescent="0.3">
      <c r="A204">
        <v>0</v>
      </c>
      <c r="B204" t="s">
        <v>26</v>
      </c>
      <c r="C204">
        <v>3</v>
      </c>
      <c r="D204" t="s">
        <v>32</v>
      </c>
      <c r="E204" t="s">
        <v>13</v>
      </c>
      <c r="F204" t="s">
        <v>36</v>
      </c>
      <c r="G204">
        <v>34</v>
      </c>
      <c r="H204">
        <v>0</v>
      </c>
      <c r="I204">
        <v>0</v>
      </c>
      <c r="J204">
        <v>6.4958</v>
      </c>
      <c r="K204" t="s">
        <v>14</v>
      </c>
      <c r="L204" t="s">
        <v>15</v>
      </c>
      <c r="M204" t="s">
        <v>37</v>
      </c>
      <c r="N204" t="b">
        <v>1</v>
      </c>
      <c r="O204" t="s">
        <v>16</v>
      </c>
      <c r="P204" t="s">
        <v>17</v>
      </c>
      <c r="Q204" t="s">
        <v>38</v>
      </c>
      <c r="R204" t="b">
        <v>1</v>
      </c>
    </row>
    <row r="205" spans="1:18" x14ac:dyDescent="0.3">
      <c r="A205">
        <v>0</v>
      </c>
      <c r="B205" t="s">
        <v>26</v>
      </c>
      <c r="C205">
        <v>3</v>
      </c>
      <c r="D205" t="s">
        <v>32</v>
      </c>
      <c r="E205" t="s">
        <v>13</v>
      </c>
      <c r="F205" t="s">
        <v>36</v>
      </c>
      <c r="G205">
        <v>45.5</v>
      </c>
      <c r="H205">
        <v>0</v>
      </c>
      <c r="I205">
        <v>0</v>
      </c>
      <c r="J205">
        <v>7.2249999999999996</v>
      </c>
      <c r="K205" t="s">
        <v>14</v>
      </c>
      <c r="L205" t="s">
        <v>15</v>
      </c>
      <c r="M205" t="s">
        <v>37</v>
      </c>
      <c r="N205" t="b">
        <v>1</v>
      </c>
      <c r="O205" t="s">
        <v>21</v>
      </c>
      <c r="P205" t="s">
        <v>17</v>
      </c>
      <c r="Q205" t="s">
        <v>38</v>
      </c>
      <c r="R205" t="b">
        <v>1</v>
      </c>
    </row>
    <row r="206" spans="1:18" x14ac:dyDescent="0.3">
      <c r="A206">
        <v>1</v>
      </c>
      <c r="B206" t="s">
        <v>27</v>
      </c>
      <c r="C206">
        <v>3</v>
      </c>
      <c r="D206" t="s">
        <v>32</v>
      </c>
      <c r="E206" t="s">
        <v>13</v>
      </c>
      <c r="F206" t="s">
        <v>36</v>
      </c>
      <c r="G206">
        <v>18</v>
      </c>
      <c r="H206">
        <v>0</v>
      </c>
      <c r="I206">
        <v>0</v>
      </c>
      <c r="J206">
        <v>8.0500000000000007</v>
      </c>
      <c r="K206" t="s">
        <v>14</v>
      </c>
      <c r="L206" t="s">
        <v>15</v>
      </c>
      <c r="M206" t="s">
        <v>37</v>
      </c>
      <c r="N206" t="b">
        <v>1</v>
      </c>
      <c r="O206" t="s">
        <v>16</v>
      </c>
      <c r="P206" t="s">
        <v>22</v>
      </c>
      <c r="Q206" t="s">
        <v>41</v>
      </c>
      <c r="R206" t="b">
        <v>1</v>
      </c>
    </row>
    <row r="207" spans="1:18" x14ac:dyDescent="0.3">
      <c r="A207">
        <v>0</v>
      </c>
      <c r="B207" t="s">
        <v>26</v>
      </c>
      <c r="C207">
        <v>3</v>
      </c>
      <c r="D207" t="s">
        <v>32</v>
      </c>
      <c r="E207" t="s">
        <v>18</v>
      </c>
      <c r="F207" t="s">
        <v>39</v>
      </c>
      <c r="G207">
        <v>2</v>
      </c>
      <c r="H207">
        <v>0</v>
      </c>
      <c r="I207">
        <v>1</v>
      </c>
      <c r="J207">
        <v>10.4625</v>
      </c>
      <c r="K207" t="s">
        <v>14</v>
      </c>
      <c r="L207" t="s">
        <v>24</v>
      </c>
      <c r="M207" t="s">
        <v>42</v>
      </c>
      <c r="N207" t="b">
        <v>0</v>
      </c>
      <c r="O207" t="s">
        <v>16</v>
      </c>
      <c r="P207" t="s">
        <v>17</v>
      </c>
      <c r="Q207" t="s">
        <v>38</v>
      </c>
      <c r="R207" t="b">
        <v>0</v>
      </c>
    </row>
    <row r="208" spans="1:18" x14ac:dyDescent="0.3">
      <c r="A208">
        <v>0</v>
      </c>
      <c r="B208" t="s">
        <v>26</v>
      </c>
      <c r="C208">
        <v>3</v>
      </c>
      <c r="D208" t="s">
        <v>32</v>
      </c>
      <c r="E208" t="s">
        <v>13</v>
      </c>
      <c r="F208" t="s">
        <v>36</v>
      </c>
      <c r="G208">
        <v>32</v>
      </c>
      <c r="H208">
        <v>1</v>
      </c>
      <c r="I208">
        <v>0</v>
      </c>
      <c r="J208">
        <v>15.85</v>
      </c>
      <c r="K208" t="s">
        <v>14</v>
      </c>
      <c r="L208" t="s">
        <v>15</v>
      </c>
      <c r="M208" t="s">
        <v>37</v>
      </c>
      <c r="N208" t="b">
        <v>1</v>
      </c>
      <c r="O208" t="s">
        <v>16</v>
      </c>
      <c r="P208" t="s">
        <v>17</v>
      </c>
      <c r="Q208" t="s">
        <v>38</v>
      </c>
      <c r="R208" t="b">
        <v>0</v>
      </c>
    </row>
    <row r="209" spans="1:18" x14ac:dyDescent="0.3">
      <c r="A209">
        <v>1</v>
      </c>
      <c r="B209" t="s">
        <v>27</v>
      </c>
      <c r="C209">
        <v>3</v>
      </c>
      <c r="D209" t="s">
        <v>32</v>
      </c>
      <c r="E209" t="s">
        <v>13</v>
      </c>
      <c r="F209" t="s">
        <v>36</v>
      </c>
      <c r="G209">
        <v>26</v>
      </c>
      <c r="H209">
        <v>0</v>
      </c>
      <c r="I209">
        <v>0</v>
      </c>
      <c r="J209">
        <v>18.787500000000001</v>
      </c>
      <c r="K209" t="s">
        <v>14</v>
      </c>
      <c r="L209" t="s">
        <v>15</v>
      </c>
      <c r="M209" t="s">
        <v>37</v>
      </c>
      <c r="N209" t="b">
        <v>1</v>
      </c>
      <c r="O209" t="s">
        <v>21</v>
      </c>
      <c r="P209" t="s">
        <v>22</v>
      </c>
      <c r="Q209" t="s">
        <v>41</v>
      </c>
      <c r="R209" t="b">
        <v>1</v>
      </c>
    </row>
    <row r="210" spans="1:18" x14ac:dyDescent="0.3">
      <c r="A210">
        <v>1</v>
      </c>
      <c r="B210" t="s">
        <v>27</v>
      </c>
      <c r="C210">
        <v>3</v>
      </c>
      <c r="D210" t="s">
        <v>32</v>
      </c>
      <c r="E210" t="s">
        <v>18</v>
      </c>
      <c r="F210" t="s">
        <v>39</v>
      </c>
      <c r="G210">
        <v>16</v>
      </c>
      <c r="H210">
        <v>0</v>
      </c>
      <c r="I210">
        <v>0</v>
      </c>
      <c r="J210">
        <v>7.75</v>
      </c>
      <c r="K210" t="s">
        <v>14</v>
      </c>
      <c r="L210" t="s">
        <v>20</v>
      </c>
      <c r="M210" t="s">
        <v>40</v>
      </c>
      <c r="N210" t="b">
        <v>0</v>
      </c>
      <c r="O210" t="s">
        <v>23</v>
      </c>
      <c r="P210" t="s">
        <v>22</v>
      </c>
      <c r="Q210" t="s">
        <v>41</v>
      </c>
      <c r="R210" t="b">
        <v>1</v>
      </c>
    </row>
    <row r="211" spans="1:18" x14ac:dyDescent="0.3">
      <c r="A211">
        <v>1</v>
      </c>
      <c r="B211" t="s">
        <v>27</v>
      </c>
      <c r="C211">
        <v>1</v>
      </c>
      <c r="D211" t="s">
        <v>30</v>
      </c>
      <c r="E211" t="s">
        <v>13</v>
      </c>
      <c r="F211" t="s">
        <v>36</v>
      </c>
      <c r="G211">
        <v>40</v>
      </c>
      <c r="H211">
        <v>0</v>
      </c>
      <c r="I211">
        <v>0</v>
      </c>
      <c r="J211">
        <v>31</v>
      </c>
      <c r="K211" t="s">
        <v>19</v>
      </c>
      <c r="L211" t="s">
        <v>15</v>
      </c>
      <c r="M211" t="s">
        <v>37</v>
      </c>
      <c r="N211" t="b">
        <v>1</v>
      </c>
      <c r="O211" t="s">
        <v>21</v>
      </c>
      <c r="P211" t="s">
        <v>22</v>
      </c>
      <c r="Q211" t="s">
        <v>41</v>
      </c>
      <c r="R211" t="b">
        <v>1</v>
      </c>
    </row>
    <row r="212" spans="1:18" x14ac:dyDescent="0.3">
      <c r="A212">
        <v>0</v>
      </c>
      <c r="B212" t="s">
        <v>26</v>
      </c>
      <c r="C212">
        <v>3</v>
      </c>
      <c r="D212" t="s">
        <v>32</v>
      </c>
      <c r="E212" t="s">
        <v>13</v>
      </c>
      <c r="F212" t="s">
        <v>36</v>
      </c>
      <c r="G212">
        <v>24</v>
      </c>
      <c r="H212">
        <v>0</v>
      </c>
      <c r="I212">
        <v>0</v>
      </c>
      <c r="J212">
        <v>7.05</v>
      </c>
      <c r="K212" t="s">
        <v>14</v>
      </c>
      <c r="L212" t="s">
        <v>15</v>
      </c>
      <c r="M212" t="s">
        <v>37</v>
      </c>
      <c r="N212" t="b">
        <v>1</v>
      </c>
      <c r="O212" t="s">
        <v>16</v>
      </c>
      <c r="P212" t="s">
        <v>17</v>
      </c>
      <c r="Q212" t="s">
        <v>38</v>
      </c>
      <c r="R212" t="b">
        <v>1</v>
      </c>
    </row>
    <row r="213" spans="1:18" x14ac:dyDescent="0.3">
      <c r="A213">
        <v>1</v>
      </c>
      <c r="B213" t="s">
        <v>27</v>
      </c>
      <c r="C213">
        <v>2</v>
      </c>
      <c r="D213" t="s">
        <v>31</v>
      </c>
      <c r="E213" t="s">
        <v>18</v>
      </c>
      <c r="F213" t="s">
        <v>39</v>
      </c>
      <c r="G213">
        <v>35</v>
      </c>
      <c r="H213">
        <v>0</v>
      </c>
      <c r="I213">
        <v>0</v>
      </c>
      <c r="J213">
        <v>21</v>
      </c>
      <c r="K213" t="s">
        <v>25</v>
      </c>
      <c r="L213" t="s">
        <v>20</v>
      </c>
      <c r="M213" t="s">
        <v>40</v>
      </c>
      <c r="N213" t="b">
        <v>0</v>
      </c>
      <c r="O213" t="s">
        <v>16</v>
      </c>
      <c r="P213" t="s">
        <v>22</v>
      </c>
      <c r="Q213" t="s">
        <v>41</v>
      </c>
      <c r="R213" t="b">
        <v>1</v>
      </c>
    </row>
    <row r="214" spans="1:18" x14ac:dyDescent="0.3">
      <c r="A214">
        <v>0</v>
      </c>
      <c r="B214" t="s">
        <v>26</v>
      </c>
      <c r="C214">
        <v>3</v>
      </c>
      <c r="D214" t="s">
        <v>32</v>
      </c>
      <c r="E214" t="s">
        <v>13</v>
      </c>
      <c r="F214" t="s">
        <v>36</v>
      </c>
      <c r="G214">
        <v>22</v>
      </c>
      <c r="H214">
        <v>0</v>
      </c>
      <c r="I214">
        <v>0</v>
      </c>
      <c r="J214">
        <v>7.25</v>
      </c>
      <c r="K214" t="s">
        <v>14</v>
      </c>
      <c r="L214" t="s">
        <v>15</v>
      </c>
      <c r="M214" t="s">
        <v>37</v>
      </c>
      <c r="N214" t="b">
        <v>1</v>
      </c>
      <c r="O214" t="s">
        <v>16</v>
      </c>
      <c r="P214" t="s">
        <v>17</v>
      </c>
      <c r="Q214" t="s">
        <v>38</v>
      </c>
      <c r="R214" t="b">
        <v>1</v>
      </c>
    </row>
    <row r="215" spans="1:18" x14ac:dyDescent="0.3">
      <c r="A215">
        <v>0</v>
      </c>
      <c r="B215" t="s">
        <v>26</v>
      </c>
      <c r="C215">
        <v>2</v>
      </c>
      <c r="D215" t="s">
        <v>31</v>
      </c>
      <c r="E215" t="s">
        <v>13</v>
      </c>
      <c r="F215" t="s">
        <v>36</v>
      </c>
      <c r="G215">
        <v>30</v>
      </c>
      <c r="H215">
        <v>0</v>
      </c>
      <c r="I215">
        <v>0</v>
      </c>
      <c r="J215">
        <v>13</v>
      </c>
      <c r="K215" t="s">
        <v>25</v>
      </c>
      <c r="L215" t="s">
        <v>15</v>
      </c>
      <c r="M215" t="s">
        <v>37</v>
      </c>
      <c r="N215" t="b">
        <v>1</v>
      </c>
      <c r="O215" t="s">
        <v>16</v>
      </c>
      <c r="P215" t="s">
        <v>17</v>
      </c>
      <c r="Q215" t="s">
        <v>38</v>
      </c>
      <c r="R215" t="b">
        <v>1</v>
      </c>
    </row>
    <row r="216" spans="1:18" x14ac:dyDescent="0.3">
      <c r="A216">
        <v>0</v>
      </c>
      <c r="B216" t="s">
        <v>26</v>
      </c>
      <c r="C216">
        <v>3</v>
      </c>
      <c r="D216" t="s">
        <v>32</v>
      </c>
      <c r="E216" t="s">
        <v>13</v>
      </c>
      <c r="F216" t="s">
        <v>36</v>
      </c>
      <c r="G216">
        <v>30</v>
      </c>
      <c r="H216">
        <v>1</v>
      </c>
      <c r="I216">
        <v>0</v>
      </c>
      <c r="J216">
        <v>7.75</v>
      </c>
      <c r="K216" t="s">
        <v>14</v>
      </c>
      <c r="L216" t="s">
        <v>15</v>
      </c>
      <c r="M216" t="s">
        <v>37</v>
      </c>
      <c r="N216" t="b">
        <v>1</v>
      </c>
      <c r="O216" t="s">
        <v>23</v>
      </c>
      <c r="P216" t="s">
        <v>17</v>
      </c>
      <c r="Q216" t="s">
        <v>38</v>
      </c>
      <c r="R216" t="b">
        <v>0</v>
      </c>
    </row>
    <row r="217" spans="1:18" x14ac:dyDescent="0.3">
      <c r="A217">
        <v>1</v>
      </c>
      <c r="B217" t="s">
        <v>27</v>
      </c>
      <c r="C217">
        <v>1</v>
      </c>
      <c r="D217" t="s">
        <v>30</v>
      </c>
      <c r="E217" t="s">
        <v>18</v>
      </c>
      <c r="F217" t="s">
        <v>39</v>
      </c>
      <c r="G217">
        <v>31</v>
      </c>
      <c r="H217">
        <v>1</v>
      </c>
      <c r="I217">
        <v>0</v>
      </c>
      <c r="J217">
        <v>113.27500000000001</v>
      </c>
      <c r="K217" t="s">
        <v>19</v>
      </c>
      <c r="L217" t="s">
        <v>20</v>
      </c>
      <c r="M217" t="s">
        <v>40</v>
      </c>
      <c r="N217" t="b">
        <v>0</v>
      </c>
      <c r="O217" t="s">
        <v>21</v>
      </c>
      <c r="P217" t="s">
        <v>22</v>
      </c>
      <c r="Q217" t="s">
        <v>41</v>
      </c>
      <c r="R217" t="b">
        <v>0</v>
      </c>
    </row>
    <row r="218" spans="1:18" x14ac:dyDescent="0.3">
      <c r="A218">
        <v>1</v>
      </c>
      <c r="B218" t="s">
        <v>27</v>
      </c>
      <c r="C218">
        <v>3</v>
      </c>
      <c r="D218" t="s">
        <v>32</v>
      </c>
      <c r="E218" t="s">
        <v>18</v>
      </c>
      <c r="F218" t="s">
        <v>39</v>
      </c>
      <c r="G218">
        <v>27</v>
      </c>
      <c r="H218">
        <v>0</v>
      </c>
      <c r="I218">
        <v>0</v>
      </c>
      <c r="J218">
        <v>7.9249999999999998</v>
      </c>
      <c r="K218" t="s">
        <v>14</v>
      </c>
      <c r="L218" t="s">
        <v>20</v>
      </c>
      <c r="M218" t="s">
        <v>40</v>
      </c>
      <c r="N218" t="b">
        <v>0</v>
      </c>
      <c r="O218" t="s">
        <v>16</v>
      </c>
      <c r="P218" t="s">
        <v>22</v>
      </c>
      <c r="Q218" t="s">
        <v>41</v>
      </c>
      <c r="R218" t="b">
        <v>1</v>
      </c>
    </row>
    <row r="219" spans="1:18" x14ac:dyDescent="0.3">
      <c r="A219">
        <v>0</v>
      </c>
      <c r="B219" t="s">
        <v>26</v>
      </c>
      <c r="C219">
        <v>2</v>
      </c>
      <c r="D219" t="s">
        <v>31</v>
      </c>
      <c r="E219" t="s">
        <v>13</v>
      </c>
      <c r="F219" t="s">
        <v>36</v>
      </c>
      <c r="G219">
        <v>42</v>
      </c>
      <c r="H219">
        <v>1</v>
      </c>
      <c r="I219">
        <v>0</v>
      </c>
      <c r="J219">
        <v>27</v>
      </c>
      <c r="K219" t="s">
        <v>25</v>
      </c>
      <c r="L219" t="s">
        <v>15</v>
      </c>
      <c r="M219" t="s">
        <v>37</v>
      </c>
      <c r="N219" t="b">
        <v>1</v>
      </c>
      <c r="O219" t="s">
        <v>16</v>
      </c>
      <c r="P219" t="s">
        <v>17</v>
      </c>
      <c r="Q219" t="s">
        <v>38</v>
      </c>
      <c r="R219" t="b">
        <v>0</v>
      </c>
    </row>
    <row r="220" spans="1:18" x14ac:dyDescent="0.3">
      <c r="A220">
        <v>1</v>
      </c>
      <c r="B220" t="s">
        <v>27</v>
      </c>
      <c r="C220">
        <v>1</v>
      </c>
      <c r="D220" t="s">
        <v>30</v>
      </c>
      <c r="E220" t="s">
        <v>18</v>
      </c>
      <c r="F220" t="s">
        <v>39</v>
      </c>
      <c r="G220">
        <v>32</v>
      </c>
      <c r="H220">
        <v>0</v>
      </c>
      <c r="I220">
        <v>0</v>
      </c>
      <c r="J220">
        <v>76.291700000000006</v>
      </c>
      <c r="K220" t="s">
        <v>19</v>
      </c>
      <c r="L220" t="s">
        <v>20</v>
      </c>
      <c r="M220" t="s">
        <v>40</v>
      </c>
      <c r="N220" t="b">
        <v>0</v>
      </c>
      <c r="O220" t="s">
        <v>21</v>
      </c>
      <c r="P220" t="s">
        <v>22</v>
      </c>
      <c r="Q220" t="s">
        <v>41</v>
      </c>
      <c r="R220" t="b">
        <v>1</v>
      </c>
    </row>
    <row r="221" spans="1:18" x14ac:dyDescent="0.3">
      <c r="A221">
        <v>0</v>
      </c>
      <c r="B221" t="s">
        <v>26</v>
      </c>
      <c r="C221">
        <v>2</v>
      </c>
      <c r="D221" t="s">
        <v>31</v>
      </c>
      <c r="E221" t="s">
        <v>13</v>
      </c>
      <c r="F221" t="s">
        <v>36</v>
      </c>
      <c r="G221">
        <v>30</v>
      </c>
      <c r="H221">
        <v>0</v>
      </c>
      <c r="I221">
        <v>0</v>
      </c>
      <c r="J221">
        <v>10.5</v>
      </c>
      <c r="K221" t="s">
        <v>25</v>
      </c>
      <c r="L221" t="s">
        <v>15</v>
      </c>
      <c r="M221" t="s">
        <v>37</v>
      </c>
      <c r="N221" t="b">
        <v>1</v>
      </c>
      <c r="O221" t="s">
        <v>16</v>
      </c>
      <c r="P221" t="s">
        <v>17</v>
      </c>
      <c r="Q221" t="s">
        <v>38</v>
      </c>
      <c r="R221" t="b">
        <v>1</v>
      </c>
    </row>
    <row r="222" spans="1:18" x14ac:dyDescent="0.3">
      <c r="A222">
        <v>1</v>
      </c>
      <c r="B222" t="s">
        <v>27</v>
      </c>
      <c r="C222">
        <v>3</v>
      </c>
      <c r="D222" t="s">
        <v>32</v>
      </c>
      <c r="E222" t="s">
        <v>13</v>
      </c>
      <c r="F222" t="s">
        <v>36</v>
      </c>
      <c r="G222">
        <v>16</v>
      </c>
      <c r="H222">
        <v>0</v>
      </c>
      <c r="I222">
        <v>0</v>
      </c>
      <c r="J222">
        <v>8.0500000000000007</v>
      </c>
      <c r="K222" t="s">
        <v>14</v>
      </c>
      <c r="L222" t="s">
        <v>15</v>
      </c>
      <c r="M222" t="s">
        <v>37</v>
      </c>
      <c r="N222" t="b">
        <v>1</v>
      </c>
      <c r="O222" t="s">
        <v>16</v>
      </c>
      <c r="P222" t="s">
        <v>22</v>
      </c>
      <c r="Q222" t="s">
        <v>41</v>
      </c>
      <c r="R222" t="b">
        <v>1</v>
      </c>
    </row>
    <row r="223" spans="1:18" x14ac:dyDescent="0.3">
      <c r="A223">
        <v>0</v>
      </c>
      <c r="B223" t="s">
        <v>26</v>
      </c>
      <c r="C223">
        <v>2</v>
      </c>
      <c r="D223" t="s">
        <v>31</v>
      </c>
      <c r="E223" t="s">
        <v>13</v>
      </c>
      <c r="F223" t="s">
        <v>36</v>
      </c>
      <c r="G223">
        <v>27</v>
      </c>
      <c r="H223">
        <v>0</v>
      </c>
      <c r="I223">
        <v>0</v>
      </c>
      <c r="J223">
        <v>13</v>
      </c>
      <c r="K223" t="s">
        <v>25</v>
      </c>
      <c r="L223" t="s">
        <v>15</v>
      </c>
      <c r="M223" t="s">
        <v>37</v>
      </c>
      <c r="N223" t="b">
        <v>1</v>
      </c>
      <c r="O223" t="s">
        <v>16</v>
      </c>
      <c r="P223" t="s">
        <v>17</v>
      </c>
      <c r="Q223" t="s">
        <v>38</v>
      </c>
      <c r="R223" t="b">
        <v>1</v>
      </c>
    </row>
    <row r="224" spans="1:18" x14ac:dyDescent="0.3">
      <c r="A224">
        <v>0</v>
      </c>
      <c r="B224" t="s">
        <v>26</v>
      </c>
      <c r="C224">
        <v>3</v>
      </c>
      <c r="D224" t="s">
        <v>32</v>
      </c>
      <c r="E224" t="s">
        <v>13</v>
      </c>
      <c r="F224" t="s">
        <v>36</v>
      </c>
      <c r="G224">
        <v>51</v>
      </c>
      <c r="H224">
        <v>0</v>
      </c>
      <c r="I224">
        <v>0</v>
      </c>
      <c r="J224">
        <v>8.0500000000000007</v>
      </c>
      <c r="K224" t="s">
        <v>14</v>
      </c>
      <c r="L224" t="s">
        <v>15</v>
      </c>
      <c r="M224" t="s">
        <v>37</v>
      </c>
      <c r="N224" t="b">
        <v>1</v>
      </c>
      <c r="O224" t="s">
        <v>16</v>
      </c>
      <c r="P224" t="s">
        <v>17</v>
      </c>
      <c r="Q224" t="s">
        <v>38</v>
      </c>
      <c r="R224" t="b">
        <v>1</v>
      </c>
    </row>
    <row r="225" spans="1:18" x14ac:dyDescent="0.3">
      <c r="A225">
        <v>0</v>
      </c>
      <c r="B225" t="s">
        <v>26</v>
      </c>
      <c r="C225">
        <v>3</v>
      </c>
      <c r="D225" t="s">
        <v>32</v>
      </c>
      <c r="E225" t="s">
        <v>13</v>
      </c>
      <c r="F225" t="s">
        <v>36</v>
      </c>
      <c r="G225">
        <v>30</v>
      </c>
      <c r="H225">
        <v>0</v>
      </c>
      <c r="I225">
        <v>0</v>
      </c>
      <c r="J225">
        <v>7.8958000000000004</v>
      </c>
      <c r="K225" t="s">
        <v>14</v>
      </c>
      <c r="L225" t="s">
        <v>15</v>
      </c>
      <c r="M225" t="s">
        <v>37</v>
      </c>
      <c r="N225" t="b">
        <v>1</v>
      </c>
      <c r="O225" t="s">
        <v>16</v>
      </c>
      <c r="P225" t="s">
        <v>17</v>
      </c>
      <c r="Q225" t="s">
        <v>38</v>
      </c>
      <c r="R225" t="b">
        <v>1</v>
      </c>
    </row>
    <row r="226" spans="1:18" x14ac:dyDescent="0.3">
      <c r="A226">
        <v>1</v>
      </c>
      <c r="B226" t="s">
        <v>27</v>
      </c>
      <c r="C226">
        <v>1</v>
      </c>
      <c r="D226" t="s">
        <v>30</v>
      </c>
      <c r="E226" t="s">
        <v>13</v>
      </c>
      <c r="F226" t="s">
        <v>36</v>
      </c>
      <c r="G226">
        <v>38</v>
      </c>
      <c r="H226">
        <v>1</v>
      </c>
      <c r="I226">
        <v>0</v>
      </c>
      <c r="J226">
        <v>90</v>
      </c>
      <c r="K226" t="s">
        <v>19</v>
      </c>
      <c r="L226" t="s">
        <v>15</v>
      </c>
      <c r="M226" t="s">
        <v>37</v>
      </c>
      <c r="N226" t="b">
        <v>1</v>
      </c>
      <c r="O226" t="s">
        <v>16</v>
      </c>
      <c r="P226" t="s">
        <v>22</v>
      </c>
      <c r="Q226" t="s">
        <v>41</v>
      </c>
      <c r="R226" t="b">
        <v>0</v>
      </c>
    </row>
    <row r="227" spans="1:18" x14ac:dyDescent="0.3">
      <c r="A227">
        <v>0</v>
      </c>
      <c r="B227" t="s">
        <v>26</v>
      </c>
      <c r="C227">
        <v>3</v>
      </c>
      <c r="D227" t="s">
        <v>32</v>
      </c>
      <c r="E227" t="s">
        <v>13</v>
      </c>
      <c r="F227" t="s">
        <v>36</v>
      </c>
      <c r="G227">
        <v>22</v>
      </c>
      <c r="H227">
        <v>0</v>
      </c>
      <c r="I227">
        <v>0</v>
      </c>
      <c r="J227">
        <v>9.35</v>
      </c>
      <c r="K227" t="s">
        <v>14</v>
      </c>
      <c r="L227" t="s">
        <v>15</v>
      </c>
      <c r="M227" t="s">
        <v>37</v>
      </c>
      <c r="N227" t="b">
        <v>1</v>
      </c>
      <c r="O227" t="s">
        <v>16</v>
      </c>
      <c r="P227" t="s">
        <v>17</v>
      </c>
      <c r="Q227" t="s">
        <v>38</v>
      </c>
      <c r="R227" t="b">
        <v>1</v>
      </c>
    </row>
    <row r="228" spans="1:18" x14ac:dyDescent="0.3">
      <c r="A228">
        <v>1</v>
      </c>
      <c r="B228" t="s">
        <v>27</v>
      </c>
      <c r="C228">
        <v>2</v>
      </c>
      <c r="D228" t="s">
        <v>31</v>
      </c>
      <c r="E228" t="s">
        <v>13</v>
      </c>
      <c r="F228" t="s">
        <v>36</v>
      </c>
      <c r="G228">
        <v>19</v>
      </c>
      <c r="H228">
        <v>0</v>
      </c>
      <c r="I228">
        <v>0</v>
      </c>
      <c r="J228">
        <v>10.5</v>
      </c>
      <c r="K228" t="s">
        <v>25</v>
      </c>
      <c r="L228" t="s">
        <v>15</v>
      </c>
      <c r="M228" t="s">
        <v>37</v>
      </c>
      <c r="N228" t="b">
        <v>1</v>
      </c>
      <c r="O228" t="s">
        <v>16</v>
      </c>
      <c r="P228" t="s">
        <v>22</v>
      </c>
      <c r="Q228" t="s">
        <v>41</v>
      </c>
      <c r="R228" t="b">
        <v>1</v>
      </c>
    </row>
    <row r="229" spans="1:18" x14ac:dyDescent="0.3">
      <c r="A229">
        <v>0</v>
      </c>
      <c r="B229" t="s">
        <v>26</v>
      </c>
      <c r="C229">
        <v>3</v>
      </c>
      <c r="D229" t="s">
        <v>32</v>
      </c>
      <c r="E229" t="s">
        <v>13</v>
      </c>
      <c r="F229" t="s">
        <v>36</v>
      </c>
      <c r="G229">
        <v>20.5</v>
      </c>
      <c r="H229">
        <v>0</v>
      </c>
      <c r="I229">
        <v>0</v>
      </c>
      <c r="J229">
        <v>7.25</v>
      </c>
      <c r="K229" t="s">
        <v>14</v>
      </c>
      <c r="L229" t="s">
        <v>15</v>
      </c>
      <c r="M229" t="s">
        <v>37</v>
      </c>
      <c r="N229" t="b">
        <v>1</v>
      </c>
      <c r="O229" t="s">
        <v>16</v>
      </c>
      <c r="P229" t="s">
        <v>17</v>
      </c>
      <c r="Q229" t="s">
        <v>38</v>
      </c>
      <c r="R229" t="b">
        <v>1</v>
      </c>
    </row>
    <row r="230" spans="1:18" x14ac:dyDescent="0.3">
      <c r="A230">
        <v>0</v>
      </c>
      <c r="B230" t="s">
        <v>26</v>
      </c>
      <c r="C230">
        <v>2</v>
      </c>
      <c r="D230" t="s">
        <v>31</v>
      </c>
      <c r="E230" t="s">
        <v>13</v>
      </c>
      <c r="F230" t="s">
        <v>36</v>
      </c>
      <c r="G230">
        <v>18</v>
      </c>
      <c r="H230">
        <v>0</v>
      </c>
      <c r="I230">
        <v>0</v>
      </c>
      <c r="J230">
        <v>13</v>
      </c>
      <c r="K230" t="s">
        <v>25</v>
      </c>
      <c r="L230" t="s">
        <v>15</v>
      </c>
      <c r="M230" t="s">
        <v>37</v>
      </c>
      <c r="N230" t="b">
        <v>1</v>
      </c>
      <c r="O230" t="s">
        <v>16</v>
      </c>
      <c r="P230" t="s">
        <v>17</v>
      </c>
      <c r="Q230" t="s">
        <v>38</v>
      </c>
      <c r="R230" t="b">
        <v>1</v>
      </c>
    </row>
    <row r="231" spans="1:18" x14ac:dyDescent="0.3">
      <c r="A231">
        <v>0</v>
      </c>
      <c r="B231" t="s">
        <v>26</v>
      </c>
      <c r="C231">
        <v>3</v>
      </c>
      <c r="D231" t="s">
        <v>32</v>
      </c>
      <c r="E231" t="s">
        <v>18</v>
      </c>
      <c r="F231" t="s">
        <v>39</v>
      </c>
      <c r="G231">
        <v>30</v>
      </c>
      <c r="H231">
        <v>3</v>
      </c>
      <c r="I231">
        <v>1</v>
      </c>
      <c r="J231">
        <v>25.466699999999999</v>
      </c>
      <c r="K231" t="s">
        <v>14</v>
      </c>
      <c r="L231" t="s">
        <v>20</v>
      </c>
      <c r="M231" t="s">
        <v>40</v>
      </c>
      <c r="N231" t="b">
        <v>0</v>
      </c>
      <c r="O231" t="s">
        <v>16</v>
      </c>
      <c r="P231" t="s">
        <v>17</v>
      </c>
      <c r="Q231" t="s">
        <v>38</v>
      </c>
      <c r="R231" t="b">
        <v>0</v>
      </c>
    </row>
    <row r="232" spans="1:18" x14ac:dyDescent="0.3">
      <c r="A232">
        <v>1</v>
      </c>
      <c r="B232" t="s">
        <v>27</v>
      </c>
      <c r="C232">
        <v>1</v>
      </c>
      <c r="D232" t="s">
        <v>30</v>
      </c>
      <c r="E232" t="s">
        <v>18</v>
      </c>
      <c r="F232" t="s">
        <v>39</v>
      </c>
      <c r="G232">
        <v>35</v>
      </c>
      <c r="H232">
        <v>1</v>
      </c>
      <c r="I232">
        <v>0</v>
      </c>
      <c r="J232">
        <v>83.474999999999994</v>
      </c>
      <c r="K232" t="s">
        <v>19</v>
      </c>
      <c r="L232" t="s">
        <v>20</v>
      </c>
      <c r="M232" t="s">
        <v>40</v>
      </c>
      <c r="N232" t="b">
        <v>0</v>
      </c>
      <c r="O232" t="s">
        <v>16</v>
      </c>
      <c r="P232" t="s">
        <v>22</v>
      </c>
      <c r="Q232" t="s">
        <v>41</v>
      </c>
      <c r="R232" t="b">
        <v>0</v>
      </c>
    </row>
    <row r="233" spans="1:18" x14ac:dyDescent="0.3">
      <c r="A233">
        <v>0</v>
      </c>
      <c r="B233" t="s">
        <v>26</v>
      </c>
      <c r="C233">
        <v>3</v>
      </c>
      <c r="D233" t="s">
        <v>32</v>
      </c>
      <c r="E233" t="s">
        <v>13</v>
      </c>
      <c r="F233" t="s">
        <v>36</v>
      </c>
      <c r="G233">
        <v>29</v>
      </c>
      <c r="H233">
        <v>0</v>
      </c>
      <c r="I233">
        <v>0</v>
      </c>
      <c r="J233">
        <v>7.7750000000000004</v>
      </c>
      <c r="K233" t="s">
        <v>14</v>
      </c>
      <c r="L233" t="s">
        <v>15</v>
      </c>
      <c r="M233" t="s">
        <v>37</v>
      </c>
      <c r="N233" t="b">
        <v>1</v>
      </c>
      <c r="O233" t="s">
        <v>16</v>
      </c>
      <c r="P233" t="s">
        <v>17</v>
      </c>
      <c r="Q233" t="s">
        <v>38</v>
      </c>
      <c r="R233" t="b">
        <v>1</v>
      </c>
    </row>
    <row r="234" spans="1:18" x14ac:dyDescent="0.3">
      <c r="A234">
        <v>0</v>
      </c>
      <c r="B234" t="s">
        <v>26</v>
      </c>
      <c r="C234">
        <v>2</v>
      </c>
      <c r="D234" t="s">
        <v>31</v>
      </c>
      <c r="E234" t="s">
        <v>13</v>
      </c>
      <c r="F234" t="s">
        <v>36</v>
      </c>
      <c r="G234">
        <v>59</v>
      </c>
      <c r="H234">
        <v>0</v>
      </c>
      <c r="I234">
        <v>0</v>
      </c>
      <c r="J234">
        <v>13.5</v>
      </c>
      <c r="K234" t="s">
        <v>25</v>
      </c>
      <c r="L234" t="s">
        <v>15</v>
      </c>
      <c r="M234" t="s">
        <v>37</v>
      </c>
      <c r="N234" t="b">
        <v>1</v>
      </c>
      <c r="O234" t="s">
        <v>16</v>
      </c>
      <c r="P234" t="s">
        <v>17</v>
      </c>
      <c r="Q234" t="s">
        <v>38</v>
      </c>
      <c r="R234" t="b">
        <v>1</v>
      </c>
    </row>
    <row r="235" spans="1:18" x14ac:dyDescent="0.3">
      <c r="A235">
        <v>1</v>
      </c>
      <c r="B235" t="s">
        <v>27</v>
      </c>
      <c r="C235">
        <v>3</v>
      </c>
      <c r="D235" t="s">
        <v>32</v>
      </c>
      <c r="E235" t="s">
        <v>18</v>
      </c>
      <c r="F235" t="s">
        <v>39</v>
      </c>
      <c r="G235">
        <v>5</v>
      </c>
      <c r="H235">
        <v>4</v>
      </c>
      <c r="I235">
        <v>2</v>
      </c>
      <c r="J235">
        <v>31.387499999999999</v>
      </c>
      <c r="K235" t="s">
        <v>14</v>
      </c>
      <c r="L235" t="s">
        <v>24</v>
      </c>
      <c r="M235" t="s">
        <v>42</v>
      </c>
      <c r="N235" t="b">
        <v>0</v>
      </c>
      <c r="O235" t="s">
        <v>16</v>
      </c>
      <c r="P235" t="s">
        <v>22</v>
      </c>
      <c r="Q235" t="s">
        <v>41</v>
      </c>
      <c r="R235" t="b">
        <v>0</v>
      </c>
    </row>
    <row r="236" spans="1:18" x14ac:dyDescent="0.3">
      <c r="A236">
        <v>0</v>
      </c>
      <c r="B236" t="s">
        <v>26</v>
      </c>
      <c r="C236">
        <v>2</v>
      </c>
      <c r="D236" t="s">
        <v>31</v>
      </c>
      <c r="E236" t="s">
        <v>13</v>
      </c>
      <c r="F236" t="s">
        <v>36</v>
      </c>
      <c r="G236">
        <v>24</v>
      </c>
      <c r="H236">
        <v>0</v>
      </c>
      <c r="I236">
        <v>0</v>
      </c>
      <c r="J236">
        <v>10.5</v>
      </c>
      <c r="K236" t="s">
        <v>25</v>
      </c>
      <c r="L236" t="s">
        <v>15</v>
      </c>
      <c r="M236" t="s">
        <v>37</v>
      </c>
      <c r="N236" t="b">
        <v>1</v>
      </c>
      <c r="O236" t="s">
        <v>16</v>
      </c>
      <c r="P236" t="s">
        <v>17</v>
      </c>
      <c r="Q236" t="s">
        <v>38</v>
      </c>
      <c r="R236" t="b">
        <v>1</v>
      </c>
    </row>
    <row r="237" spans="1:18" x14ac:dyDescent="0.3">
      <c r="A237">
        <v>0</v>
      </c>
      <c r="B237" t="s">
        <v>26</v>
      </c>
      <c r="C237">
        <v>3</v>
      </c>
      <c r="D237" t="s">
        <v>32</v>
      </c>
      <c r="E237" t="s">
        <v>18</v>
      </c>
      <c r="F237" t="s">
        <v>39</v>
      </c>
      <c r="G237">
        <v>30</v>
      </c>
      <c r="H237">
        <v>0</v>
      </c>
      <c r="I237">
        <v>0</v>
      </c>
      <c r="J237">
        <v>7.55</v>
      </c>
      <c r="K237" t="s">
        <v>14</v>
      </c>
      <c r="L237" t="s">
        <v>20</v>
      </c>
      <c r="M237" t="s">
        <v>40</v>
      </c>
      <c r="N237" t="b">
        <v>0</v>
      </c>
      <c r="O237" t="s">
        <v>16</v>
      </c>
      <c r="P237" t="s">
        <v>17</v>
      </c>
      <c r="Q237" t="s">
        <v>38</v>
      </c>
      <c r="R237" t="b">
        <v>1</v>
      </c>
    </row>
    <row r="238" spans="1:18" x14ac:dyDescent="0.3">
      <c r="A238">
        <v>0</v>
      </c>
      <c r="B238" t="s">
        <v>26</v>
      </c>
      <c r="C238">
        <v>2</v>
      </c>
      <c r="D238" t="s">
        <v>31</v>
      </c>
      <c r="E238" t="s">
        <v>13</v>
      </c>
      <c r="F238" t="s">
        <v>36</v>
      </c>
      <c r="G238">
        <v>44</v>
      </c>
      <c r="H238">
        <v>1</v>
      </c>
      <c r="I238">
        <v>0</v>
      </c>
      <c r="J238">
        <v>26</v>
      </c>
      <c r="K238" t="s">
        <v>25</v>
      </c>
      <c r="L238" t="s">
        <v>15</v>
      </c>
      <c r="M238" t="s">
        <v>37</v>
      </c>
      <c r="N238" t="b">
        <v>1</v>
      </c>
      <c r="O238" t="s">
        <v>16</v>
      </c>
      <c r="P238" t="s">
        <v>17</v>
      </c>
      <c r="Q238" t="s">
        <v>38</v>
      </c>
      <c r="R238" t="b">
        <v>0</v>
      </c>
    </row>
    <row r="239" spans="1:18" x14ac:dyDescent="0.3">
      <c r="A239">
        <v>1</v>
      </c>
      <c r="B239" t="s">
        <v>27</v>
      </c>
      <c r="C239">
        <v>2</v>
      </c>
      <c r="D239" t="s">
        <v>31</v>
      </c>
      <c r="E239" t="s">
        <v>18</v>
      </c>
      <c r="F239" t="s">
        <v>39</v>
      </c>
      <c r="G239">
        <v>8</v>
      </c>
      <c r="H239">
        <v>0</v>
      </c>
      <c r="I239">
        <v>2</v>
      </c>
      <c r="J239">
        <v>26.25</v>
      </c>
      <c r="K239" t="s">
        <v>25</v>
      </c>
      <c r="L239" t="s">
        <v>24</v>
      </c>
      <c r="M239" t="s">
        <v>42</v>
      </c>
      <c r="N239" t="b">
        <v>0</v>
      </c>
      <c r="O239" t="s">
        <v>16</v>
      </c>
      <c r="P239" t="s">
        <v>22</v>
      </c>
      <c r="Q239" t="s">
        <v>41</v>
      </c>
      <c r="R239" t="b">
        <v>0</v>
      </c>
    </row>
    <row r="240" spans="1:18" x14ac:dyDescent="0.3">
      <c r="A240">
        <v>0</v>
      </c>
      <c r="B240" t="s">
        <v>26</v>
      </c>
      <c r="C240">
        <v>2</v>
      </c>
      <c r="D240" t="s">
        <v>31</v>
      </c>
      <c r="E240" t="s">
        <v>13</v>
      </c>
      <c r="F240" t="s">
        <v>36</v>
      </c>
      <c r="G240">
        <v>19</v>
      </c>
      <c r="H240">
        <v>0</v>
      </c>
      <c r="I240">
        <v>0</v>
      </c>
      <c r="J240">
        <v>10.5</v>
      </c>
      <c r="K240" t="s">
        <v>25</v>
      </c>
      <c r="L240" t="s">
        <v>15</v>
      </c>
      <c r="M240" t="s">
        <v>37</v>
      </c>
      <c r="N240" t="b">
        <v>1</v>
      </c>
      <c r="O240" t="s">
        <v>16</v>
      </c>
      <c r="P240" t="s">
        <v>17</v>
      </c>
      <c r="Q240" t="s">
        <v>38</v>
      </c>
      <c r="R240" t="b">
        <v>1</v>
      </c>
    </row>
    <row r="241" spans="1:18" x14ac:dyDescent="0.3">
      <c r="A241">
        <v>0</v>
      </c>
      <c r="B241" t="s">
        <v>26</v>
      </c>
      <c r="C241">
        <v>2</v>
      </c>
      <c r="D241" t="s">
        <v>31</v>
      </c>
      <c r="E241" t="s">
        <v>13</v>
      </c>
      <c r="F241" t="s">
        <v>36</v>
      </c>
      <c r="G241">
        <v>33</v>
      </c>
      <c r="H241">
        <v>0</v>
      </c>
      <c r="I241">
        <v>0</v>
      </c>
      <c r="J241">
        <v>12.275</v>
      </c>
      <c r="K241" t="s">
        <v>25</v>
      </c>
      <c r="L241" t="s">
        <v>15</v>
      </c>
      <c r="M241" t="s">
        <v>37</v>
      </c>
      <c r="N241" t="b">
        <v>1</v>
      </c>
      <c r="O241" t="s">
        <v>16</v>
      </c>
      <c r="P241" t="s">
        <v>17</v>
      </c>
      <c r="Q241" t="s">
        <v>38</v>
      </c>
      <c r="R241" t="b">
        <v>1</v>
      </c>
    </row>
    <row r="242" spans="1:18" x14ac:dyDescent="0.3">
      <c r="A242">
        <v>0</v>
      </c>
      <c r="B242" t="s">
        <v>26</v>
      </c>
      <c r="C242">
        <v>3</v>
      </c>
      <c r="D242" t="s">
        <v>32</v>
      </c>
      <c r="E242" t="s">
        <v>18</v>
      </c>
      <c r="F242" t="s">
        <v>39</v>
      </c>
      <c r="G242">
        <v>30</v>
      </c>
      <c r="H242">
        <v>1</v>
      </c>
      <c r="I242">
        <v>0</v>
      </c>
      <c r="J242">
        <v>14.4542</v>
      </c>
      <c r="K242" t="s">
        <v>14</v>
      </c>
      <c r="L242" t="s">
        <v>20</v>
      </c>
      <c r="M242" t="s">
        <v>40</v>
      </c>
      <c r="N242" t="b">
        <v>0</v>
      </c>
      <c r="O242" t="s">
        <v>21</v>
      </c>
      <c r="P242" t="s">
        <v>17</v>
      </c>
      <c r="Q242" t="s">
        <v>38</v>
      </c>
      <c r="R242" t="b">
        <v>0</v>
      </c>
    </row>
    <row r="243" spans="1:18" x14ac:dyDescent="0.3">
      <c r="A243">
        <v>1</v>
      </c>
      <c r="B243" t="s">
        <v>27</v>
      </c>
      <c r="C243">
        <v>3</v>
      </c>
      <c r="D243" t="s">
        <v>32</v>
      </c>
      <c r="E243" t="s">
        <v>18</v>
      </c>
      <c r="F243" t="s">
        <v>39</v>
      </c>
      <c r="G243">
        <v>30</v>
      </c>
      <c r="H243">
        <v>1</v>
      </c>
      <c r="I243">
        <v>0</v>
      </c>
      <c r="J243">
        <v>15.5</v>
      </c>
      <c r="K243" t="s">
        <v>14</v>
      </c>
      <c r="L243" t="s">
        <v>20</v>
      </c>
      <c r="M243" t="s">
        <v>40</v>
      </c>
      <c r="N243" t="b">
        <v>0</v>
      </c>
      <c r="O243" t="s">
        <v>23</v>
      </c>
      <c r="P243" t="s">
        <v>22</v>
      </c>
      <c r="Q243" t="s">
        <v>41</v>
      </c>
      <c r="R243" t="b">
        <v>0</v>
      </c>
    </row>
    <row r="244" spans="1:18" x14ac:dyDescent="0.3">
      <c r="A244">
        <v>0</v>
      </c>
      <c r="B244" t="s">
        <v>26</v>
      </c>
      <c r="C244">
        <v>2</v>
      </c>
      <c r="D244" t="s">
        <v>31</v>
      </c>
      <c r="E244" t="s">
        <v>13</v>
      </c>
      <c r="F244" t="s">
        <v>36</v>
      </c>
      <c r="G244">
        <v>29</v>
      </c>
      <c r="H244">
        <v>0</v>
      </c>
      <c r="I244">
        <v>0</v>
      </c>
      <c r="J244">
        <v>10.5</v>
      </c>
      <c r="K244" t="s">
        <v>25</v>
      </c>
      <c r="L244" t="s">
        <v>15</v>
      </c>
      <c r="M244" t="s">
        <v>37</v>
      </c>
      <c r="N244" t="b">
        <v>1</v>
      </c>
      <c r="O244" t="s">
        <v>16</v>
      </c>
      <c r="P244" t="s">
        <v>17</v>
      </c>
      <c r="Q244" t="s">
        <v>38</v>
      </c>
      <c r="R244" t="b">
        <v>1</v>
      </c>
    </row>
    <row r="245" spans="1:18" x14ac:dyDescent="0.3">
      <c r="A245">
        <v>0</v>
      </c>
      <c r="B245" t="s">
        <v>26</v>
      </c>
      <c r="C245">
        <v>3</v>
      </c>
      <c r="D245" t="s">
        <v>32</v>
      </c>
      <c r="E245" t="s">
        <v>13</v>
      </c>
      <c r="F245" t="s">
        <v>36</v>
      </c>
      <c r="G245">
        <v>22</v>
      </c>
      <c r="H245">
        <v>0</v>
      </c>
      <c r="I245">
        <v>0</v>
      </c>
      <c r="J245">
        <v>7.125</v>
      </c>
      <c r="K245" t="s">
        <v>14</v>
      </c>
      <c r="L245" t="s">
        <v>15</v>
      </c>
      <c r="M245" t="s">
        <v>37</v>
      </c>
      <c r="N245" t="b">
        <v>1</v>
      </c>
      <c r="O245" t="s">
        <v>16</v>
      </c>
      <c r="P245" t="s">
        <v>17</v>
      </c>
      <c r="Q245" t="s">
        <v>38</v>
      </c>
      <c r="R245" t="b">
        <v>1</v>
      </c>
    </row>
    <row r="246" spans="1:18" x14ac:dyDescent="0.3">
      <c r="A246">
        <v>0</v>
      </c>
      <c r="B246" t="s">
        <v>26</v>
      </c>
      <c r="C246">
        <v>3</v>
      </c>
      <c r="D246" t="s">
        <v>32</v>
      </c>
      <c r="E246" t="s">
        <v>13</v>
      </c>
      <c r="F246" t="s">
        <v>36</v>
      </c>
      <c r="G246">
        <v>30</v>
      </c>
      <c r="H246">
        <v>0</v>
      </c>
      <c r="I246">
        <v>0</v>
      </c>
      <c r="J246">
        <v>7.2249999999999996</v>
      </c>
      <c r="K246" t="s">
        <v>14</v>
      </c>
      <c r="L246" t="s">
        <v>15</v>
      </c>
      <c r="M246" t="s">
        <v>37</v>
      </c>
      <c r="N246" t="b">
        <v>1</v>
      </c>
      <c r="O246" t="s">
        <v>21</v>
      </c>
      <c r="P246" t="s">
        <v>17</v>
      </c>
      <c r="Q246" t="s">
        <v>38</v>
      </c>
      <c r="R246" t="b">
        <v>1</v>
      </c>
    </row>
    <row r="247" spans="1:18" x14ac:dyDescent="0.3">
      <c r="A247">
        <v>0</v>
      </c>
      <c r="B247" t="s">
        <v>26</v>
      </c>
      <c r="C247">
        <v>1</v>
      </c>
      <c r="D247" t="s">
        <v>30</v>
      </c>
      <c r="E247" t="s">
        <v>13</v>
      </c>
      <c r="F247" t="s">
        <v>36</v>
      </c>
      <c r="G247">
        <v>44</v>
      </c>
      <c r="H247">
        <v>2</v>
      </c>
      <c r="I247">
        <v>0</v>
      </c>
      <c r="J247">
        <v>90</v>
      </c>
      <c r="K247" t="s">
        <v>19</v>
      </c>
      <c r="L247" t="s">
        <v>15</v>
      </c>
      <c r="M247" t="s">
        <v>37</v>
      </c>
      <c r="N247" t="b">
        <v>1</v>
      </c>
      <c r="O247" t="s">
        <v>23</v>
      </c>
      <c r="P247" t="s">
        <v>17</v>
      </c>
      <c r="Q247" t="s">
        <v>38</v>
      </c>
      <c r="R247" t="b">
        <v>0</v>
      </c>
    </row>
    <row r="248" spans="1:18" x14ac:dyDescent="0.3">
      <c r="A248">
        <v>0</v>
      </c>
      <c r="B248" t="s">
        <v>26</v>
      </c>
      <c r="C248">
        <v>3</v>
      </c>
      <c r="D248" t="s">
        <v>32</v>
      </c>
      <c r="E248" t="s">
        <v>18</v>
      </c>
      <c r="F248" t="s">
        <v>39</v>
      </c>
      <c r="G248">
        <v>25</v>
      </c>
      <c r="H248">
        <v>0</v>
      </c>
      <c r="I248">
        <v>0</v>
      </c>
      <c r="J248">
        <v>7.7750000000000004</v>
      </c>
      <c r="K248" t="s">
        <v>14</v>
      </c>
      <c r="L248" t="s">
        <v>20</v>
      </c>
      <c r="M248" t="s">
        <v>40</v>
      </c>
      <c r="N248" t="b">
        <v>0</v>
      </c>
      <c r="O248" t="s">
        <v>16</v>
      </c>
      <c r="P248" t="s">
        <v>17</v>
      </c>
      <c r="Q248" t="s">
        <v>38</v>
      </c>
      <c r="R248" t="b">
        <v>1</v>
      </c>
    </row>
    <row r="249" spans="1:18" x14ac:dyDescent="0.3">
      <c r="A249">
        <v>1</v>
      </c>
      <c r="B249" t="s">
        <v>27</v>
      </c>
      <c r="C249">
        <v>2</v>
      </c>
      <c r="D249" t="s">
        <v>31</v>
      </c>
      <c r="E249" t="s">
        <v>18</v>
      </c>
      <c r="F249" t="s">
        <v>39</v>
      </c>
      <c r="G249">
        <v>24</v>
      </c>
      <c r="H249">
        <v>0</v>
      </c>
      <c r="I249">
        <v>2</v>
      </c>
      <c r="J249">
        <v>14.5</v>
      </c>
      <c r="K249" t="s">
        <v>25</v>
      </c>
      <c r="L249" t="s">
        <v>20</v>
      </c>
      <c r="M249" t="s">
        <v>40</v>
      </c>
      <c r="N249" t="b">
        <v>0</v>
      </c>
      <c r="O249" t="s">
        <v>16</v>
      </c>
      <c r="P249" t="s">
        <v>22</v>
      </c>
      <c r="Q249" t="s">
        <v>41</v>
      </c>
      <c r="R249" t="b">
        <v>0</v>
      </c>
    </row>
    <row r="250" spans="1:18" x14ac:dyDescent="0.3">
      <c r="A250">
        <v>1</v>
      </c>
      <c r="B250" t="s">
        <v>27</v>
      </c>
      <c r="C250">
        <v>1</v>
      </c>
      <c r="D250" t="s">
        <v>30</v>
      </c>
      <c r="E250" t="s">
        <v>13</v>
      </c>
      <c r="F250" t="s">
        <v>36</v>
      </c>
      <c r="G250">
        <v>37</v>
      </c>
      <c r="H250">
        <v>1</v>
      </c>
      <c r="I250">
        <v>1</v>
      </c>
      <c r="J250">
        <v>52.554200000000002</v>
      </c>
      <c r="K250" t="s">
        <v>19</v>
      </c>
      <c r="L250" t="s">
        <v>15</v>
      </c>
      <c r="M250" t="s">
        <v>37</v>
      </c>
      <c r="N250" t="b">
        <v>1</v>
      </c>
      <c r="O250" t="s">
        <v>16</v>
      </c>
      <c r="P250" t="s">
        <v>22</v>
      </c>
      <c r="Q250" t="s">
        <v>41</v>
      </c>
      <c r="R250" t="b">
        <v>0</v>
      </c>
    </row>
    <row r="251" spans="1:18" x14ac:dyDescent="0.3">
      <c r="A251">
        <v>0</v>
      </c>
      <c r="B251" t="s">
        <v>26</v>
      </c>
      <c r="C251">
        <v>2</v>
      </c>
      <c r="D251" t="s">
        <v>31</v>
      </c>
      <c r="E251" t="s">
        <v>13</v>
      </c>
      <c r="F251" t="s">
        <v>36</v>
      </c>
      <c r="G251">
        <v>54</v>
      </c>
      <c r="H251">
        <v>1</v>
      </c>
      <c r="I251">
        <v>0</v>
      </c>
      <c r="J251">
        <v>26</v>
      </c>
      <c r="K251" t="s">
        <v>25</v>
      </c>
      <c r="L251" t="s">
        <v>15</v>
      </c>
      <c r="M251" t="s">
        <v>37</v>
      </c>
      <c r="N251" t="b">
        <v>1</v>
      </c>
      <c r="O251" t="s">
        <v>16</v>
      </c>
      <c r="P251" t="s">
        <v>17</v>
      </c>
      <c r="Q251" t="s">
        <v>38</v>
      </c>
      <c r="R251" t="b">
        <v>0</v>
      </c>
    </row>
    <row r="252" spans="1:18" x14ac:dyDescent="0.3">
      <c r="A252">
        <v>0</v>
      </c>
      <c r="B252" t="s">
        <v>26</v>
      </c>
      <c r="C252">
        <v>3</v>
      </c>
      <c r="D252" t="s">
        <v>32</v>
      </c>
      <c r="E252" t="s">
        <v>13</v>
      </c>
      <c r="F252" t="s">
        <v>36</v>
      </c>
      <c r="G252">
        <v>30</v>
      </c>
      <c r="H252">
        <v>0</v>
      </c>
      <c r="I252">
        <v>0</v>
      </c>
      <c r="J252">
        <v>7.25</v>
      </c>
      <c r="K252" t="s">
        <v>14</v>
      </c>
      <c r="L252" t="s">
        <v>15</v>
      </c>
      <c r="M252" t="s">
        <v>37</v>
      </c>
      <c r="N252" t="b">
        <v>1</v>
      </c>
      <c r="O252" t="s">
        <v>16</v>
      </c>
      <c r="P252" t="s">
        <v>17</v>
      </c>
      <c r="Q252" t="s">
        <v>38</v>
      </c>
      <c r="R252" t="b">
        <v>1</v>
      </c>
    </row>
    <row r="253" spans="1:18" x14ac:dyDescent="0.3">
      <c r="A253">
        <v>0</v>
      </c>
      <c r="B253" t="s">
        <v>26</v>
      </c>
      <c r="C253">
        <v>3</v>
      </c>
      <c r="D253" t="s">
        <v>32</v>
      </c>
      <c r="E253" t="s">
        <v>18</v>
      </c>
      <c r="F253" t="s">
        <v>39</v>
      </c>
      <c r="G253">
        <v>29</v>
      </c>
      <c r="H253">
        <v>1</v>
      </c>
      <c r="I253">
        <v>1</v>
      </c>
      <c r="J253">
        <v>10.4625</v>
      </c>
      <c r="K253" t="s">
        <v>14</v>
      </c>
      <c r="L253" t="s">
        <v>20</v>
      </c>
      <c r="M253" t="s">
        <v>40</v>
      </c>
      <c r="N253" t="b">
        <v>0</v>
      </c>
      <c r="O253" t="s">
        <v>16</v>
      </c>
      <c r="P253" t="s">
        <v>17</v>
      </c>
      <c r="Q253" t="s">
        <v>38</v>
      </c>
      <c r="R253" t="b">
        <v>0</v>
      </c>
    </row>
    <row r="254" spans="1:18" x14ac:dyDescent="0.3">
      <c r="A254">
        <v>0</v>
      </c>
      <c r="B254" t="s">
        <v>26</v>
      </c>
      <c r="C254">
        <v>1</v>
      </c>
      <c r="D254" t="s">
        <v>30</v>
      </c>
      <c r="E254" t="s">
        <v>13</v>
      </c>
      <c r="F254" t="s">
        <v>36</v>
      </c>
      <c r="G254">
        <v>62</v>
      </c>
      <c r="H254">
        <v>0</v>
      </c>
      <c r="I254">
        <v>0</v>
      </c>
      <c r="J254">
        <v>26.55</v>
      </c>
      <c r="K254" t="s">
        <v>19</v>
      </c>
      <c r="L254" t="s">
        <v>15</v>
      </c>
      <c r="M254" t="s">
        <v>37</v>
      </c>
      <c r="N254" t="b">
        <v>1</v>
      </c>
      <c r="O254" t="s">
        <v>16</v>
      </c>
      <c r="P254" t="s">
        <v>17</v>
      </c>
      <c r="Q254" t="s">
        <v>38</v>
      </c>
      <c r="R254" t="b">
        <v>1</v>
      </c>
    </row>
    <row r="255" spans="1:18" x14ac:dyDescent="0.3">
      <c r="A255">
        <v>0</v>
      </c>
      <c r="B255" t="s">
        <v>26</v>
      </c>
      <c r="C255">
        <v>3</v>
      </c>
      <c r="D255" t="s">
        <v>32</v>
      </c>
      <c r="E255" t="s">
        <v>13</v>
      </c>
      <c r="F255" t="s">
        <v>36</v>
      </c>
      <c r="G255">
        <v>30</v>
      </c>
      <c r="H255">
        <v>1</v>
      </c>
      <c r="I255">
        <v>0</v>
      </c>
      <c r="J255">
        <v>16.100000000000001</v>
      </c>
      <c r="K255" t="s">
        <v>14</v>
      </c>
      <c r="L255" t="s">
        <v>15</v>
      </c>
      <c r="M255" t="s">
        <v>37</v>
      </c>
      <c r="N255" t="b">
        <v>1</v>
      </c>
      <c r="O255" t="s">
        <v>16</v>
      </c>
      <c r="P255" t="s">
        <v>17</v>
      </c>
      <c r="Q255" t="s">
        <v>38</v>
      </c>
      <c r="R255" t="b">
        <v>0</v>
      </c>
    </row>
    <row r="256" spans="1:18" x14ac:dyDescent="0.3">
      <c r="A256">
        <v>0</v>
      </c>
      <c r="B256" t="s">
        <v>26</v>
      </c>
      <c r="C256">
        <v>3</v>
      </c>
      <c r="D256" t="s">
        <v>32</v>
      </c>
      <c r="E256" t="s">
        <v>18</v>
      </c>
      <c r="F256" t="s">
        <v>39</v>
      </c>
      <c r="G256">
        <v>41</v>
      </c>
      <c r="H256">
        <v>0</v>
      </c>
      <c r="I256">
        <v>2</v>
      </c>
      <c r="J256">
        <v>20.212499999999999</v>
      </c>
      <c r="K256" t="s">
        <v>14</v>
      </c>
      <c r="L256" t="s">
        <v>20</v>
      </c>
      <c r="M256" t="s">
        <v>40</v>
      </c>
      <c r="N256" t="b">
        <v>0</v>
      </c>
      <c r="O256" t="s">
        <v>16</v>
      </c>
      <c r="P256" t="s">
        <v>17</v>
      </c>
      <c r="Q256" t="s">
        <v>38</v>
      </c>
      <c r="R256" t="b">
        <v>0</v>
      </c>
    </row>
    <row r="257" spans="1:18" x14ac:dyDescent="0.3">
      <c r="A257">
        <v>1</v>
      </c>
      <c r="B257" t="s">
        <v>27</v>
      </c>
      <c r="C257">
        <v>3</v>
      </c>
      <c r="D257" t="s">
        <v>32</v>
      </c>
      <c r="E257" t="s">
        <v>18</v>
      </c>
      <c r="F257" t="s">
        <v>39</v>
      </c>
      <c r="G257">
        <v>29</v>
      </c>
      <c r="H257">
        <v>0</v>
      </c>
      <c r="I257">
        <v>2</v>
      </c>
      <c r="J257">
        <v>15.245799999999999</v>
      </c>
      <c r="K257" t="s">
        <v>14</v>
      </c>
      <c r="L257" t="s">
        <v>20</v>
      </c>
      <c r="M257" t="s">
        <v>40</v>
      </c>
      <c r="N257" t="b">
        <v>0</v>
      </c>
      <c r="O257" t="s">
        <v>21</v>
      </c>
      <c r="P257" t="s">
        <v>22</v>
      </c>
      <c r="Q257" t="s">
        <v>41</v>
      </c>
      <c r="R257" t="b">
        <v>0</v>
      </c>
    </row>
    <row r="258" spans="1:18" x14ac:dyDescent="0.3">
      <c r="A258">
        <v>1</v>
      </c>
      <c r="B258" t="s">
        <v>27</v>
      </c>
      <c r="C258">
        <v>1</v>
      </c>
      <c r="D258" t="s">
        <v>30</v>
      </c>
      <c r="E258" t="s">
        <v>18</v>
      </c>
      <c r="F258" t="s">
        <v>39</v>
      </c>
      <c r="G258">
        <v>30</v>
      </c>
      <c r="H258">
        <v>0</v>
      </c>
      <c r="I258">
        <v>0</v>
      </c>
      <c r="J258">
        <v>79.2</v>
      </c>
      <c r="K258" t="s">
        <v>19</v>
      </c>
      <c r="L258" t="s">
        <v>20</v>
      </c>
      <c r="M258" t="s">
        <v>40</v>
      </c>
      <c r="N258" t="b">
        <v>0</v>
      </c>
      <c r="O258" t="s">
        <v>21</v>
      </c>
      <c r="P258" t="s">
        <v>22</v>
      </c>
      <c r="Q258" t="s">
        <v>41</v>
      </c>
      <c r="R258" t="b">
        <v>1</v>
      </c>
    </row>
    <row r="259" spans="1:18" x14ac:dyDescent="0.3">
      <c r="A259">
        <v>1</v>
      </c>
      <c r="B259" t="s">
        <v>27</v>
      </c>
      <c r="C259">
        <v>1</v>
      </c>
      <c r="D259" t="s">
        <v>30</v>
      </c>
      <c r="E259" t="s">
        <v>18</v>
      </c>
      <c r="F259" t="s">
        <v>39</v>
      </c>
      <c r="G259">
        <v>30</v>
      </c>
      <c r="H259">
        <v>0</v>
      </c>
      <c r="I259">
        <v>0</v>
      </c>
      <c r="J259">
        <v>86.5</v>
      </c>
      <c r="K259" t="s">
        <v>19</v>
      </c>
      <c r="L259" t="s">
        <v>20</v>
      </c>
      <c r="M259" t="s">
        <v>40</v>
      </c>
      <c r="N259" t="b">
        <v>0</v>
      </c>
      <c r="O259" t="s">
        <v>16</v>
      </c>
      <c r="P259" t="s">
        <v>22</v>
      </c>
      <c r="Q259" t="s">
        <v>41</v>
      </c>
      <c r="R259" t="b">
        <v>1</v>
      </c>
    </row>
    <row r="260" spans="1:18" x14ac:dyDescent="0.3">
      <c r="A260">
        <v>1</v>
      </c>
      <c r="B260" t="s">
        <v>27</v>
      </c>
      <c r="C260">
        <v>1</v>
      </c>
      <c r="D260" t="s">
        <v>30</v>
      </c>
      <c r="E260" t="s">
        <v>18</v>
      </c>
      <c r="F260" t="s">
        <v>39</v>
      </c>
      <c r="G260">
        <v>35</v>
      </c>
      <c r="H260">
        <v>0</v>
      </c>
      <c r="I260">
        <v>0</v>
      </c>
      <c r="J260">
        <v>512.32920000000001</v>
      </c>
      <c r="K260" t="s">
        <v>19</v>
      </c>
      <c r="L260" t="s">
        <v>20</v>
      </c>
      <c r="M260" t="s">
        <v>40</v>
      </c>
      <c r="N260" t="b">
        <v>0</v>
      </c>
      <c r="O260" t="s">
        <v>21</v>
      </c>
      <c r="P260" t="s">
        <v>22</v>
      </c>
      <c r="Q260" t="s">
        <v>41</v>
      </c>
      <c r="R260" t="b">
        <v>1</v>
      </c>
    </row>
    <row r="261" spans="1:18" x14ac:dyDescent="0.3">
      <c r="A261">
        <v>1</v>
      </c>
      <c r="B261" t="s">
        <v>27</v>
      </c>
      <c r="C261">
        <v>2</v>
      </c>
      <c r="D261" t="s">
        <v>31</v>
      </c>
      <c r="E261" t="s">
        <v>18</v>
      </c>
      <c r="F261" t="s">
        <v>39</v>
      </c>
      <c r="G261">
        <v>50</v>
      </c>
      <c r="H261">
        <v>0</v>
      </c>
      <c r="I261">
        <v>1</v>
      </c>
      <c r="J261">
        <v>26</v>
      </c>
      <c r="K261" t="s">
        <v>25</v>
      </c>
      <c r="L261" t="s">
        <v>20</v>
      </c>
      <c r="M261" t="s">
        <v>40</v>
      </c>
      <c r="N261" t="b">
        <v>0</v>
      </c>
      <c r="O261" t="s">
        <v>16</v>
      </c>
      <c r="P261" t="s">
        <v>22</v>
      </c>
      <c r="Q261" t="s">
        <v>41</v>
      </c>
      <c r="R261" t="b">
        <v>0</v>
      </c>
    </row>
    <row r="262" spans="1:18" x14ac:dyDescent="0.3">
      <c r="A262">
        <v>0</v>
      </c>
      <c r="B262" t="s">
        <v>26</v>
      </c>
      <c r="C262">
        <v>3</v>
      </c>
      <c r="D262" t="s">
        <v>32</v>
      </c>
      <c r="E262" t="s">
        <v>13</v>
      </c>
      <c r="F262" t="s">
        <v>36</v>
      </c>
      <c r="G262">
        <v>30</v>
      </c>
      <c r="H262">
        <v>0</v>
      </c>
      <c r="I262">
        <v>0</v>
      </c>
      <c r="J262">
        <v>7.75</v>
      </c>
      <c r="K262" t="s">
        <v>14</v>
      </c>
      <c r="L262" t="s">
        <v>15</v>
      </c>
      <c r="M262" t="s">
        <v>37</v>
      </c>
      <c r="N262" t="b">
        <v>1</v>
      </c>
      <c r="O262" t="s">
        <v>23</v>
      </c>
      <c r="P262" t="s">
        <v>17</v>
      </c>
      <c r="Q262" t="s">
        <v>38</v>
      </c>
      <c r="R262" t="b">
        <v>1</v>
      </c>
    </row>
    <row r="263" spans="1:18" x14ac:dyDescent="0.3">
      <c r="A263">
        <v>1</v>
      </c>
      <c r="B263" t="s">
        <v>27</v>
      </c>
      <c r="C263">
        <v>3</v>
      </c>
      <c r="D263" t="s">
        <v>32</v>
      </c>
      <c r="E263" t="s">
        <v>13</v>
      </c>
      <c r="F263" t="s">
        <v>36</v>
      </c>
      <c r="G263">
        <v>3</v>
      </c>
      <c r="H263">
        <v>4</v>
      </c>
      <c r="I263">
        <v>2</v>
      </c>
      <c r="J263">
        <v>31.387499999999999</v>
      </c>
      <c r="K263" t="s">
        <v>14</v>
      </c>
      <c r="L263" t="s">
        <v>24</v>
      </c>
      <c r="M263" t="s">
        <v>42</v>
      </c>
      <c r="N263" t="b">
        <v>0</v>
      </c>
      <c r="O263" t="s">
        <v>16</v>
      </c>
      <c r="P263" t="s">
        <v>22</v>
      </c>
      <c r="Q263" t="s">
        <v>41</v>
      </c>
      <c r="R263" t="b">
        <v>0</v>
      </c>
    </row>
    <row r="264" spans="1:18" x14ac:dyDescent="0.3">
      <c r="A264">
        <v>0</v>
      </c>
      <c r="B264" t="s">
        <v>26</v>
      </c>
      <c r="C264">
        <v>1</v>
      </c>
      <c r="D264" t="s">
        <v>30</v>
      </c>
      <c r="E264" t="s">
        <v>13</v>
      </c>
      <c r="F264" t="s">
        <v>36</v>
      </c>
      <c r="G264">
        <v>52</v>
      </c>
      <c r="H264">
        <v>1</v>
      </c>
      <c r="I264">
        <v>1</v>
      </c>
      <c r="J264">
        <v>79.650000000000006</v>
      </c>
      <c r="K264" t="s">
        <v>19</v>
      </c>
      <c r="L264" t="s">
        <v>15</v>
      </c>
      <c r="M264" t="s">
        <v>37</v>
      </c>
      <c r="N264" t="b">
        <v>1</v>
      </c>
      <c r="O264" t="s">
        <v>16</v>
      </c>
      <c r="P264" t="s">
        <v>17</v>
      </c>
      <c r="Q264" t="s">
        <v>38</v>
      </c>
      <c r="R264" t="b">
        <v>0</v>
      </c>
    </row>
    <row r="265" spans="1:18" x14ac:dyDescent="0.3">
      <c r="A265">
        <v>0</v>
      </c>
      <c r="B265" t="s">
        <v>26</v>
      </c>
      <c r="C265">
        <v>1</v>
      </c>
      <c r="D265" t="s">
        <v>30</v>
      </c>
      <c r="E265" t="s">
        <v>13</v>
      </c>
      <c r="F265" t="s">
        <v>36</v>
      </c>
      <c r="G265">
        <v>40</v>
      </c>
      <c r="H265">
        <v>0</v>
      </c>
      <c r="I265">
        <v>0</v>
      </c>
      <c r="J265">
        <v>0</v>
      </c>
      <c r="K265" t="s">
        <v>19</v>
      </c>
      <c r="L265" t="s">
        <v>15</v>
      </c>
      <c r="M265" t="s">
        <v>37</v>
      </c>
      <c r="N265" t="b">
        <v>1</v>
      </c>
      <c r="O265" t="s">
        <v>16</v>
      </c>
      <c r="P265" t="s">
        <v>17</v>
      </c>
      <c r="Q265" t="s">
        <v>38</v>
      </c>
      <c r="R265" t="b">
        <v>1</v>
      </c>
    </row>
    <row r="266" spans="1:18" x14ac:dyDescent="0.3">
      <c r="A266">
        <v>0</v>
      </c>
      <c r="B266" t="s">
        <v>26</v>
      </c>
      <c r="C266">
        <v>3</v>
      </c>
      <c r="D266" t="s">
        <v>32</v>
      </c>
      <c r="E266" t="s">
        <v>18</v>
      </c>
      <c r="F266" t="s">
        <v>39</v>
      </c>
      <c r="G266">
        <v>30</v>
      </c>
      <c r="H266">
        <v>0</v>
      </c>
      <c r="I266">
        <v>0</v>
      </c>
      <c r="J266">
        <v>7.75</v>
      </c>
      <c r="K266" t="s">
        <v>14</v>
      </c>
      <c r="L266" t="s">
        <v>20</v>
      </c>
      <c r="M266" t="s">
        <v>40</v>
      </c>
      <c r="N266" t="b">
        <v>0</v>
      </c>
      <c r="O266" t="s">
        <v>23</v>
      </c>
      <c r="P266" t="s">
        <v>17</v>
      </c>
      <c r="Q266" t="s">
        <v>38</v>
      </c>
      <c r="R266" t="b">
        <v>1</v>
      </c>
    </row>
    <row r="267" spans="1:18" x14ac:dyDescent="0.3">
      <c r="A267">
        <v>0</v>
      </c>
      <c r="B267" t="s">
        <v>26</v>
      </c>
      <c r="C267">
        <v>2</v>
      </c>
      <c r="D267" t="s">
        <v>31</v>
      </c>
      <c r="E267" t="s">
        <v>13</v>
      </c>
      <c r="F267" t="s">
        <v>36</v>
      </c>
      <c r="G267">
        <v>36</v>
      </c>
      <c r="H267">
        <v>0</v>
      </c>
      <c r="I267">
        <v>0</v>
      </c>
      <c r="J267">
        <v>10.5</v>
      </c>
      <c r="K267" t="s">
        <v>25</v>
      </c>
      <c r="L267" t="s">
        <v>15</v>
      </c>
      <c r="M267" t="s">
        <v>37</v>
      </c>
      <c r="N267" t="b">
        <v>1</v>
      </c>
      <c r="O267" t="s">
        <v>16</v>
      </c>
      <c r="P267" t="s">
        <v>17</v>
      </c>
      <c r="Q267" t="s">
        <v>38</v>
      </c>
      <c r="R267" t="b">
        <v>1</v>
      </c>
    </row>
    <row r="268" spans="1:18" x14ac:dyDescent="0.3">
      <c r="A268">
        <v>0</v>
      </c>
      <c r="B268" t="s">
        <v>26</v>
      </c>
      <c r="C268">
        <v>3</v>
      </c>
      <c r="D268" t="s">
        <v>32</v>
      </c>
      <c r="E268" t="s">
        <v>13</v>
      </c>
      <c r="F268" t="s">
        <v>36</v>
      </c>
      <c r="G268">
        <v>16</v>
      </c>
      <c r="H268">
        <v>4</v>
      </c>
      <c r="I268">
        <v>1</v>
      </c>
      <c r="J268">
        <v>39.6875</v>
      </c>
      <c r="K268" t="s">
        <v>14</v>
      </c>
      <c r="L268" t="s">
        <v>15</v>
      </c>
      <c r="M268" t="s">
        <v>37</v>
      </c>
      <c r="N268" t="b">
        <v>1</v>
      </c>
      <c r="O268" t="s">
        <v>16</v>
      </c>
      <c r="P268" t="s">
        <v>17</v>
      </c>
      <c r="Q268" t="s">
        <v>38</v>
      </c>
      <c r="R268" t="b">
        <v>0</v>
      </c>
    </row>
    <row r="269" spans="1:18" x14ac:dyDescent="0.3">
      <c r="A269">
        <v>1</v>
      </c>
      <c r="B269" t="s">
        <v>27</v>
      </c>
      <c r="C269">
        <v>3</v>
      </c>
      <c r="D269" t="s">
        <v>32</v>
      </c>
      <c r="E269" t="s">
        <v>13</v>
      </c>
      <c r="F269" t="s">
        <v>36</v>
      </c>
      <c r="G269">
        <v>25</v>
      </c>
      <c r="H269">
        <v>1</v>
      </c>
      <c r="I269">
        <v>0</v>
      </c>
      <c r="J269">
        <v>7.7750000000000004</v>
      </c>
      <c r="K269" t="s">
        <v>14</v>
      </c>
      <c r="L269" t="s">
        <v>15</v>
      </c>
      <c r="M269" t="s">
        <v>37</v>
      </c>
      <c r="N269" t="b">
        <v>1</v>
      </c>
      <c r="O269" t="s">
        <v>16</v>
      </c>
      <c r="P269" t="s">
        <v>22</v>
      </c>
      <c r="Q269" t="s">
        <v>41</v>
      </c>
      <c r="R269" t="b">
        <v>0</v>
      </c>
    </row>
    <row r="270" spans="1:18" x14ac:dyDescent="0.3">
      <c r="A270">
        <v>1</v>
      </c>
      <c r="B270" t="s">
        <v>27</v>
      </c>
      <c r="C270">
        <v>1</v>
      </c>
      <c r="D270" t="s">
        <v>30</v>
      </c>
      <c r="E270" t="s">
        <v>18</v>
      </c>
      <c r="F270" t="s">
        <v>39</v>
      </c>
      <c r="G270">
        <v>58</v>
      </c>
      <c r="H270">
        <v>0</v>
      </c>
      <c r="I270">
        <v>1</v>
      </c>
      <c r="J270">
        <v>153.46250000000001</v>
      </c>
      <c r="K270" t="s">
        <v>19</v>
      </c>
      <c r="L270" t="s">
        <v>20</v>
      </c>
      <c r="M270" t="s">
        <v>40</v>
      </c>
      <c r="N270" t="b">
        <v>0</v>
      </c>
      <c r="O270" t="s">
        <v>16</v>
      </c>
      <c r="P270" t="s">
        <v>22</v>
      </c>
      <c r="Q270" t="s">
        <v>41</v>
      </c>
      <c r="R270" t="b">
        <v>0</v>
      </c>
    </row>
    <row r="271" spans="1:18" x14ac:dyDescent="0.3">
      <c r="A271">
        <v>1</v>
      </c>
      <c r="B271" t="s">
        <v>27</v>
      </c>
      <c r="C271">
        <v>1</v>
      </c>
      <c r="D271" t="s">
        <v>30</v>
      </c>
      <c r="E271" t="s">
        <v>18</v>
      </c>
      <c r="F271" t="s">
        <v>39</v>
      </c>
      <c r="G271">
        <v>35</v>
      </c>
      <c r="H271">
        <v>0</v>
      </c>
      <c r="I271">
        <v>0</v>
      </c>
      <c r="J271">
        <v>135.63329999999999</v>
      </c>
      <c r="K271" t="s">
        <v>19</v>
      </c>
      <c r="L271" t="s">
        <v>20</v>
      </c>
      <c r="M271" t="s">
        <v>40</v>
      </c>
      <c r="N271" t="b">
        <v>0</v>
      </c>
      <c r="O271" t="s">
        <v>16</v>
      </c>
      <c r="P271" t="s">
        <v>22</v>
      </c>
      <c r="Q271" t="s">
        <v>41</v>
      </c>
      <c r="R271" t="b">
        <v>1</v>
      </c>
    </row>
    <row r="272" spans="1:18" x14ac:dyDescent="0.3">
      <c r="A272">
        <v>0</v>
      </c>
      <c r="B272" t="s">
        <v>26</v>
      </c>
      <c r="C272">
        <v>1</v>
      </c>
      <c r="D272" t="s">
        <v>30</v>
      </c>
      <c r="E272" t="s">
        <v>13</v>
      </c>
      <c r="F272" t="s">
        <v>36</v>
      </c>
      <c r="G272">
        <v>30</v>
      </c>
      <c r="H272">
        <v>0</v>
      </c>
      <c r="I272">
        <v>0</v>
      </c>
      <c r="J272">
        <v>31</v>
      </c>
      <c r="K272" t="s">
        <v>19</v>
      </c>
      <c r="L272" t="s">
        <v>15</v>
      </c>
      <c r="M272" t="s">
        <v>37</v>
      </c>
      <c r="N272" t="b">
        <v>1</v>
      </c>
      <c r="O272" t="s">
        <v>16</v>
      </c>
      <c r="P272" t="s">
        <v>17</v>
      </c>
      <c r="Q272" t="s">
        <v>38</v>
      </c>
      <c r="R272" t="b">
        <v>1</v>
      </c>
    </row>
    <row r="273" spans="1:18" x14ac:dyDescent="0.3">
      <c r="A273">
        <v>1</v>
      </c>
      <c r="B273" t="s">
        <v>27</v>
      </c>
      <c r="C273">
        <v>3</v>
      </c>
      <c r="D273" t="s">
        <v>32</v>
      </c>
      <c r="E273" t="s">
        <v>13</v>
      </c>
      <c r="F273" t="s">
        <v>36</v>
      </c>
      <c r="G273">
        <v>25</v>
      </c>
      <c r="H273">
        <v>0</v>
      </c>
      <c r="I273">
        <v>0</v>
      </c>
      <c r="J273">
        <v>0</v>
      </c>
      <c r="K273" t="s">
        <v>14</v>
      </c>
      <c r="L273" t="s">
        <v>15</v>
      </c>
      <c r="M273" t="s">
        <v>37</v>
      </c>
      <c r="N273" t="b">
        <v>1</v>
      </c>
      <c r="O273" t="s">
        <v>16</v>
      </c>
      <c r="P273" t="s">
        <v>22</v>
      </c>
      <c r="Q273" t="s">
        <v>41</v>
      </c>
      <c r="R273" t="b">
        <v>1</v>
      </c>
    </row>
    <row r="274" spans="1:18" x14ac:dyDescent="0.3">
      <c r="A274">
        <v>1</v>
      </c>
      <c r="B274" t="s">
        <v>27</v>
      </c>
      <c r="C274">
        <v>2</v>
      </c>
      <c r="D274" t="s">
        <v>31</v>
      </c>
      <c r="E274" t="s">
        <v>18</v>
      </c>
      <c r="F274" t="s">
        <v>39</v>
      </c>
      <c r="G274">
        <v>41</v>
      </c>
      <c r="H274">
        <v>0</v>
      </c>
      <c r="I274">
        <v>1</v>
      </c>
      <c r="J274">
        <v>19.5</v>
      </c>
      <c r="K274" t="s">
        <v>25</v>
      </c>
      <c r="L274" t="s">
        <v>20</v>
      </c>
      <c r="M274" t="s">
        <v>40</v>
      </c>
      <c r="N274" t="b">
        <v>0</v>
      </c>
      <c r="O274" t="s">
        <v>16</v>
      </c>
      <c r="P274" t="s">
        <v>22</v>
      </c>
      <c r="Q274" t="s">
        <v>41</v>
      </c>
      <c r="R274" t="b">
        <v>0</v>
      </c>
    </row>
    <row r="275" spans="1:18" x14ac:dyDescent="0.3">
      <c r="A275">
        <v>0</v>
      </c>
      <c r="B275" t="s">
        <v>26</v>
      </c>
      <c r="C275">
        <v>1</v>
      </c>
      <c r="D275" t="s">
        <v>30</v>
      </c>
      <c r="E275" t="s">
        <v>13</v>
      </c>
      <c r="F275" t="s">
        <v>36</v>
      </c>
      <c r="G275">
        <v>37</v>
      </c>
      <c r="H275">
        <v>0</v>
      </c>
      <c r="I275">
        <v>1</v>
      </c>
      <c r="J275">
        <v>29.7</v>
      </c>
      <c r="K275" t="s">
        <v>19</v>
      </c>
      <c r="L275" t="s">
        <v>15</v>
      </c>
      <c r="M275" t="s">
        <v>37</v>
      </c>
      <c r="N275" t="b">
        <v>1</v>
      </c>
      <c r="O275" t="s">
        <v>21</v>
      </c>
      <c r="P275" t="s">
        <v>17</v>
      </c>
      <c r="Q275" t="s">
        <v>38</v>
      </c>
      <c r="R275" t="b">
        <v>0</v>
      </c>
    </row>
    <row r="276" spans="1:18" x14ac:dyDescent="0.3">
      <c r="A276">
        <v>1</v>
      </c>
      <c r="B276" t="s">
        <v>27</v>
      </c>
      <c r="C276">
        <v>3</v>
      </c>
      <c r="D276" t="s">
        <v>32</v>
      </c>
      <c r="E276" t="s">
        <v>18</v>
      </c>
      <c r="F276" t="s">
        <v>39</v>
      </c>
      <c r="G276">
        <v>30</v>
      </c>
      <c r="H276">
        <v>0</v>
      </c>
      <c r="I276">
        <v>0</v>
      </c>
      <c r="J276">
        <v>7.75</v>
      </c>
      <c r="K276" t="s">
        <v>14</v>
      </c>
      <c r="L276" t="s">
        <v>20</v>
      </c>
      <c r="M276" t="s">
        <v>40</v>
      </c>
      <c r="N276" t="b">
        <v>0</v>
      </c>
      <c r="O276" t="s">
        <v>23</v>
      </c>
      <c r="P276" t="s">
        <v>22</v>
      </c>
      <c r="Q276" t="s">
        <v>41</v>
      </c>
      <c r="R276" t="b">
        <v>1</v>
      </c>
    </row>
    <row r="277" spans="1:18" x14ac:dyDescent="0.3">
      <c r="A277">
        <v>1</v>
      </c>
      <c r="B277" t="s">
        <v>27</v>
      </c>
      <c r="C277">
        <v>1</v>
      </c>
      <c r="D277" t="s">
        <v>30</v>
      </c>
      <c r="E277" t="s">
        <v>18</v>
      </c>
      <c r="F277" t="s">
        <v>39</v>
      </c>
      <c r="G277">
        <v>63</v>
      </c>
      <c r="H277">
        <v>1</v>
      </c>
      <c r="I277">
        <v>0</v>
      </c>
      <c r="J277">
        <v>77.958299999999994</v>
      </c>
      <c r="K277" t="s">
        <v>19</v>
      </c>
      <c r="L277" t="s">
        <v>20</v>
      </c>
      <c r="M277" t="s">
        <v>40</v>
      </c>
      <c r="N277" t="b">
        <v>0</v>
      </c>
      <c r="O277" t="s">
        <v>16</v>
      </c>
      <c r="P277" t="s">
        <v>22</v>
      </c>
      <c r="Q277" t="s">
        <v>41</v>
      </c>
      <c r="R277" t="b">
        <v>0</v>
      </c>
    </row>
    <row r="278" spans="1:18" x14ac:dyDescent="0.3">
      <c r="A278">
        <v>0</v>
      </c>
      <c r="B278" t="s">
        <v>26</v>
      </c>
      <c r="C278">
        <v>3</v>
      </c>
      <c r="D278" t="s">
        <v>32</v>
      </c>
      <c r="E278" t="s">
        <v>18</v>
      </c>
      <c r="F278" t="s">
        <v>39</v>
      </c>
      <c r="G278">
        <v>45</v>
      </c>
      <c r="H278">
        <v>0</v>
      </c>
      <c r="I278">
        <v>0</v>
      </c>
      <c r="J278">
        <v>7.75</v>
      </c>
      <c r="K278" t="s">
        <v>14</v>
      </c>
      <c r="L278" t="s">
        <v>20</v>
      </c>
      <c r="M278" t="s">
        <v>40</v>
      </c>
      <c r="N278" t="b">
        <v>0</v>
      </c>
      <c r="O278" t="s">
        <v>16</v>
      </c>
      <c r="P278" t="s">
        <v>17</v>
      </c>
      <c r="Q278" t="s">
        <v>38</v>
      </c>
      <c r="R278" t="b">
        <v>1</v>
      </c>
    </row>
    <row r="279" spans="1:18" x14ac:dyDescent="0.3">
      <c r="A279">
        <v>0</v>
      </c>
      <c r="B279" t="s">
        <v>26</v>
      </c>
      <c r="C279">
        <v>2</v>
      </c>
      <c r="D279" t="s">
        <v>31</v>
      </c>
      <c r="E279" t="s">
        <v>13</v>
      </c>
      <c r="F279" t="s">
        <v>36</v>
      </c>
      <c r="G279">
        <v>30</v>
      </c>
      <c r="H279">
        <v>0</v>
      </c>
      <c r="I279">
        <v>0</v>
      </c>
      <c r="J279">
        <v>0</v>
      </c>
      <c r="K279" t="s">
        <v>25</v>
      </c>
      <c r="L279" t="s">
        <v>15</v>
      </c>
      <c r="M279" t="s">
        <v>37</v>
      </c>
      <c r="N279" t="b">
        <v>1</v>
      </c>
      <c r="O279" t="s">
        <v>16</v>
      </c>
      <c r="P279" t="s">
        <v>17</v>
      </c>
      <c r="Q279" t="s">
        <v>38</v>
      </c>
      <c r="R279" t="b">
        <v>1</v>
      </c>
    </row>
    <row r="280" spans="1:18" x14ac:dyDescent="0.3">
      <c r="A280">
        <v>0</v>
      </c>
      <c r="B280" t="s">
        <v>26</v>
      </c>
      <c r="C280">
        <v>3</v>
      </c>
      <c r="D280" t="s">
        <v>32</v>
      </c>
      <c r="E280" t="s">
        <v>13</v>
      </c>
      <c r="F280" t="s">
        <v>36</v>
      </c>
      <c r="G280">
        <v>7</v>
      </c>
      <c r="H280">
        <v>4</v>
      </c>
      <c r="I280">
        <v>1</v>
      </c>
      <c r="J280">
        <v>29.125</v>
      </c>
      <c r="K280" t="s">
        <v>14</v>
      </c>
      <c r="L280" t="s">
        <v>24</v>
      </c>
      <c r="M280" t="s">
        <v>42</v>
      </c>
      <c r="N280" t="b">
        <v>0</v>
      </c>
      <c r="O280" t="s">
        <v>23</v>
      </c>
      <c r="P280" t="s">
        <v>17</v>
      </c>
      <c r="Q280" t="s">
        <v>38</v>
      </c>
      <c r="R280" t="b">
        <v>0</v>
      </c>
    </row>
    <row r="281" spans="1:18" x14ac:dyDescent="0.3">
      <c r="A281">
        <v>1</v>
      </c>
      <c r="B281" t="s">
        <v>27</v>
      </c>
      <c r="C281">
        <v>3</v>
      </c>
      <c r="D281" t="s">
        <v>32</v>
      </c>
      <c r="E281" t="s">
        <v>18</v>
      </c>
      <c r="F281" t="s">
        <v>39</v>
      </c>
      <c r="G281">
        <v>35</v>
      </c>
      <c r="H281">
        <v>1</v>
      </c>
      <c r="I281">
        <v>1</v>
      </c>
      <c r="J281">
        <v>20.25</v>
      </c>
      <c r="K281" t="s">
        <v>14</v>
      </c>
      <c r="L281" t="s">
        <v>20</v>
      </c>
      <c r="M281" t="s">
        <v>40</v>
      </c>
      <c r="N281" t="b">
        <v>0</v>
      </c>
      <c r="O281" t="s">
        <v>16</v>
      </c>
      <c r="P281" t="s">
        <v>22</v>
      </c>
      <c r="Q281" t="s">
        <v>41</v>
      </c>
      <c r="R281" t="b">
        <v>0</v>
      </c>
    </row>
    <row r="282" spans="1:18" x14ac:dyDescent="0.3">
      <c r="A282">
        <v>0</v>
      </c>
      <c r="B282" t="s">
        <v>26</v>
      </c>
      <c r="C282">
        <v>3</v>
      </c>
      <c r="D282" t="s">
        <v>32</v>
      </c>
      <c r="E282" t="s">
        <v>13</v>
      </c>
      <c r="F282" t="s">
        <v>36</v>
      </c>
      <c r="G282">
        <v>65</v>
      </c>
      <c r="H282">
        <v>0</v>
      </c>
      <c r="I282">
        <v>0</v>
      </c>
      <c r="J282">
        <v>7.75</v>
      </c>
      <c r="K282" t="s">
        <v>14</v>
      </c>
      <c r="L282" t="s">
        <v>15</v>
      </c>
      <c r="M282" t="s">
        <v>37</v>
      </c>
      <c r="N282" t="b">
        <v>1</v>
      </c>
      <c r="O282" t="s">
        <v>23</v>
      </c>
      <c r="P282" t="s">
        <v>17</v>
      </c>
      <c r="Q282" t="s">
        <v>38</v>
      </c>
      <c r="R282" t="b">
        <v>1</v>
      </c>
    </row>
    <row r="283" spans="1:18" x14ac:dyDescent="0.3">
      <c r="A283">
        <v>0</v>
      </c>
      <c r="B283" t="s">
        <v>26</v>
      </c>
      <c r="C283">
        <v>3</v>
      </c>
      <c r="D283" t="s">
        <v>32</v>
      </c>
      <c r="E283" t="s">
        <v>13</v>
      </c>
      <c r="F283" t="s">
        <v>36</v>
      </c>
      <c r="G283">
        <v>28</v>
      </c>
      <c r="H283">
        <v>0</v>
      </c>
      <c r="I283">
        <v>0</v>
      </c>
      <c r="J283">
        <v>7.8541999999999996</v>
      </c>
      <c r="K283" t="s">
        <v>14</v>
      </c>
      <c r="L283" t="s">
        <v>15</v>
      </c>
      <c r="M283" t="s">
        <v>37</v>
      </c>
      <c r="N283" t="b">
        <v>1</v>
      </c>
      <c r="O283" t="s">
        <v>16</v>
      </c>
      <c r="P283" t="s">
        <v>17</v>
      </c>
      <c r="Q283" t="s">
        <v>38</v>
      </c>
      <c r="R283" t="b">
        <v>1</v>
      </c>
    </row>
    <row r="284" spans="1:18" x14ac:dyDescent="0.3">
      <c r="A284">
        <v>0</v>
      </c>
      <c r="B284" t="s">
        <v>26</v>
      </c>
      <c r="C284">
        <v>3</v>
      </c>
      <c r="D284" t="s">
        <v>32</v>
      </c>
      <c r="E284" t="s">
        <v>13</v>
      </c>
      <c r="F284" t="s">
        <v>36</v>
      </c>
      <c r="G284">
        <v>16</v>
      </c>
      <c r="H284">
        <v>0</v>
      </c>
      <c r="I284">
        <v>0</v>
      </c>
      <c r="J284">
        <v>9.5</v>
      </c>
      <c r="K284" t="s">
        <v>14</v>
      </c>
      <c r="L284" t="s">
        <v>15</v>
      </c>
      <c r="M284" t="s">
        <v>37</v>
      </c>
      <c r="N284" t="b">
        <v>1</v>
      </c>
      <c r="O284" t="s">
        <v>16</v>
      </c>
      <c r="P284" t="s">
        <v>17</v>
      </c>
      <c r="Q284" t="s">
        <v>38</v>
      </c>
      <c r="R284" t="b">
        <v>1</v>
      </c>
    </row>
    <row r="285" spans="1:18" x14ac:dyDescent="0.3">
      <c r="A285">
        <v>1</v>
      </c>
      <c r="B285" t="s">
        <v>27</v>
      </c>
      <c r="C285">
        <v>3</v>
      </c>
      <c r="D285" t="s">
        <v>32</v>
      </c>
      <c r="E285" t="s">
        <v>13</v>
      </c>
      <c r="F285" t="s">
        <v>36</v>
      </c>
      <c r="G285">
        <v>19</v>
      </c>
      <c r="H285">
        <v>0</v>
      </c>
      <c r="I285">
        <v>0</v>
      </c>
      <c r="J285">
        <v>8.0500000000000007</v>
      </c>
      <c r="K285" t="s">
        <v>14</v>
      </c>
      <c r="L285" t="s">
        <v>15</v>
      </c>
      <c r="M285" t="s">
        <v>37</v>
      </c>
      <c r="N285" t="b">
        <v>1</v>
      </c>
      <c r="O285" t="s">
        <v>16</v>
      </c>
      <c r="P285" t="s">
        <v>22</v>
      </c>
      <c r="Q285" t="s">
        <v>41</v>
      </c>
      <c r="R285" t="b">
        <v>1</v>
      </c>
    </row>
    <row r="286" spans="1:18" x14ac:dyDescent="0.3">
      <c r="A286">
        <v>0</v>
      </c>
      <c r="B286" t="s">
        <v>26</v>
      </c>
      <c r="C286">
        <v>1</v>
      </c>
      <c r="D286" t="s">
        <v>30</v>
      </c>
      <c r="E286" t="s">
        <v>13</v>
      </c>
      <c r="F286" t="s">
        <v>36</v>
      </c>
      <c r="G286">
        <v>30</v>
      </c>
      <c r="H286">
        <v>0</v>
      </c>
      <c r="I286">
        <v>0</v>
      </c>
      <c r="J286">
        <v>26</v>
      </c>
      <c r="K286" t="s">
        <v>19</v>
      </c>
      <c r="L286" t="s">
        <v>15</v>
      </c>
      <c r="M286" t="s">
        <v>37</v>
      </c>
      <c r="N286" t="b">
        <v>1</v>
      </c>
      <c r="O286" t="s">
        <v>16</v>
      </c>
      <c r="P286" t="s">
        <v>17</v>
      </c>
      <c r="Q286" t="s">
        <v>38</v>
      </c>
      <c r="R286" t="b">
        <v>1</v>
      </c>
    </row>
    <row r="287" spans="1:18" x14ac:dyDescent="0.3">
      <c r="A287">
        <v>0</v>
      </c>
      <c r="B287" t="s">
        <v>26</v>
      </c>
      <c r="C287">
        <v>3</v>
      </c>
      <c r="D287" t="s">
        <v>32</v>
      </c>
      <c r="E287" t="s">
        <v>13</v>
      </c>
      <c r="F287" t="s">
        <v>36</v>
      </c>
      <c r="G287">
        <v>33</v>
      </c>
      <c r="H287">
        <v>0</v>
      </c>
      <c r="I287">
        <v>0</v>
      </c>
      <c r="J287">
        <v>8.6624999999999996</v>
      </c>
      <c r="K287" t="s">
        <v>14</v>
      </c>
      <c r="L287" t="s">
        <v>15</v>
      </c>
      <c r="M287" t="s">
        <v>37</v>
      </c>
      <c r="N287" t="b">
        <v>1</v>
      </c>
      <c r="O287" t="s">
        <v>21</v>
      </c>
      <c r="P287" t="s">
        <v>17</v>
      </c>
      <c r="Q287" t="s">
        <v>38</v>
      </c>
      <c r="R287" t="b">
        <v>1</v>
      </c>
    </row>
    <row r="288" spans="1:18" x14ac:dyDescent="0.3">
      <c r="A288">
        <v>1</v>
      </c>
      <c r="B288" t="s">
        <v>27</v>
      </c>
      <c r="C288">
        <v>3</v>
      </c>
      <c r="D288" t="s">
        <v>32</v>
      </c>
      <c r="E288" t="s">
        <v>13</v>
      </c>
      <c r="F288" t="s">
        <v>36</v>
      </c>
      <c r="G288">
        <v>30</v>
      </c>
      <c r="H288">
        <v>0</v>
      </c>
      <c r="I288">
        <v>0</v>
      </c>
      <c r="J288">
        <v>9.5</v>
      </c>
      <c r="K288" t="s">
        <v>14</v>
      </c>
      <c r="L288" t="s">
        <v>15</v>
      </c>
      <c r="M288" t="s">
        <v>37</v>
      </c>
      <c r="N288" t="b">
        <v>1</v>
      </c>
      <c r="O288" t="s">
        <v>16</v>
      </c>
      <c r="P288" t="s">
        <v>22</v>
      </c>
      <c r="Q288" t="s">
        <v>41</v>
      </c>
      <c r="R288" t="b">
        <v>1</v>
      </c>
    </row>
    <row r="289" spans="1:18" x14ac:dyDescent="0.3">
      <c r="A289">
        <v>0</v>
      </c>
      <c r="B289" t="s">
        <v>26</v>
      </c>
      <c r="C289">
        <v>3</v>
      </c>
      <c r="D289" t="s">
        <v>32</v>
      </c>
      <c r="E289" t="s">
        <v>13</v>
      </c>
      <c r="F289" t="s">
        <v>36</v>
      </c>
      <c r="G289">
        <v>22</v>
      </c>
      <c r="H289">
        <v>0</v>
      </c>
      <c r="I289">
        <v>0</v>
      </c>
      <c r="J289">
        <v>7.8958000000000004</v>
      </c>
      <c r="K289" t="s">
        <v>14</v>
      </c>
      <c r="L289" t="s">
        <v>15</v>
      </c>
      <c r="M289" t="s">
        <v>37</v>
      </c>
      <c r="N289" t="b">
        <v>1</v>
      </c>
      <c r="O289" t="s">
        <v>16</v>
      </c>
      <c r="P289" t="s">
        <v>17</v>
      </c>
      <c r="Q289" t="s">
        <v>38</v>
      </c>
      <c r="R289" t="b">
        <v>1</v>
      </c>
    </row>
    <row r="290" spans="1:18" x14ac:dyDescent="0.3">
      <c r="A290">
        <v>1</v>
      </c>
      <c r="B290" t="s">
        <v>27</v>
      </c>
      <c r="C290">
        <v>2</v>
      </c>
      <c r="D290" t="s">
        <v>31</v>
      </c>
      <c r="E290" t="s">
        <v>13</v>
      </c>
      <c r="F290" t="s">
        <v>36</v>
      </c>
      <c r="G290">
        <v>42</v>
      </c>
      <c r="H290">
        <v>0</v>
      </c>
      <c r="I290">
        <v>0</v>
      </c>
      <c r="J290">
        <v>13</v>
      </c>
      <c r="K290" t="s">
        <v>25</v>
      </c>
      <c r="L290" t="s">
        <v>15</v>
      </c>
      <c r="M290" t="s">
        <v>37</v>
      </c>
      <c r="N290" t="b">
        <v>1</v>
      </c>
      <c r="O290" t="s">
        <v>16</v>
      </c>
      <c r="P290" t="s">
        <v>22</v>
      </c>
      <c r="Q290" t="s">
        <v>41</v>
      </c>
      <c r="R290" t="b">
        <v>1</v>
      </c>
    </row>
    <row r="291" spans="1:18" x14ac:dyDescent="0.3">
      <c r="A291">
        <v>1</v>
      </c>
      <c r="B291" t="s">
        <v>27</v>
      </c>
      <c r="C291">
        <v>3</v>
      </c>
      <c r="D291" t="s">
        <v>32</v>
      </c>
      <c r="E291" t="s">
        <v>18</v>
      </c>
      <c r="F291" t="s">
        <v>39</v>
      </c>
      <c r="G291">
        <v>22</v>
      </c>
      <c r="H291">
        <v>0</v>
      </c>
      <c r="I291">
        <v>0</v>
      </c>
      <c r="J291">
        <v>7.75</v>
      </c>
      <c r="K291" t="s">
        <v>14</v>
      </c>
      <c r="L291" t="s">
        <v>20</v>
      </c>
      <c r="M291" t="s">
        <v>40</v>
      </c>
      <c r="N291" t="b">
        <v>0</v>
      </c>
      <c r="O291" t="s">
        <v>23</v>
      </c>
      <c r="P291" t="s">
        <v>22</v>
      </c>
      <c r="Q291" t="s">
        <v>41</v>
      </c>
      <c r="R291" t="b">
        <v>1</v>
      </c>
    </row>
    <row r="292" spans="1:18" x14ac:dyDescent="0.3">
      <c r="A292">
        <v>1</v>
      </c>
      <c r="B292" t="s">
        <v>27</v>
      </c>
      <c r="C292">
        <v>1</v>
      </c>
      <c r="D292" t="s">
        <v>30</v>
      </c>
      <c r="E292" t="s">
        <v>18</v>
      </c>
      <c r="F292" t="s">
        <v>39</v>
      </c>
      <c r="G292">
        <v>26</v>
      </c>
      <c r="H292">
        <v>0</v>
      </c>
      <c r="I292">
        <v>0</v>
      </c>
      <c r="J292">
        <v>78.849999999999994</v>
      </c>
      <c r="K292" t="s">
        <v>19</v>
      </c>
      <c r="L292" t="s">
        <v>20</v>
      </c>
      <c r="M292" t="s">
        <v>40</v>
      </c>
      <c r="N292" t="b">
        <v>0</v>
      </c>
      <c r="O292" t="s">
        <v>16</v>
      </c>
      <c r="P292" t="s">
        <v>22</v>
      </c>
      <c r="Q292" t="s">
        <v>41</v>
      </c>
      <c r="R292" t="b">
        <v>1</v>
      </c>
    </row>
    <row r="293" spans="1:18" x14ac:dyDescent="0.3">
      <c r="A293">
        <v>1</v>
      </c>
      <c r="B293" t="s">
        <v>27</v>
      </c>
      <c r="C293">
        <v>1</v>
      </c>
      <c r="D293" t="s">
        <v>30</v>
      </c>
      <c r="E293" t="s">
        <v>18</v>
      </c>
      <c r="F293" t="s">
        <v>39</v>
      </c>
      <c r="G293">
        <v>19</v>
      </c>
      <c r="H293">
        <v>1</v>
      </c>
      <c r="I293">
        <v>0</v>
      </c>
      <c r="J293">
        <v>91.0792</v>
      </c>
      <c r="K293" t="s">
        <v>19</v>
      </c>
      <c r="L293" t="s">
        <v>20</v>
      </c>
      <c r="M293" t="s">
        <v>40</v>
      </c>
      <c r="N293" t="b">
        <v>0</v>
      </c>
      <c r="O293" t="s">
        <v>21</v>
      </c>
      <c r="P293" t="s">
        <v>22</v>
      </c>
      <c r="Q293" t="s">
        <v>41</v>
      </c>
      <c r="R293" t="b">
        <v>0</v>
      </c>
    </row>
    <row r="294" spans="1:18" x14ac:dyDescent="0.3">
      <c r="A294">
        <v>0</v>
      </c>
      <c r="B294" t="s">
        <v>26</v>
      </c>
      <c r="C294">
        <v>2</v>
      </c>
      <c r="D294" t="s">
        <v>31</v>
      </c>
      <c r="E294" t="s">
        <v>13</v>
      </c>
      <c r="F294" t="s">
        <v>36</v>
      </c>
      <c r="G294">
        <v>36</v>
      </c>
      <c r="H294">
        <v>0</v>
      </c>
      <c r="I294">
        <v>0</v>
      </c>
      <c r="J294">
        <v>12.875</v>
      </c>
      <c r="K294" t="s">
        <v>25</v>
      </c>
      <c r="L294" t="s">
        <v>15</v>
      </c>
      <c r="M294" t="s">
        <v>37</v>
      </c>
      <c r="N294" t="b">
        <v>1</v>
      </c>
      <c r="O294" t="s">
        <v>21</v>
      </c>
      <c r="P294" t="s">
        <v>17</v>
      </c>
      <c r="Q294" t="s">
        <v>38</v>
      </c>
      <c r="R294" t="b">
        <v>1</v>
      </c>
    </row>
    <row r="295" spans="1:18" x14ac:dyDescent="0.3">
      <c r="A295">
        <v>0</v>
      </c>
      <c r="B295" t="s">
        <v>26</v>
      </c>
      <c r="C295">
        <v>3</v>
      </c>
      <c r="D295" t="s">
        <v>32</v>
      </c>
      <c r="E295" t="s">
        <v>18</v>
      </c>
      <c r="F295" t="s">
        <v>39</v>
      </c>
      <c r="G295">
        <v>24</v>
      </c>
      <c r="H295">
        <v>0</v>
      </c>
      <c r="I295">
        <v>0</v>
      </c>
      <c r="J295">
        <v>8.85</v>
      </c>
      <c r="K295" t="s">
        <v>14</v>
      </c>
      <c r="L295" t="s">
        <v>20</v>
      </c>
      <c r="M295" t="s">
        <v>40</v>
      </c>
      <c r="N295" t="b">
        <v>0</v>
      </c>
      <c r="O295" t="s">
        <v>16</v>
      </c>
      <c r="P295" t="s">
        <v>17</v>
      </c>
      <c r="Q295" t="s">
        <v>38</v>
      </c>
      <c r="R295" t="b">
        <v>1</v>
      </c>
    </row>
    <row r="296" spans="1:18" x14ac:dyDescent="0.3">
      <c r="A296">
        <v>0</v>
      </c>
      <c r="B296" t="s">
        <v>26</v>
      </c>
      <c r="C296">
        <v>3</v>
      </c>
      <c r="D296" t="s">
        <v>32</v>
      </c>
      <c r="E296" t="s">
        <v>13</v>
      </c>
      <c r="F296" t="s">
        <v>36</v>
      </c>
      <c r="G296">
        <v>24</v>
      </c>
      <c r="H296">
        <v>0</v>
      </c>
      <c r="I296">
        <v>0</v>
      </c>
      <c r="J296">
        <v>7.8958000000000004</v>
      </c>
      <c r="K296" t="s">
        <v>14</v>
      </c>
      <c r="L296" t="s">
        <v>15</v>
      </c>
      <c r="M296" t="s">
        <v>37</v>
      </c>
      <c r="N296" t="b">
        <v>1</v>
      </c>
      <c r="O296" t="s">
        <v>16</v>
      </c>
      <c r="P296" t="s">
        <v>17</v>
      </c>
      <c r="Q296" t="s">
        <v>38</v>
      </c>
      <c r="R296" t="b">
        <v>1</v>
      </c>
    </row>
    <row r="297" spans="1:18" x14ac:dyDescent="0.3">
      <c r="A297">
        <v>0</v>
      </c>
      <c r="B297" t="s">
        <v>26</v>
      </c>
      <c r="C297">
        <v>1</v>
      </c>
      <c r="D297" t="s">
        <v>30</v>
      </c>
      <c r="E297" t="s">
        <v>13</v>
      </c>
      <c r="F297" t="s">
        <v>36</v>
      </c>
      <c r="G297">
        <v>30</v>
      </c>
      <c r="H297">
        <v>0</v>
      </c>
      <c r="I297">
        <v>0</v>
      </c>
      <c r="J297">
        <v>27.720800000000001</v>
      </c>
      <c r="K297" t="s">
        <v>19</v>
      </c>
      <c r="L297" t="s">
        <v>15</v>
      </c>
      <c r="M297" t="s">
        <v>37</v>
      </c>
      <c r="N297" t="b">
        <v>1</v>
      </c>
      <c r="O297" t="s">
        <v>21</v>
      </c>
      <c r="P297" t="s">
        <v>17</v>
      </c>
      <c r="Q297" t="s">
        <v>38</v>
      </c>
      <c r="R297" t="b">
        <v>1</v>
      </c>
    </row>
    <row r="298" spans="1:18" x14ac:dyDescent="0.3">
      <c r="A298">
        <v>0</v>
      </c>
      <c r="B298" t="s">
        <v>26</v>
      </c>
      <c r="C298">
        <v>3</v>
      </c>
      <c r="D298" t="s">
        <v>32</v>
      </c>
      <c r="E298" t="s">
        <v>13</v>
      </c>
      <c r="F298" t="s">
        <v>36</v>
      </c>
      <c r="G298">
        <v>23.5</v>
      </c>
      <c r="H298">
        <v>0</v>
      </c>
      <c r="I298">
        <v>0</v>
      </c>
      <c r="J298">
        <v>7.2291999999999996</v>
      </c>
      <c r="K298" t="s">
        <v>14</v>
      </c>
      <c r="L298" t="s">
        <v>15</v>
      </c>
      <c r="M298" t="s">
        <v>37</v>
      </c>
      <c r="N298" t="b">
        <v>1</v>
      </c>
      <c r="O298" t="s">
        <v>21</v>
      </c>
      <c r="P298" t="s">
        <v>17</v>
      </c>
      <c r="Q298" t="s">
        <v>38</v>
      </c>
      <c r="R298" t="b">
        <v>1</v>
      </c>
    </row>
    <row r="299" spans="1:18" x14ac:dyDescent="0.3">
      <c r="A299">
        <v>0</v>
      </c>
      <c r="B299" t="s">
        <v>26</v>
      </c>
      <c r="C299">
        <v>1</v>
      </c>
      <c r="D299" t="s">
        <v>30</v>
      </c>
      <c r="E299" t="s">
        <v>18</v>
      </c>
      <c r="F299" t="s">
        <v>39</v>
      </c>
      <c r="G299">
        <v>2</v>
      </c>
      <c r="H299">
        <v>1</v>
      </c>
      <c r="I299">
        <v>2</v>
      </c>
      <c r="J299">
        <v>151.55000000000001</v>
      </c>
      <c r="K299" t="s">
        <v>19</v>
      </c>
      <c r="L299" t="s">
        <v>24</v>
      </c>
      <c r="M299" t="s">
        <v>42</v>
      </c>
      <c r="N299" t="b">
        <v>0</v>
      </c>
      <c r="O299" t="s">
        <v>16</v>
      </c>
      <c r="P299" t="s">
        <v>17</v>
      </c>
      <c r="Q299" t="s">
        <v>38</v>
      </c>
      <c r="R299" t="b">
        <v>0</v>
      </c>
    </row>
    <row r="300" spans="1:18" x14ac:dyDescent="0.3">
      <c r="A300">
        <v>1</v>
      </c>
      <c r="B300" t="s">
        <v>27</v>
      </c>
      <c r="C300">
        <v>1</v>
      </c>
      <c r="D300" t="s">
        <v>30</v>
      </c>
      <c r="E300" t="s">
        <v>13</v>
      </c>
      <c r="F300" t="s">
        <v>36</v>
      </c>
      <c r="G300">
        <v>30</v>
      </c>
      <c r="H300">
        <v>0</v>
      </c>
      <c r="I300">
        <v>0</v>
      </c>
      <c r="J300">
        <v>30.5</v>
      </c>
      <c r="K300" t="s">
        <v>19</v>
      </c>
      <c r="L300" t="s">
        <v>15</v>
      </c>
      <c r="M300" t="s">
        <v>37</v>
      </c>
      <c r="N300" t="b">
        <v>1</v>
      </c>
      <c r="O300" t="s">
        <v>16</v>
      </c>
      <c r="P300" t="s">
        <v>22</v>
      </c>
      <c r="Q300" t="s">
        <v>41</v>
      </c>
      <c r="R300" t="b">
        <v>1</v>
      </c>
    </row>
    <row r="301" spans="1:18" x14ac:dyDescent="0.3">
      <c r="A301">
        <v>1</v>
      </c>
      <c r="B301" t="s">
        <v>27</v>
      </c>
      <c r="C301">
        <v>1</v>
      </c>
      <c r="D301" t="s">
        <v>30</v>
      </c>
      <c r="E301" t="s">
        <v>18</v>
      </c>
      <c r="F301" t="s">
        <v>39</v>
      </c>
      <c r="G301">
        <v>50</v>
      </c>
      <c r="H301">
        <v>0</v>
      </c>
      <c r="I301">
        <v>1</v>
      </c>
      <c r="J301">
        <v>247.52080000000001</v>
      </c>
      <c r="K301" t="s">
        <v>19</v>
      </c>
      <c r="L301" t="s">
        <v>20</v>
      </c>
      <c r="M301" t="s">
        <v>40</v>
      </c>
      <c r="N301" t="b">
        <v>0</v>
      </c>
      <c r="O301" t="s">
        <v>21</v>
      </c>
      <c r="P301" t="s">
        <v>22</v>
      </c>
      <c r="Q301" t="s">
        <v>41</v>
      </c>
      <c r="R301" t="b">
        <v>0</v>
      </c>
    </row>
    <row r="302" spans="1:18" x14ac:dyDescent="0.3">
      <c r="A302">
        <v>1</v>
      </c>
      <c r="B302" t="s">
        <v>27</v>
      </c>
      <c r="C302">
        <v>3</v>
      </c>
      <c r="D302" t="s">
        <v>32</v>
      </c>
      <c r="E302" t="s">
        <v>18</v>
      </c>
      <c r="F302" t="s">
        <v>39</v>
      </c>
      <c r="G302">
        <v>30</v>
      </c>
      <c r="H302">
        <v>0</v>
      </c>
      <c r="I302">
        <v>0</v>
      </c>
      <c r="J302">
        <v>7.75</v>
      </c>
      <c r="K302" t="s">
        <v>14</v>
      </c>
      <c r="L302" t="s">
        <v>20</v>
      </c>
      <c r="M302" t="s">
        <v>40</v>
      </c>
      <c r="N302" t="b">
        <v>0</v>
      </c>
      <c r="O302" t="s">
        <v>23</v>
      </c>
      <c r="P302" t="s">
        <v>22</v>
      </c>
      <c r="Q302" t="s">
        <v>41</v>
      </c>
      <c r="R302" t="b">
        <v>1</v>
      </c>
    </row>
    <row r="303" spans="1:18" x14ac:dyDescent="0.3">
      <c r="A303">
        <v>1</v>
      </c>
      <c r="B303" t="s">
        <v>27</v>
      </c>
      <c r="C303">
        <v>3</v>
      </c>
      <c r="D303" t="s">
        <v>32</v>
      </c>
      <c r="E303" t="s">
        <v>13</v>
      </c>
      <c r="F303" t="s">
        <v>36</v>
      </c>
      <c r="G303">
        <v>30</v>
      </c>
      <c r="H303">
        <v>2</v>
      </c>
      <c r="I303">
        <v>0</v>
      </c>
      <c r="J303">
        <v>23.25</v>
      </c>
      <c r="K303" t="s">
        <v>14</v>
      </c>
      <c r="L303" t="s">
        <v>15</v>
      </c>
      <c r="M303" t="s">
        <v>37</v>
      </c>
      <c r="N303" t="b">
        <v>1</v>
      </c>
      <c r="O303" t="s">
        <v>23</v>
      </c>
      <c r="P303" t="s">
        <v>22</v>
      </c>
      <c r="Q303" t="s">
        <v>41</v>
      </c>
      <c r="R303" t="b">
        <v>0</v>
      </c>
    </row>
    <row r="304" spans="1:18" x14ac:dyDescent="0.3">
      <c r="A304">
        <v>0</v>
      </c>
      <c r="B304" t="s">
        <v>26</v>
      </c>
      <c r="C304">
        <v>3</v>
      </c>
      <c r="D304" t="s">
        <v>32</v>
      </c>
      <c r="E304" t="s">
        <v>13</v>
      </c>
      <c r="F304" t="s">
        <v>36</v>
      </c>
      <c r="G304">
        <v>19</v>
      </c>
      <c r="H304">
        <v>0</v>
      </c>
      <c r="I304">
        <v>0</v>
      </c>
      <c r="J304">
        <v>0</v>
      </c>
      <c r="K304" t="s">
        <v>14</v>
      </c>
      <c r="L304" t="s">
        <v>15</v>
      </c>
      <c r="M304" t="s">
        <v>37</v>
      </c>
      <c r="N304" t="b">
        <v>1</v>
      </c>
      <c r="O304" t="s">
        <v>16</v>
      </c>
      <c r="P304" t="s">
        <v>17</v>
      </c>
      <c r="Q304" t="s">
        <v>38</v>
      </c>
      <c r="R304" t="b">
        <v>1</v>
      </c>
    </row>
    <row r="305" spans="1:18" x14ac:dyDescent="0.3">
      <c r="A305">
        <v>1</v>
      </c>
      <c r="B305" t="s">
        <v>27</v>
      </c>
      <c r="C305">
        <v>2</v>
      </c>
      <c r="D305" t="s">
        <v>31</v>
      </c>
      <c r="E305" t="s">
        <v>18</v>
      </c>
      <c r="F305" t="s">
        <v>39</v>
      </c>
      <c r="G305">
        <v>30</v>
      </c>
      <c r="H305">
        <v>0</v>
      </c>
      <c r="I305">
        <v>0</v>
      </c>
      <c r="J305">
        <v>12.35</v>
      </c>
      <c r="K305" t="s">
        <v>25</v>
      </c>
      <c r="L305" t="s">
        <v>20</v>
      </c>
      <c r="M305" t="s">
        <v>40</v>
      </c>
      <c r="N305" t="b">
        <v>0</v>
      </c>
      <c r="O305" t="s">
        <v>23</v>
      </c>
      <c r="P305" t="s">
        <v>22</v>
      </c>
      <c r="Q305" t="s">
        <v>41</v>
      </c>
      <c r="R305" t="b">
        <v>1</v>
      </c>
    </row>
    <row r="306" spans="1:18" x14ac:dyDescent="0.3">
      <c r="A306">
        <v>0</v>
      </c>
      <c r="B306" t="s">
        <v>26</v>
      </c>
      <c r="C306">
        <v>3</v>
      </c>
      <c r="D306" t="s">
        <v>32</v>
      </c>
      <c r="E306" t="s">
        <v>13</v>
      </c>
      <c r="F306" t="s">
        <v>36</v>
      </c>
      <c r="G306">
        <v>30</v>
      </c>
      <c r="H306">
        <v>0</v>
      </c>
      <c r="I306">
        <v>0</v>
      </c>
      <c r="J306">
        <v>8.0500000000000007</v>
      </c>
      <c r="K306" t="s">
        <v>14</v>
      </c>
      <c r="L306" t="s">
        <v>15</v>
      </c>
      <c r="M306" t="s">
        <v>37</v>
      </c>
      <c r="N306" t="b">
        <v>1</v>
      </c>
      <c r="O306" t="s">
        <v>16</v>
      </c>
      <c r="P306" t="s">
        <v>17</v>
      </c>
      <c r="Q306" t="s">
        <v>38</v>
      </c>
      <c r="R306" t="b">
        <v>1</v>
      </c>
    </row>
    <row r="307" spans="1:18" x14ac:dyDescent="0.3">
      <c r="A307">
        <v>1</v>
      </c>
      <c r="B307" t="s">
        <v>27</v>
      </c>
      <c r="C307">
        <v>1</v>
      </c>
      <c r="D307" t="s">
        <v>30</v>
      </c>
      <c r="E307" t="s">
        <v>13</v>
      </c>
      <c r="F307" t="s">
        <v>36</v>
      </c>
      <c r="G307">
        <v>0.92</v>
      </c>
      <c r="H307">
        <v>1</v>
      </c>
      <c r="I307">
        <v>2</v>
      </c>
      <c r="J307">
        <v>151.55000000000001</v>
      </c>
      <c r="K307" t="s">
        <v>19</v>
      </c>
      <c r="L307" t="s">
        <v>24</v>
      </c>
      <c r="M307" t="s">
        <v>42</v>
      </c>
      <c r="N307" t="b">
        <v>0</v>
      </c>
      <c r="O307" t="s">
        <v>16</v>
      </c>
      <c r="P307" t="s">
        <v>22</v>
      </c>
      <c r="Q307" t="s">
        <v>41</v>
      </c>
      <c r="R307" t="b">
        <v>0</v>
      </c>
    </row>
    <row r="308" spans="1:18" x14ac:dyDescent="0.3">
      <c r="A308">
        <v>1</v>
      </c>
      <c r="B308" t="s">
        <v>27</v>
      </c>
      <c r="C308">
        <v>1</v>
      </c>
      <c r="D308" t="s">
        <v>30</v>
      </c>
      <c r="E308" t="s">
        <v>18</v>
      </c>
      <c r="F308" t="s">
        <v>39</v>
      </c>
      <c r="G308">
        <v>30</v>
      </c>
      <c r="H308">
        <v>0</v>
      </c>
      <c r="I308">
        <v>0</v>
      </c>
      <c r="J308">
        <v>110.88330000000001</v>
      </c>
      <c r="K308" t="s">
        <v>19</v>
      </c>
      <c r="L308" t="s">
        <v>20</v>
      </c>
      <c r="M308" t="s">
        <v>40</v>
      </c>
      <c r="N308" t="b">
        <v>0</v>
      </c>
      <c r="O308" t="s">
        <v>21</v>
      </c>
      <c r="P308" t="s">
        <v>22</v>
      </c>
      <c r="Q308" t="s">
        <v>41</v>
      </c>
      <c r="R308" t="b">
        <v>1</v>
      </c>
    </row>
    <row r="309" spans="1:18" x14ac:dyDescent="0.3">
      <c r="A309">
        <v>1</v>
      </c>
      <c r="B309" t="s">
        <v>27</v>
      </c>
      <c r="C309">
        <v>1</v>
      </c>
      <c r="D309" t="s">
        <v>30</v>
      </c>
      <c r="E309" t="s">
        <v>18</v>
      </c>
      <c r="F309" t="s">
        <v>39</v>
      </c>
      <c r="G309">
        <v>17</v>
      </c>
      <c r="H309">
        <v>1</v>
      </c>
      <c r="I309">
        <v>0</v>
      </c>
      <c r="J309">
        <v>108.9</v>
      </c>
      <c r="K309" t="s">
        <v>19</v>
      </c>
      <c r="L309" t="s">
        <v>20</v>
      </c>
      <c r="M309" t="s">
        <v>40</v>
      </c>
      <c r="N309" t="b">
        <v>0</v>
      </c>
      <c r="O309" t="s">
        <v>21</v>
      </c>
      <c r="P309" t="s">
        <v>22</v>
      </c>
      <c r="Q309" t="s">
        <v>41</v>
      </c>
      <c r="R309" t="b">
        <v>0</v>
      </c>
    </row>
    <row r="310" spans="1:18" x14ac:dyDescent="0.3">
      <c r="A310">
        <v>0</v>
      </c>
      <c r="B310" t="s">
        <v>26</v>
      </c>
      <c r="C310">
        <v>2</v>
      </c>
      <c r="D310" t="s">
        <v>31</v>
      </c>
      <c r="E310" t="s">
        <v>13</v>
      </c>
      <c r="F310" t="s">
        <v>36</v>
      </c>
      <c r="G310">
        <v>30</v>
      </c>
      <c r="H310">
        <v>1</v>
      </c>
      <c r="I310">
        <v>0</v>
      </c>
      <c r="J310">
        <v>24</v>
      </c>
      <c r="K310" t="s">
        <v>25</v>
      </c>
      <c r="L310" t="s">
        <v>15</v>
      </c>
      <c r="M310" t="s">
        <v>37</v>
      </c>
      <c r="N310" t="b">
        <v>1</v>
      </c>
      <c r="O310" t="s">
        <v>21</v>
      </c>
      <c r="P310" t="s">
        <v>17</v>
      </c>
      <c r="Q310" t="s">
        <v>38</v>
      </c>
      <c r="R310" t="b">
        <v>0</v>
      </c>
    </row>
    <row r="311" spans="1:18" x14ac:dyDescent="0.3">
      <c r="A311">
        <v>1</v>
      </c>
      <c r="B311" t="s">
        <v>27</v>
      </c>
      <c r="C311">
        <v>1</v>
      </c>
      <c r="D311" t="s">
        <v>30</v>
      </c>
      <c r="E311" t="s">
        <v>18</v>
      </c>
      <c r="F311" t="s">
        <v>39</v>
      </c>
      <c r="G311">
        <v>30</v>
      </c>
      <c r="H311">
        <v>0</v>
      </c>
      <c r="I311">
        <v>0</v>
      </c>
      <c r="J311">
        <v>56.929200000000002</v>
      </c>
      <c r="K311" t="s">
        <v>19</v>
      </c>
      <c r="L311" t="s">
        <v>20</v>
      </c>
      <c r="M311" t="s">
        <v>40</v>
      </c>
      <c r="N311" t="b">
        <v>0</v>
      </c>
      <c r="O311" t="s">
        <v>21</v>
      </c>
      <c r="P311" t="s">
        <v>22</v>
      </c>
      <c r="Q311" t="s">
        <v>41</v>
      </c>
      <c r="R311" t="b">
        <v>1</v>
      </c>
    </row>
    <row r="312" spans="1:18" x14ac:dyDescent="0.3">
      <c r="A312">
        <v>1</v>
      </c>
      <c r="B312" t="s">
        <v>27</v>
      </c>
      <c r="C312">
        <v>1</v>
      </c>
      <c r="D312" t="s">
        <v>30</v>
      </c>
      <c r="E312" t="s">
        <v>18</v>
      </c>
      <c r="F312" t="s">
        <v>39</v>
      </c>
      <c r="G312">
        <v>24</v>
      </c>
      <c r="H312">
        <v>0</v>
      </c>
      <c r="I312">
        <v>0</v>
      </c>
      <c r="J312">
        <v>83.158299999999997</v>
      </c>
      <c r="K312" t="s">
        <v>19</v>
      </c>
      <c r="L312" t="s">
        <v>20</v>
      </c>
      <c r="M312" t="s">
        <v>40</v>
      </c>
      <c r="N312" t="b">
        <v>0</v>
      </c>
      <c r="O312" t="s">
        <v>21</v>
      </c>
      <c r="P312" t="s">
        <v>22</v>
      </c>
      <c r="Q312" t="s">
        <v>41</v>
      </c>
      <c r="R312" t="b">
        <v>1</v>
      </c>
    </row>
    <row r="313" spans="1:18" x14ac:dyDescent="0.3">
      <c r="A313">
        <v>1</v>
      </c>
      <c r="B313" t="s">
        <v>27</v>
      </c>
      <c r="C313">
        <v>1</v>
      </c>
      <c r="D313" t="s">
        <v>30</v>
      </c>
      <c r="E313" t="s">
        <v>18</v>
      </c>
      <c r="F313" t="s">
        <v>39</v>
      </c>
      <c r="G313">
        <v>18</v>
      </c>
      <c r="H313">
        <v>2</v>
      </c>
      <c r="I313">
        <v>2</v>
      </c>
      <c r="J313">
        <v>262.375</v>
      </c>
      <c r="K313" t="s">
        <v>19</v>
      </c>
      <c r="L313" t="s">
        <v>20</v>
      </c>
      <c r="M313" t="s">
        <v>40</v>
      </c>
      <c r="N313" t="b">
        <v>0</v>
      </c>
      <c r="O313" t="s">
        <v>21</v>
      </c>
      <c r="P313" t="s">
        <v>22</v>
      </c>
      <c r="Q313" t="s">
        <v>41</v>
      </c>
      <c r="R313" t="b">
        <v>0</v>
      </c>
    </row>
    <row r="314" spans="1:18" x14ac:dyDescent="0.3">
      <c r="A314">
        <v>0</v>
      </c>
      <c r="B314" t="s">
        <v>26</v>
      </c>
      <c r="C314">
        <v>2</v>
      </c>
      <c r="D314" t="s">
        <v>31</v>
      </c>
      <c r="E314" t="s">
        <v>18</v>
      </c>
      <c r="F314" t="s">
        <v>39</v>
      </c>
      <c r="G314">
        <v>26</v>
      </c>
      <c r="H314">
        <v>1</v>
      </c>
      <c r="I314">
        <v>1</v>
      </c>
      <c r="J314">
        <v>26</v>
      </c>
      <c r="K314" t="s">
        <v>25</v>
      </c>
      <c r="L314" t="s">
        <v>20</v>
      </c>
      <c r="M314" t="s">
        <v>40</v>
      </c>
      <c r="N314" t="b">
        <v>0</v>
      </c>
      <c r="O314" t="s">
        <v>16</v>
      </c>
      <c r="P314" t="s">
        <v>17</v>
      </c>
      <c r="Q314" t="s">
        <v>38</v>
      </c>
      <c r="R314" t="b">
        <v>0</v>
      </c>
    </row>
    <row r="315" spans="1:18" x14ac:dyDescent="0.3">
      <c r="A315">
        <v>0</v>
      </c>
      <c r="B315" t="s">
        <v>26</v>
      </c>
      <c r="C315">
        <v>3</v>
      </c>
      <c r="D315" t="s">
        <v>32</v>
      </c>
      <c r="E315" t="s">
        <v>13</v>
      </c>
      <c r="F315" t="s">
        <v>36</v>
      </c>
      <c r="G315">
        <v>28</v>
      </c>
      <c r="H315">
        <v>0</v>
      </c>
      <c r="I315">
        <v>0</v>
      </c>
      <c r="J315">
        <v>7.8958000000000004</v>
      </c>
      <c r="K315" t="s">
        <v>14</v>
      </c>
      <c r="L315" t="s">
        <v>15</v>
      </c>
      <c r="M315" t="s">
        <v>37</v>
      </c>
      <c r="N315" t="b">
        <v>1</v>
      </c>
      <c r="O315" t="s">
        <v>16</v>
      </c>
      <c r="P315" t="s">
        <v>17</v>
      </c>
      <c r="Q315" t="s">
        <v>38</v>
      </c>
      <c r="R315" t="b">
        <v>1</v>
      </c>
    </row>
    <row r="316" spans="1:18" x14ac:dyDescent="0.3">
      <c r="A316">
        <v>0</v>
      </c>
      <c r="B316" t="s">
        <v>26</v>
      </c>
      <c r="C316">
        <v>2</v>
      </c>
      <c r="D316" t="s">
        <v>31</v>
      </c>
      <c r="E316" t="s">
        <v>13</v>
      </c>
      <c r="F316" t="s">
        <v>36</v>
      </c>
      <c r="G316">
        <v>43</v>
      </c>
      <c r="H316">
        <v>1</v>
      </c>
      <c r="I316">
        <v>1</v>
      </c>
      <c r="J316">
        <v>26.25</v>
      </c>
      <c r="K316" t="s">
        <v>25</v>
      </c>
      <c r="L316" t="s">
        <v>15</v>
      </c>
      <c r="M316" t="s">
        <v>37</v>
      </c>
      <c r="N316" t="b">
        <v>1</v>
      </c>
      <c r="O316" t="s">
        <v>16</v>
      </c>
      <c r="P316" t="s">
        <v>17</v>
      </c>
      <c r="Q316" t="s">
        <v>38</v>
      </c>
      <c r="R316" t="b">
        <v>0</v>
      </c>
    </row>
    <row r="317" spans="1:18" x14ac:dyDescent="0.3">
      <c r="A317">
        <v>1</v>
      </c>
      <c r="B317" t="s">
        <v>27</v>
      </c>
      <c r="C317">
        <v>3</v>
      </c>
      <c r="D317" t="s">
        <v>32</v>
      </c>
      <c r="E317" t="s">
        <v>18</v>
      </c>
      <c r="F317" t="s">
        <v>39</v>
      </c>
      <c r="G317">
        <v>26</v>
      </c>
      <c r="H317">
        <v>0</v>
      </c>
      <c r="I317">
        <v>0</v>
      </c>
      <c r="J317">
        <v>7.8541999999999996</v>
      </c>
      <c r="K317" t="s">
        <v>14</v>
      </c>
      <c r="L317" t="s">
        <v>20</v>
      </c>
      <c r="M317" t="s">
        <v>40</v>
      </c>
      <c r="N317" t="b">
        <v>0</v>
      </c>
      <c r="O317" t="s">
        <v>16</v>
      </c>
      <c r="P317" t="s">
        <v>22</v>
      </c>
      <c r="Q317" t="s">
        <v>41</v>
      </c>
      <c r="R317" t="b">
        <v>1</v>
      </c>
    </row>
    <row r="318" spans="1:18" x14ac:dyDescent="0.3">
      <c r="A318">
        <v>1</v>
      </c>
      <c r="B318" t="s">
        <v>27</v>
      </c>
      <c r="C318">
        <v>2</v>
      </c>
      <c r="D318" t="s">
        <v>31</v>
      </c>
      <c r="E318" t="s">
        <v>18</v>
      </c>
      <c r="F318" t="s">
        <v>39</v>
      </c>
      <c r="G318">
        <v>24</v>
      </c>
      <c r="H318">
        <v>1</v>
      </c>
      <c r="I318">
        <v>0</v>
      </c>
      <c r="J318">
        <v>26</v>
      </c>
      <c r="K318" t="s">
        <v>25</v>
      </c>
      <c r="L318" t="s">
        <v>20</v>
      </c>
      <c r="M318" t="s">
        <v>40</v>
      </c>
      <c r="N318" t="b">
        <v>0</v>
      </c>
      <c r="O318" t="s">
        <v>16</v>
      </c>
      <c r="P318" t="s">
        <v>22</v>
      </c>
      <c r="Q318" t="s">
        <v>41</v>
      </c>
      <c r="R318" t="b">
        <v>0</v>
      </c>
    </row>
    <row r="319" spans="1:18" x14ac:dyDescent="0.3">
      <c r="A319">
        <v>0</v>
      </c>
      <c r="B319" t="s">
        <v>26</v>
      </c>
      <c r="C319">
        <v>2</v>
      </c>
      <c r="D319" t="s">
        <v>31</v>
      </c>
      <c r="E319" t="s">
        <v>13</v>
      </c>
      <c r="F319" t="s">
        <v>36</v>
      </c>
      <c r="G319">
        <v>54</v>
      </c>
      <c r="H319">
        <v>0</v>
      </c>
      <c r="I319">
        <v>0</v>
      </c>
      <c r="J319">
        <v>14</v>
      </c>
      <c r="K319" t="s">
        <v>25</v>
      </c>
      <c r="L319" t="s">
        <v>15</v>
      </c>
      <c r="M319" t="s">
        <v>37</v>
      </c>
      <c r="N319" t="b">
        <v>1</v>
      </c>
      <c r="O319" t="s">
        <v>16</v>
      </c>
      <c r="P319" t="s">
        <v>17</v>
      </c>
      <c r="Q319" t="s">
        <v>38</v>
      </c>
      <c r="R319" t="b">
        <v>1</v>
      </c>
    </row>
    <row r="320" spans="1:18" x14ac:dyDescent="0.3">
      <c r="A320">
        <v>1</v>
      </c>
      <c r="B320" t="s">
        <v>27</v>
      </c>
      <c r="C320">
        <v>1</v>
      </c>
      <c r="D320" t="s">
        <v>30</v>
      </c>
      <c r="E320" t="s">
        <v>18</v>
      </c>
      <c r="F320" t="s">
        <v>39</v>
      </c>
      <c r="G320">
        <v>31</v>
      </c>
      <c r="H320">
        <v>0</v>
      </c>
      <c r="I320">
        <v>2</v>
      </c>
      <c r="J320">
        <v>164.86670000000001</v>
      </c>
      <c r="K320" t="s">
        <v>19</v>
      </c>
      <c r="L320" t="s">
        <v>20</v>
      </c>
      <c r="M320" t="s">
        <v>40</v>
      </c>
      <c r="N320" t="b">
        <v>0</v>
      </c>
      <c r="O320" t="s">
        <v>16</v>
      </c>
      <c r="P320" t="s">
        <v>22</v>
      </c>
      <c r="Q320" t="s">
        <v>41</v>
      </c>
      <c r="R320" t="b">
        <v>0</v>
      </c>
    </row>
    <row r="321" spans="1:18" x14ac:dyDescent="0.3">
      <c r="A321">
        <v>1</v>
      </c>
      <c r="B321" t="s">
        <v>27</v>
      </c>
      <c r="C321">
        <v>1</v>
      </c>
      <c r="D321" t="s">
        <v>30</v>
      </c>
      <c r="E321" t="s">
        <v>18</v>
      </c>
      <c r="F321" t="s">
        <v>39</v>
      </c>
      <c r="G321">
        <v>40</v>
      </c>
      <c r="H321">
        <v>1</v>
      </c>
      <c r="I321">
        <v>1</v>
      </c>
      <c r="J321">
        <v>134.5</v>
      </c>
      <c r="K321" t="s">
        <v>19</v>
      </c>
      <c r="L321" t="s">
        <v>20</v>
      </c>
      <c r="M321" t="s">
        <v>40</v>
      </c>
      <c r="N321" t="b">
        <v>0</v>
      </c>
      <c r="O321" t="s">
        <v>21</v>
      </c>
      <c r="P321" t="s">
        <v>22</v>
      </c>
      <c r="Q321" t="s">
        <v>41</v>
      </c>
      <c r="R321" t="b">
        <v>0</v>
      </c>
    </row>
    <row r="322" spans="1:18" x14ac:dyDescent="0.3">
      <c r="A322">
        <v>0</v>
      </c>
      <c r="B322" t="s">
        <v>26</v>
      </c>
      <c r="C322">
        <v>3</v>
      </c>
      <c r="D322" t="s">
        <v>32</v>
      </c>
      <c r="E322" t="s">
        <v>13</v>
      </c>
      <c r="F322" t="s">
        <v>36</v>
      </c>
      <c r="G322">
        <v>22</v>
      </c>
      <c r="H322">
        <v>0</v>
      </c>
      <c r="I322">
        <v>0</v>
      </c>
      <c r="J322">
        <v>7.25</v>
      </c>
      <c r="K322" t="s">
        <v>14</v>
      </c>
      <c r="L322" t="s">
        <v>15</v>
      </c>
      <c r="M322" t="s">
        <v>37</v>
      </c>
      <c r="N322" t="b">
        <v>1</v>
      </c>
      <c r="O322" t="s">
        <v>16</v>
      </c>
      <c r="P322" t="s">
        <v>17</v>
      </c>
      <c r="Q322" t="s">
        <v>38</v>
      </c>
      <c r="R322" t="b">
        <v>1</v>
      </c>
    </row>
    <row r="323" spans="1:18" x14ac:dyDescent="0.3">
      <c r="A323">
        <v>0</v>
      </c>
      <c r="B323" t="s">
        <v>26</v>
      </c>
      <c r="C323">
        <v>3</v>
      </c>
      <c r="D323" t="s">
        <v>32</v>
      </c>
      <c r="E323" t="s">
        <v>13</v>
      </c>
      <c r="F323" t="s">
        <v>36</v>
      </c>
      <c r="G323">
        <v>27</v>
      </c>
      <c r="H323">
        <v>0</v>
      </c>
      <c r="I323">
        <v>0</v>
      </c>
      <c r="J323">
        <v>7.8958000000000004</v>
      </c>
      <c r="K323" t="s">
        <v>14</v>
      </c>
      <c r="L323" t="s">
        <v>15</v>
      </c>
      <c r="M323" t="s">
        <v>37</v>
      </c>
      <c r="N323" t="b">
        <v>1</v>
      </c>
      <c r="O323" t="s">
        <v>16</v>
      </c>
      <c r="P323" t="s">
        <v>17</v>
      </c>
      <c r="Q323" t="s">
        <v>38</v>
      </c>
      <c r="R323" t="b">
        <v>1</v>
      </c>
    </row>
    <row r="324" spans="1:18" x14ac:dyDescent="0.3">
      <c r="A324">
        <v>1</v>
      </c>
      <c r="B324" t="s">
        <v>27</v>
      </c>
      <c r="C324">
        <v>2</v>
      </c>
      <c r="D324" t="s">
        <v>31</v>
      </c>
      <c r="E324" t="s">
        <v>18</v>
      </c>
      <c r="F324" t="s">
        <v>39</v>
      </c>
      <c r="G324">
        <v>30</v>
      </c>
      <c r="H324">
        <v>0</v>
      </c>
      <c r="I324">
        <v>0</v>
      </c>
      <c r="J324">
        <v>12.35</v>
      </c>
      <c r="K324" t="s">
        <v>25</v>
      </c>
      <c r="L324" t="s">
        <v>20</v>
      </c>
      <c r="M324" t="s">
        <v>40</v>
      </c>
      <c r="N324" t="b">
        <v>0</v>
      </c>
      <c r="O324" t="s">
        <v>23</v>
      </c>
      <c r="P324" t="s">
        <v>22</v>
      </c>
      <c r="Q324" t="s">
        <v>41</v>
      </c>
      <c r="R324" t="b">
        <v>1</v>
      </c>
    </row>
    <row r="325" spans="1:18" x14ac:dyDescent="0.3">
      <c r="A325">
        <v>1</v>
      </c>
      <c r="B325" t="s">
        <v>27</v>
      </c>
      <c r="C325">
        <v>2</v>
      </c>
      <c r="D325" t="s">
        <v>31</v>
      </c>
      <c r="E325" t="s">
        <v>18</v>
      </c>
      <c r="F325" t="s">
        <v>39</v>
      </c>
      <c r="G325">
        <v>22</v>
      </c>
      <c r="H325">
        <v>1</v>
      </c>
      <c r="I325">
        <v>1</v>
      </c>
      <c r="J325">
        <v>29</v>
      </c>
      <c r="K325" t="s">
        <v>25</v>
      </c>
      <c r="L325" t="s">
        <v>20</v>
      </c>
      <c r="M325" t="s">
        <v>40</v>
      </c>
      <c r="N325" t="b">
        <v>0</v>
      </c>
      <c r="O325" t="s">
        <v>16</v>
      </c>
      <c r="P325" t="s">
        <v>22</v>
      </c>
      <c r="Q325" t="s">
        <v>41</v>
      </c>
      <c r="R325" t="b">
        <v>0</v>
      </c>
    </row>
    <row r="326" spans="1:18" x14ac:dyDescent="0.3">
      <c r="A326">
        <v>0</v>
      </c>
      <c r="B326" t="s">
        <v>26</v>
      </c>
      <c r="C326">
        <v>3</v>
      </c>
      <c r="D326" t="s">
        <v>32</v>
      </c>
      <c r="E326" t="s">
        <v>13</v>
      </c>
      <c r="F326" t="s">
        <v>36</v>
      </c>
      <c r="G326">
        <v>30</v>
      </c>
      <c r="H326">
        <v>8</v>
      </c>
      <c r="I326">
        <v>2</v>
      </c>
      <c r="J326">
        <v>69.55</v>
      </c>
      <c r="K326" t="s">
        <v>14</v>
      </c>
      <c r="L326" t="s">
        <v>15</v>
      </c>
      <c r="M326" t="s">
        <v>37</v>
      </c>
      <c r="N326" t="b">
        <v>1</v>
      </c>
      <c r="O326" t="s">
        <v>16</v>
      </c>
      <c r="P326" t="s">
        <v>17</v>
      </c>
      <c r="Q326" t="s">
        <v>38</v>
      </c>
      <c r="R326" t="b">
        <v>0</v>
      </c>
    </row>
    <row r="327" spans="1:18" x14ac:dyDescent="0.3">
      <c r="A327">
        <v>1</v>
      </c>
      <c r="B327" t="s">
        <v>27</v>
      </c>
      <c r="C327">
        <v>1</v>
      </c>
      <c r="D327" t="s">
        <v>30</v>
      </c>
      <c r="E327" t="s">
        <v>18</v>
      </c>
      <c r="F327" t="s">
        <v>39</v>
      </c>
      <c r="G327">
        <v>36</v>
      </c>
      <c r="H327">
        <v>0</v>
      </c>
      <c r="I327">
        <v>0</v>
      </c>
      <c r="J327">
        <v>135.63329999999999</v>
      </c>
      <c r="K327" t="s">
        <v>19</v>
      </c>
      <c r="L327" t="s">
        <v>20</v>
      </c>
      <c r="M327" t="s">
        <v>40</v>
      </c>
      <c r="N327" t="b">
        <v>0</v>
      </c>
      <c r="O327" t="s">
        <v>21</v>
      </c>
      <c r="P327" t="s">
        <v>22</v>
      </c>
      <c r="Q327" t="s">
        <v>41</v>
      </c>
      <c r="R327" t="b">
        <v>1</v>
      </c>
    </row>
    <row r="328" spans="1:18" x14ac:dyDescent="0.3">
      <c r="A328">
        <v>0</v>
      </c>
      <c r="B328" t="s">
        <v>26</v>
      </c>
      <c r="C328">
        <v>3</v>
      </c>
      <c r="D328" t="s">
        <v>32</v>
      </c>
      <c r="E328" t="s">
        <v>13</v>
      </c>
      <c r="F328" t="s">
        <v>36</v>
      </c>
      <c r="G328">
        <v>61</v>
      </c>
      <c r="H328">
        <v>0</v>
      </c>
      <c r="I328">
        <v>0</v>
      </c>
      <c r="J328">
        <v>6.2374999999999998</v>
      </c>
      <c r="K328" t="s">
        <v>14</v>
      </c>
      <c r="L328" t="s">
        <v>15</v>
      </c>
      <c r="M328" t="s">
        <v>37</v>
      </c>
      <c r="N328" t="b">
        <v>1</v>
      </c>
      <c r="O328" t="s">
        <v>16</v>
      </c>
      <c r="P328" t="s">
        <v>17</v>
      </c>
      <c r="Q328" t="s">
        <v>38</v>
      </c>
      <c r="R328" t="b">
        <v>1</v>
      </c>
    </row>
    <row r="329" spans="1:18" x14ac:dyDescent="0.3">
      <c r="A329">
        <v>1</v>
      </c>
      <c r="B329" t="s">
        <v>27</v>
      </c>
      <c r="C329">
        <v>2</v>
      </c>
      <c r="D329" t="s">
        <v>31</v>
      </c>
      <c r="E329" t="s">
        <v>18</v>
      </c>
      <c r="F329" t="s">
        <v>39</v>
      </c>
      <c r="G329">
        <v>36</v>
      </c>
      <c r="H329">
        <v>0</v>
      </c>
      <c r="I329">
        <v>0</v>
      </c>
      <c r="J329">
        <v>13</v>
      </c>
      <c r="K329" t="s">
        <v>25</v>
      </c>
      <c r="L329" t="s">
        <v>20</v>
      </c>
      <c r="M329" t="s">
        <v>40</v>
      </c>
      <c r="N329" t="b">
        <v>0</v>
      </c>
      <c r="O329" t="s">
        <v>16</v>
      </c>
      <c r="P329" t="s">
        <v>22</v>
      </c>
      <c r="Q329" t="s">
        <v>41</v>
      </c>
      <c r="R329" t="b">
        <v>1</v>
      </c>
    </row>
    <row r="330" spans="1:18" x14ac:dyDescent="0.3">
      <c r="A330">
        <v>1</v>
      </c>
      <c r="B330" t="s">
        <v>27</v>
      </c>
      <c r="C330">
        <v>3</v>
      </c>
      <c r="D330" t="s">
        <v>32</v>
      </c>
      <c r="E330" t="s">
        <v>18</v>
      </c>
      <c r="F330" t="s">
        <v>39</v>
      </c>
      <c r="G330">
        <v>31</v>
      </c>
      <c r="H330">
        <v>1</v>
      </c>
      <c r="I330">
        <v>1</v>
      </c>
      <c r="J330">
        <v>20.524999999999999</v>
      </c>
      <c r="K330" t="s">
        <v>14</v>
      </c>
      <c r="L330" t="s">
        <v>20</v>
      </c>
      <c r="M330" t="s">
        <v>40</v>
      </c>
      <c r="N330" t="b">
        <v>0</v>
      </c>
      <c r="O330" t="s">
        <v>16</v>
      </c>
      <c r="P330" t="s">
        <v>22</v>
      </c>
      <c r="Q330" t="s">
        <v>41</v>
      </c>
      <c r="R330" t="b">
        <v>0</v>
      </c>
    </row>
    <row r="331" spans="1:18" x14ac:dyDescent="0.3">
      <c r="A331">
        <v>1</v>
      </c>
      <c r="B331" t="s">
        <v>27</v>
      </c>
      <c r="C331">
        <v>1</v>
      </c>
      <c r="D331" t="s">
        <v>30</v>
      </c>
      <c r="E331" t="s">
        <v>18</v>
      </c>
      <c r="F331" t="s">
        <v>39</v>
      </c>
      <c r="G331">
        <v>16</v>
      </c>
      <c r="H331">
        <v>0</v>
      </c>
      <c r="I331">
        <v>1</v>
      </c>
      <c r="J331">
        <v>57.979199999999999</v>
      </c>
      <c r="K331" t="s">
        <v>19</v>
      </c>
      <c r="L331" t="s">
        <v>20</v>
      </c>
      <c r="M331" t="s">
        <v>40</v>
      </c>
      <c r="N331" t="b">
        <v>0</v>
      </c>
      <c r="O331" t="s">
        <v>21</v>
      </c>
      <c r="P331" t="s">
        <v>22</v>
      </c>
      <c r="Q331" t="s">
        <v>41</v>
      </c>
      <c r="R331" t="b">
        <v>0</v>
      </c>
    </row>
    <row r="332" spans="1:18" x14ac:dyDescent="0.3">
      <c r="A332">
        <v>1</v>
      </c>
      <c r="B332" t="s">
        <v>27</v>
      </c>
      <c r="C332">
        <v>3</v>
      </c>
      <c r="D332" t="s">
        <v>32</v>
      </c>
      <c r="E332" t="s">
        <v>18</v>
      </c>
      <c r="F332" t="s">
        <v>39</v>
      </c>
      <c r="G332">
        <v>30</v>
      </c>
      <c r="H332">
        <v>2</v>
      </c>
      <c r="I332">
        <v>0</v>
      </c>
      <c r="J332">
        <v>23.25</v>
      </c>
      <c r="K332" t="s">
        <v>14</v>
      </c>
      <c r="L332" t="s">
        <v>20</v>
      </c>
      <c r="M332" t="s">
        <v>40</v>
      </c>
      <c r="N332" t="b">
        <v>0</v>
      </c>
      <c r="O332" t="s">
        <v>23</v>
      </c>
      <c r="P332" t="s">
        <v>22</v>
      </c>
      <c r="Q332" t="s">
        <v>41</v>
      </c>
      <c r="R332" t="b">
        <v>0</v>
      </c>
    </row>
    <row r="333" spans="1:18" x14ac:dyDescent="0.3">
      <c r="A333">
        <v>0</v>
      </c>
      <c r="B333" t="s">
        <v>26</v>
      </c>
      <c r="C333">
        <v>1</v>
      </c>
      <c r="D333" t="s">
        <v>30</v>
      </c>
      <c r="E333" t="s">
        <v>13</v>
      </c>
      <c r="F333" t="s">
        <v>36</v>
      </c>
      <c r="G333">
        <v>45.5</v>
      </c>
      <c r="H333">
        <v>0</v>
      </c>
      <c r="I333">
        <v>0</v>
      </c>
      <c r="J333">
        <v>28.5</v>
      </c>
      <c r="K333" t="s">
        <v>19</v>
      </c>
      <c r="L333" t="s">
        <v>15</v>
      </c>
      <c r="M333" t="s">
        <v>37</v>
      </c>
      <c r="N333" t="b">
        <v>1</v>
      </c>
      <c r="O333" t="s">
        <v>16</v>
      </c>
      <c r="P333" t="s">
        <v>17</v>
      </c>
      <c r="Q333" t="s">
        <v>38</v>
      </c>
      <c r="R333" t="b">
        <v>1</v>
      </c>
    </row>
    <row r="334" spans="1:18" x14ac:dyDescent="0.3">
      <c r="A334">
        <v>0</v>
      </c>
      <c r="B334" t="s">
        <v>26</v>
      </c>
      <c r="C334">
        <v>1</v>
      </c>
      <c r="D334" t="s">
        <v>30</v>
      </c>
      <c r="E334" t="s">
        <v>13</v>
      </c>
      <c r="F334" t="s">
        <v>36</v>
      </c>
      <c r="G334">
        <v>38</v>
      </c>
      <c r="H334">
        <v>0</v>
      </c>
      <c r="I334">
        <v>1</v>
      </c>
      <c r="J334">
        <v>153.46250000000001</v>
      </c>
      <c r="K334" t="s">
        <v>19</v>
      </c>
      <c r="L334" t="s">
        <v>15</v>
      </c>
      <c r="M334" t="s">
        <v>37</v>
      </c>
      <c r="N334" t="b">
        <v>1</v>
      </c>
      <c r="O334" t="s">
        <v>16</v>
      </c>
      <c r="P334" t="s">
        <v>17</v>
      </c>
      <c r="Q334" t="s">
        <v>38</v>
      </c>
      <c r="R334" t="b">
        <v>0</v>
      </c>
    </row>
    <row r="335" spans="1:18" x14ac:dyDescent="0.3">
      <c r="A335">
        <v>0</v>
      </c>
      <c r="B335" t="s">
        <v>26</v>
      </c>
      <c r="C335">
        <v>3</v>
      </c>
      <c r="D335" t="s">
        <v>32</v>
      </c>
      <c r="E335" t="s">
        <v>13</v>
      </c>
      <c r="F335" t="s">
        <v>36</v>
      </c>
      <c r="G335">
        <v>16</v>
      </c>
      <c r="H335">
        <v>2</v>
      </c>
      <c r="I335">
        <v>0</v>
      </c>
      <c r="J335">
        <v>18</v>
      </c>
      <c r="K335" t="s">
        <v>14</v>
      </c>
      <c r="L335" t="s">
        <v>15</v>
      </c>
      <c r="M335" t="s">
        <v>37</v>
      </c>
      <c r="N335" t="b">
        <v>1</v>
      </c>
      <c r="O335" t="s">
        <v>16</v>
      </c>
      <c r="P335" t="s">
        <v>17</v>
      </c>
      <c r="Q335" t="s">
        <v>38</v>
      </c>
      <c r="R335" t="b">
        <v>0</v>
      </c>
    </row>
    <row r="336" spans="1:18" x14ac:dyDescent="0.3">
      <c r="A336">
        <v>1</v>
      </c>
      <c r="B336" t="s">
        <v>27</v>
      </c>
      <c r="C336">
        <v>1</v>
      </c>
      <c r="D336" t="s">
        <v>30</v>
      </c>
      <c r="E336" t="s">
        <v>18</v>
      </c>
      <c r="F336" t="s">
        <v>39</v>
      </c>
      <c r="G336">
        <v>30</v>
      </c>
      <c r="H336">
        <v>1</v>
      </c>
      <c r="I336">
        <v>0</v>
      </c>
      <c r="J336">
        <v>133.65</v>
      </c>
      <c r="K336" t="s">
        <v>19</v>
      </c>
      <c r="L336" t="s">
        <v>20</v>
      </c>
      <c r="M336" t="s">
        <v>40</v>
      </c>
      <c r="N336" t="b">
        <v>0</v>
      </c>
      <c r="O336" t="s">
        <v>16</v>
      </c>
      <c r="P336" t="s">
        <v>22</v>
      </c>
      <c r="Q336" t="s">
        <v>41</v>
      </c>
      <c r="R336" t="b">
        <v>0</v>
      </c>
    </row>
    <row r="337" spans="1:18" x14ac:dyDescent="0.3">
      <c r="A337">
        <v>0</v>
      </c>
      <c r="B337" t="s">
        <v>26</v>
      </c>
      <c r="C337">
        <v>3</v>
      </c>
      <c r="D337" t="s">
        <v>32</v>
      </c>
      <c r="E337" t="s">
        <v>13</v>
      </c>
      <c r="F337" t="s">
        <v>36</v>
      </c>
      <c r="G337">
        <v>30</v>
      </c>
      <c r="H337">
        <v>0</v>
      </c>
      <c r="I337">
        <v>0</v>
      </c>
      <c r="J337">
        <v>7.8958000000000004</v>
      </c>
      <c r="K337" t="s">
        <v>14</v>
      </c>
      <c r="L337" t="s">
        <v>15</v>
      </c>
      <c r="M337" t="s">
        <v>37</v>
      </c>
      <c r="N337" t="b">
        <v>1</v>
      </c>
      <c r="O337" t="s">
        <v>16</v>
      </c>
      <c r="P337" t="s">
        <v>17</v>
      </c>
      <c r="Q337" t="s">
        <v>38</v>
      </c>
      <c r="R337" t="b">
        <v>1</v>
      </c>
    </row>
    <row r="338" spans="1:18" x14ac:dyDescent="0.3">
      <c r="A338">
        <v>0</v>
      </c>
      <c r="B338" t="s">
        <v>26</v>
      </c>
      <c r="C338">
        <v>1</v>
      </c>
      <c r="D338" t="s">
        <v>30</v>
      </c>
      <c r="E338" t="s">
        <v>13</v>
      </c>
      <c r="F338" t="s">
        <v>36</v>
      </c>
      <c r="G338">
        <v>29</v>
      </c>
      <c r="H338">
        <v>1</v>
      </c>
      <c r="I338">
        <v>0</v>
      </c>
      <c r="J338">
        <v>66.599999999999994</v>
      </c>
      <c r="K338" t="s">
        <v>19</v>
      </c>
      <c r="L338" t="s">
        <v>15</v>
      </c>
      <c r="M338" t="s">
        <v>37</v>
      </c>
      <c r="N338" t="b">
        <v>1</v>
      </c>
      <c r="O338" t="s">
        <v>16</v>
      </c>
      <c r="P338" t="s">
        <v>17</v>
      </c>
      <c r="Q338" t="s">
        <v>38</v>
      </c>
      <c r="R338" t="b">
        <v>0</v>
      </c>
    </row>
    <row r="339" spans="1:18" x14ac:dyDescent="0.3">
      <c r="A339">
        <v>1</v>
      </c>
      <c r="B339" t="s">
        <v>27</v>
      </c>
      <c r="C339">
        <v>1</v>
      </c>
      <c r="D339" t="s">
        <v>30</v>
      </c>
      <c r="E339" t="s">
        <v>18</v>
      </c>
      <c r="F339" t="s">
        <v>39</v>
      </c>
      <c r="G339">
        <v>41</v>
      </c>
      <c r="H339">
        <v>0</v>
      </c>
      <c r="I339">
        <v>0</v>
      </c>
      <c r="J339">
        <v>134.5</v>
      </c>
      <c r="K339" t="s">
        <v>19</v>
      </c>
      <c r="L339" t="s">
        <v>20</v>
      </c>
      <c r="M339" t="s">
        <v>40</v>
      </c>
      <c r="N339" t="b">
        <v>0</v>
      </c>
      <c r="O339" t="s">
        <v>21</v>
      </c>
      <c r="P339" t="s">
        <v>22</v>
      </c>
      <c r="Q339" t="s">
        <v>41</v>
      </c>
      <c r="R339" t="b">
        <v>1</v>
      </c>
    </row>
    <row r="340" spans="1:18" x14ac:dyDescent="0.3">
      <c r="A340">
        <v>1</v>
      </c>
      <c r="B340" t="s">
        <v>27</v>
      </c>
      <c r="C340">
        <v>3</v>
      </c>
      <c r="D340" t="s">
        <v>32</v>
      </c>
      <c r="E340" t="s">
        <v>13</v>
      </c>
      <c r="F340" t="s">
        <v>36</v>
      </c>
      <c r="G340">
        <v>45</v>
      </c>
      <c r="H340">
        <v>0</v>
      </c>
      <c r="I340">
        <v>0</v>
      </c>
      <c r="J340">
        <v>8.0500000000000007</v>
      </c>
      <c r="K340" t="s">
        <v>14</v>
      </c>
      <c r="L340" t="s">
        <v>15</v>
      </c>
      <c r="M340" t="s">
        <v>37</v>
      </c>
      <c r="N340" t="b">
        <v>1</v>
      </c>
      <c r="O340" t="s">
        <v>16</v>
      </c>
      <c r="P340" t="s">
        <v>22</v>
      </c>
      <c r="Q340" t="s">
        <v>41</v>
      </c>
      <c r="R340" t="b">
        <v>1</v>
      </c>
    </row>
    <row r="341" spans="1:18" x14ac:dyDescent="0.3">
      <c r="A341">
        <v>0</v>
      </c>
      <c r="B341" t="s">
        <v>26</v>
      </c>
      <c r="C341">
        <v>1</v>
      </c>
      <c r="D341" t="s">
        <v>30</v>
      </c>
      <c r="E341" t="s">
        <v>13</v>
      </c>
      <c r="F341" t="s">
        <v>36</v>
      </c>
      <c r="G341">
        <v>45</v>
      </c>
      <c r="H341">
        <v>0</v>
      </c>
      <c r="I341">
        <v>0</v>
      </c>
      <c r="J341">
        <v>35.5</v>
      </c>
      <c r="K341" t="s">
        <v>19</v>
      </c>
      <c r="L341" t="s">
        <v>15</v>
      </c>
      <c r="M341" t="s">
        <v>37</v>
      </c>
      <c r="N341" t="b">
        <v>1</v>
      </c>
      <c r="O341" t="s">
        <v>16</v>
      </c>
      <c r="P341" t="s">
        <v>17</v>
      </c>
      <c r="Q341" t="s">
        <v>38</v>
      </c>
      <c r="R341" t="b">
        <v>1</v>
      </c>
    </row>
    <row r="342" spans="1:18" x14ac:dyDescent="0.3">
      <c r="A342">
        <v>1</v>
      </c>
      <c r="B342" t="s">
        <v>27</v>
      </c>
      <c r="C342">
        <v>2</v>
      </c>
      <c r="D342" t="s">
        <v>31</v>
      </c>
      <c r="E342" t="s">
        <v>13</v>
      </c>
      <c r="F342" t="s">
        <v>36</v>
      </c>
      <c r="G342">
        <v>2</v>
      </c>
      <c r="H342">
        <v>1</v>
      </c>
      <c r="I342">
        <v>1</v>
      </c>
      <c r="J342">
        <v>26</v>
      </c>
      <c r="K342" t="s">
        <v>25</v>
      </c>
      <c r="L342" t="s">
        <v>24</v>
      </c>
      <c r="M342" t="s">
        <v>42</v>
      </c>
      <c r="N342" t="b">
        <v>0</v>
      </c>
      <c r="O342" t="s">
        <v>16</v>
      </c>
      <c r="P342" t="s">
        <v>22</v>
      </c>
      <c r="Q342" t="s">
        <v>41</v>
      </c>
      <c r="R342" t="b">
        <v>0</v>
      </c>
    </row>
    <row r="343" spans="1:18" x14ac:dyDescent="0.3">
      <c r="A343">
        <v>1</v>
      </c>
      <c r="B343" t="s">
        <v>27</v>
      </c>
      <c r="C343">
        <v>1</v>
      </c>
      <c r="D343" t="s">
        <v>30</v>
      </c>
      <c r="E343" t="s">
        <v>18</v>
      </c>
      <c r="F343" t="s">
        <v>39</v>
      </c>
      <c r="G343">
        <v>24</v>
      </c>
      <c r="H343">
        <v>3</v>
      </c>
      <c r="I343">
        <v>2</v>
      </c>
      <c r="J343">
        <v>263</v>
      </c>
      <c r="K343" t="s">
        <v>19</v>
      </c>
      <c r="L343" t="s">
        <v>20</v>
      </c>
      <c r="M343" t="s">
        <v>40</v>
      </c>
      <c r="N343" t="b">
        <v>0</v>
      </c>
      <c r="O343" t="s">
        <v>16</v>
      </c>
      <c r="P343" t="s">
        <v>22</v>
      </c>
      <c r="Q343" t="s">
        <v>41</v>
      </c>
      <c r="R343" t="b">
        <v>0</v>
      </c>
    </row>
    <row r="344" spans="1:18" x14ac:dyDescent="0.3">
      <c r="A344">
        <v>0</v>
      </c>
      <c r="B344" t="s">
        <v>26</v>
      </c>
      <c r="C344">
        <v>2</v>
      </c>
      <c r="D344" t="s">
        <v>31</v>
      </c>
      <c r="E344" t="s">
        <v>13</v>
      </c>
      <c r="F344" t="s">
        <v>36</v>
      </c>
      <c r="G344">
        <v>28</v>
      </c>
      <c r="H344">
        <v>0</v>
      </c>
      <c r="I344">
        <v>0</v>
      </c>
      <c r="J344">
        <v>13</v>
      </c>
      <c r="K344" t="s">
        <v>25</v>
      </c>
      <c r="L344" t="s">
        <v>15</v>
      </c>
      <c r="M344" t="s">
        <v>37</v>
      </c>
      <c r="N344" t="b">
        <v>1</v>
      </c>
      <c r="O344" t="s">
        <v>16</v>
      </c>
      <c r="P344" t="s">
        <v>17</v>
      </c>
      <c r="Q344" t="s">
        <v>38</v>
      </c>
      <c r="R344" t="b">
        <v>1</v>
      </c>
    </row>
    <row r="345" spans="1:18" x14ac:dyDescent="0.3">
      <c r="A345">
        <v>0</v>
      </c>
      <c r="B345" t="s">
        <v>26</v>
      </c>
      <c r="C345">
        <v>2</v>
      </c>
      <c r="D345" t="s">
        <v>31</v>
      </c>
      <c r="E345" t="s">
        <v>13</v>
      </c>
      <c r="F345" t="s">
        <v>36</v>
      </c>
      <c r="G345">
        <v>25</v>
      </c>
      <c r="H345">
        <v>0</v>
      </c>
      <c r="I345">
        <v>0</v>
      </c>
      <c r="J345">
        <v>13</v>
      </c>
      <c r="K345" t="s">
        <v>25</v>
      </c>
      <c r="L345" t="s">
        <v>15</v>
      </c>
      <c r="M345" t="s">
        <v>37</v>
      </c>
      <c r="N345" t="b">
        <v>1</v>
      </c>
      <c r="O345" t="s">
        <v>16</v>
      </c>
      <c r="P345" t="s">
        <v>17</v>
      </c>
      <c r="Q345" t="s">
        <v>38</v>
      </c>
      <c r="R345" t="b">
        <v>1</v>
      </c>
    </row>
    <row r="346" spans="1:18" x14ac:dyDescent="0.3">
      <c r="A346">
        <v>0</v>
      </c>
      <c r="B346" t="s">
        <v>26</v>
      </c>
      <c r="C346">
        <v>2</v>
      </c>
      <c r="D346" t="s">
        <v>31</v>
      </c>
      <c r="E346" t="s">
        <v>13</v>
      </c>
      <c r="F346" t="s">
        <v>36</v>
      </c>
      <c r="G346">
        <v>36</v>
      </c>
      <c r="H346">
        <v>0</v>
      </c>
      <c r="I346">
        <v>0</v>
      </c>
      <c r="J346">
        <v>13</v>
      </c>
      <c r="K346" t="s">
        <v>25</v>
      </c>
      <c r="L346" t="s">
        <v>15</v>
      </c>
      <c r="M346" t="s">
        <v>37</v>
      </c>
      <c r="N346" t="b">
        <v>1</v>
      </c>
      <c r="O346" t="s">
        <v>16</v>
      </c>
      <c r="P346" t="s">
        <v>17</v>
      </c>
      <c r="Q346" t="s">
        <v>38</v>
      </c>
      <c r="R346" t="b">
        <v>1</v>
      </c>
    </row>
    <row r="347" spans="1:18" x14ac:dyDescent="0.3">
      <c r="A347">
        <v>1</v>
      </c>
      <c r="B347" t="s">
        <v>27</v>
      </c>
      <c r="C347">
        <v>2</v>
      </c>
      <c r="D347" t="s">
        <v>31</v>
      </c>
      <c r="E347" t="s">
        <v>18</v>
      </c>
      <c r="F347" t="s">
        <v>39</v>
      </c>
      <c r="G347">
        <v>24</v>
      </c>
      <c r="H347">
        <v>0</v>
      </c>
      <c r="I347">
        <v>0</v>
      </c>
      <c r="J347">
        <v>13</v>
      </c>
      <c r="K347" t="s">
        <v>25</v>
      </c>
      <c r="L347" t="s">
        <v>20</v>
      </c>
      <c r="M347" t="s">
        <v>40</v>
      </c>
      <c r="N347" t="b">
        <v>0</v>
      </c>
      <c r="O347" t="s">
        <v>16</v>
      </c>
      <c r="P347" t="s">
        <v>22</v>
      </c>
      <c r="Q347" t="s">
        <v>41</v>
      </c>
      <c r="R347" t="b">
        <v>1</v>
      </c>
    </row>
    <row r="348" spans="1:18" x14ac:dyDescent="0.3">
      <c r="A348">
        <v>1</v>
      </c>
      <c r="B348" t="s">
        <v>27</v>
      </c>
      <c r="C348">
        <v>2</v>
      </c>
      <c r="D348" t="s">
        <v>31</v>
      </c>
      <c r="E348" t="s">
        <v>18</v>
      </c>
      <c r="F348" t="s">
        <v>39</v>
      </c>
      <c r="G348">
        <v>40</v>
      </c>
      <c r="H348">
        <v>0</v>
      </c>
      <c r="I348">
        <v>0</v>
      </c>
      <c r="J348">
        <v>13</v>
      </c>
      <c r="K348" t="s">
        <v>25</v>
      </c>
      <c r="L348" t="s">
        <v>20</v>
      </c>
      <c r="M348" t="s">
        <v>40</v>
      </c>
      <c r="N348" t="b">
        <v>0</v>
      </c>
      <c r="O348" t="s">
        <v>16</v>
      </c>
      <c r="P348" t="s">
        <v>22</v>
      </c>
      <c r="Q348" t="s">
        <v>41</v>
      </c>
      <c r="R348" t="b">
        <v>1</v>
      </c>
    </row>
    <row r="349" spans="1:18" x14ac:dyDescent="0.3">
      <c r="A349">
        <v>1</v>
      </c>
      <c r="B349" t="s">
        <v>27</v>
      </c>
      <c r="C349">
        <v>3</v>
      </c>
      <c r="D349" t="s">
        <v>32</v>
      </c>
      <c r="E349" t="s">
        <v>18</v>
      </c>
      <c r="F349" t="s">
        <v>39</v>
      </c>
      <c r="G349">
        <v>30</v>
      </c>
      <c r="H349">
        <v>1</v>
      </c>
      <c r="I349">
        <v>0</v>
      </c>
      <c r="J349">
        <v>16.100000000000001</v>
      </c>
      <c r="K349" t="s">
        <v>14</v>
      </c>
      <c r="L349" t="s">
        <v>20</v>
      </c>
      <c r="M349" t="s">
        <v>40</v>
      </c>
      <c r="N349" t="b">
        <v>0</v>
      </c>
      <c r="O349" t="s">
        <v>16</v>
      </c>
      <c r="P349" t="s">
        <v>22</v>
      </c>
      <c r="Q349" t="s">
        <v>41</v>
      </c>
      <c r="R349" t="b">
        <v>0</v>
      </c>
    </row>
    <row r="350" spans="1:18" x14ac:dyDescent="0.3">
      <c r="A350">
        <v>1</v>
      </c>
      <c r="B350" t="s">
        <v>27</v>
      </c>
      <c r="C350">
        <v>3</v>
      </c>
      <c r="D350" t="s">
        <v>32</v>
      </c>
      <c r="E350" t="s">
        <v>13</v>
      </c>
      <c r="F350" t="s">
        <v>36</v>
      </c>
      <c r="G350">
        <v>3</v>
      </c>
      <c r="H350">
        <v>1</v>
      </c>
      <c r="I350">
        <v>1</v>
      </c>
      <c r="J350">
        <v>15.9</v>
      </c>
      <c r="K350" t="s">
        <v>14</v>
      </c>
      <c r="L350" t="s">
        <v>24</v>
      </c>
      <c r="M350" t="s">
        <v>42</v>
      </c>
      <c r="N350" t="b">
        <v>0</v>
      </c>
      <c r="O350" t="s">
        <v>16</v>
      </c>
      <c r="P350" t="s">
        <v>22</v>
      </c>
      <c r="Q350" t="s">
        <v>41</v>
      </c>
      <c r="R350" t="b">
        <v>0</v>
      </c>
    </row>
    <row r="351" spans="1:18" x14ac:dyDescent="0.3">
      <c r="A351">
        <v>0</v>
      </c>
      <c r="B351" t="s">
        <v>26</v>
      </c>
      <c r="C351">
        <v>3</v>
      </c>
      <c r="D351" t="s">
        <v>32</v>
      </c>
      <c r="E351" t="s">
        <v>13</v>
      </c>
      <c r="F351" t="s">
        <v>36</v>
      </c>
      <c r="G351">
        <v>42</v>
      </c>
      <c r="H351">
        <v>0</v>
      </c>
      <c r="I351">
        <v>0</v>
      </c>
      <c r="J351">
        <v>8.6624999999999996</v>
      </c>
      <c r="K351" t="s">
        <v>14</v>
      </c>
      <c r="L351" t="s">
        <v>15</v>
      </c>
      <c r="M351" t="s">
        <v>37</v>
      </c>
      <c r="N351" t="b">
        <v>1</v>
      </c>
      <c r="O351" t="s">
        <v>16</v>
      </c>
      <c r="P351" t="s">
        <v>17</v>
      </c>
      <c r="Q351" t="s">
        <v>38</v>
      </c>
      <c r="R351" t="b">
        <v>1</v>
      </c>
    </row>
    <row r="352" spans="1:18" x14ac:dyDescent="0.3">
      <c r="A352">
        <v>0</v>
      </c>
      <c r="B352" t="s">
        <v>26</v>
      </c>
      <c r="C352">
        <v>3</v>
      </c>
      <c r="D352" t="s">
        <v>32</v>
      </c>
      <c r="E352" t="s">
        <v>13</v>
      </c>
      <c r="F352" t="s">
        <v>36</v>
      </c>
      <c r="G352">
        <v>23</v>
      </c>
      <c r="H352">
        <v>0</v>
      </c>
      <c r="I352">
        <v>0</v>
      </c>
      <c r="J352">
        <v>9.2249999999999996</v>
      </c>
      <c r="K352" t="s">
        <v>14</v>
      </c>
      <c r="L352" t="s">
        <v>15</v>
      </c>
      <c r="M352" t="s">
        <v>37</v>
      </c>
      <c r="N352" t="b">
        <v>1</v>
      </c>
      <c r="O352" t="s">
        <v>16</v>
      </c>
      <c r="P352" t="s">
        <v>17</v>
      </c>
      <c r="Q352" t="s">
        <v>38</v>
      </c>
      <c r="R352" t="b">
        <v>1</v>
      </c>
    </row>
    <row r="353" spans="1:18" x14ac:dyDescent="0.3">
      <c r="A353">
        <v>0</v>
      </c>
      <c r="B353" t="s">
        <v>26</v>
      </c>
      <c r="C353">
        <v>1</v>
      </c>
      <c r="D353" t="s">
        <v>30</v>
      </c>
      <c r="E353" t="s">
        <v>13</v>
      </c>
      <c r="F353" t="s">
        <v>36</v>
      </c>
      <c r="G353">
        <v>30</v>
      </c>
      <c r="H353">
        <v>0</v>
      </c>
      <c r="I353">
        <v>0</v>
      </c>
      <c r="J353">
        <v>35</v>
      </c>
      <c r="K353" t="s">
        <v>19</v>
      </c>
      <c r="L353" t="s">
        <v>15</v>
      </c>
      <c r="M353" t="s">
        <v>37</v>
      </c>
      <c r="N353" t="b">
        <v>1</v>
      </c>
      <c r="O353" t="s">
        <v>16</v>
      </c>
      <c r="P353" t="s">
        <v>17</v>
      </c>
      <c r="Q353" t="s">
        <v>38</v>
      </c>
      <c r="R353" t="b">
        <v>1</v>
      </c>
    </row>
    <row r="354" spans="1:18" x14ac:dyDescent="0.3">
      <c r="A354">
        <v>0</v>
      </c>
      <c r="B354" t="s">
        <v>26</v>
      </c>
      <c r="C354">
        <v>3</v>
      </c>
      <c r="D354" t="s">
        <v>32</v>
      </c>
      <c r="E354" t="s">
        <v>13</v>
      </c>
      <c r="F354" t="s">
        <v>36</v>
      </c>
      <c r="G354">
        <v>15</v>
      </c>
      <c r="H354">
        <v>1</v>
      </c>
      <c r="I354">
        <v>1</v>
      </c>
      <c r="J354">
        <v>7.2291999999999996</v>
      </c>
      <c r="K354" t="s">
        <v>14</v>
      </c>
      <c r="L354" t="s">
        <v>24</v>
      </c>
      <c r="M354" t="s">
        <v>42</v>
      </c>
      <c r="N354" t="b">
        <v>0</v>
      </c>
      <c r="O354" t="s">
        <v>21</v>
      </c>
      <c r="P354" t="s">
        <v>17</v>
      </c>
      <c r="Q354" t="s">
        <v>38</v>
      </c>
      <c r="R354" t="b">
        <v>0</v>
      </c>
    </row>
    <row r="355" spans="1:18" x14ac:dyDescent="0.3">
      <c r="A355">
        <v>0</v>
      </c>
      <c r="B355" t="s">
        <v>26</v>
      </c>
      <c r="C355">
        <v>3</v>
      </c>
      <c r="D355" t="s">
        <v>32</v>
      </c>
      <c r="E355" t="s">
        <v>13</v>
      </c>
      <c r="F355" t="s">
        <v>36</v>
      </c>
      <c r="G355">
        <v>25</v>
      </c>
      <c r="H355">
        <v>1</v>
      </c>
      <c r="I355">
        <v>0</v>
      </c>
      <c r="J355">
        <v>17.8</v>
      </c>
      <c r="K355" t="s">
        <v>14</v>
      </c>
      <c r="L355" t="s">
        <v>15</v>
      </c>
      <c r="M355" t="s">
        <v>37</v>
      </c>
      <c r="N355" t="b">
        <v>1</v>
      </c>
      <c r="O355" t="s">
        <v>16</v>
      </c>
      <c r="P355" t="s">
        <v>17</v>
      </c>
      <c r="Q355" t="s">
        <v>38</v>
      </c>
      <c r="R355" t="b">
        <v>0</v>
      </c>
    </row>
    <row r="356" spans="1:18" x14ac:dyDescent="0.3">
      <c r="A356">
        <v>0</v>
      </c>
      <c r="B356" t="s">
        <v>26</v>
      </c>
      <c r="C356">
        <v>3</v>
      </c>
      <c r="D356" t="s">
        <v>32</v>
      </c>
      <c r="E356" t="s">
        <v>13</v>
      </c>
      <c r="F356" t="s">
        <v>36</v>
      </c>
      <c r="G356">
        <v>30</v>
      </c>
      <c r="H356">
        <v>0</v>
      </c>
      <c r="I356">
        <v>0</v>
      </c>
      <c r="J356">
        <v>7.2249999999999996</v>
      </c>
      <c r="K356" t="s">
        <v>14</v>
      </c>
      <c r="L356" t="s">
        <v>15</v>
      </c>
      <c r="M356" t="s">
        <v>37</v>
      </c>
      <c r="N356" t="b">
        <v>1</v>
      </c>
      <c r="O356" t="s">
        <v>21</v>
      </c>
      <c r="P356" t="s">
        <v>17</v>
      </c>
      <c r="Q356" t="s">
        <v>38</v>
      </c>
      <c r="R356" t="b">
        <v>1</v>
      </c>
    </row>
    <row r="357" spans="1:18" x14ac:dyDescent="0.3">
      <c r="A357">
        <v>0</v>
      </c>
      <c r="B357" t="s">
        <v>26</v>
      </c>
      <c r="C357">
        <v>3</v>
      </c>
      <c r="D357" t="s">
        <v>32</v>
      </c>
      <c r="E357" t="s">
        <v>13</v>
      </c>
      <c r="F357" t="s">
        <v>36</v>
      </c>
      <c r="G357">
        <v>28</v>
      </c>
      <c r="H357">
        <v>0</v>
      </c>
      <c r="I357">
        <v>0</v>
      </c>
      <c r="J357">
        <v>9.5</v>
      </c>
      <c r="K357" t="s">
        <v>14</v>
      </c>
      <c r="L357" t="s">
        <v>15</v>
      </c>
      <c r="M357" t="s">
        <v>37</v>
      </c>
      <c r="N357" t="b">
        <v>1</v>
      </c>
      <c r="O357" t="s">
        <v>16</v>
      </c>
      <c r="P357" t="s">
        <v>17</v>
      </c>
      <c r="Q357" t="s">
        <v>38</v>
      </c>
      <c r="R357" t="b">
        <v>1</v>
      </c>
    </row>
    <row r="358" spans="1:18" x14ac:dyDescent="0.3">
      <c r="A358">
        <v>1</v>
      </c>
      <c r="B358" t="s">
        <v>27</v>
      </c>
      <c r="C358">
        <v>1</v>
      </c>
      <c r="D358" t="s">
        <v>30</v>
      </c>
      <c r="E358" t="s">
        <v>18</v>
      </c>
      <c r="F358" t="s">
        <v>39</v>
      </c>
      <c r="G358">
        <v>22</v>
      </c>
      <c r="H358">
        <v>0</v>
      </c>
      <c r="I358">
        <v>1</v>
      </c>
      <c r="J358">
        <v>55</v>
      </c>
      <c r="K358" t="s">
        <v>19</v>
      </c>
      <c r="L358" t="s">
        <v>20</v>
      </c>
      <c r="M358" t="s">
        <v>40</v>
      </c>
      <c r="N358" t="b">
        <v>0</v>
      </c>
      <c r="O358" t="s">
        <v>16</v>
      </c>
      <c r="P358" t="s">
        <v>22</v>
      </c>
      <c r="Q358" t="s">
        <v>41</v>
      </c>
      <c r="R358" t="b">
        <v>0</v>
      </c>
    </row>
    <row r="359" spans="1:18" x14ac:dyDescent="0.3">
      <c r="A359">
        <v>0</v>
      </c>
      <c r="B359" t="s">
        <v>26</v>
      </c>
      <c r="C359">
        <v>2</v>
      </c>
      <c r="D359" t="s">
        <v>31</v>
      </c>
      <c r="E359" t="s">
        <v>18</v>
      </c>
      <c r="F359" t="s">
        <v>39</v>
      </c>
      <c r="G359">
        <v>38</v>
      </c>
      <c r="H359">
        <v>0</v>
      </c>
      <c r="I359">
        <v>0</v>
      </c>
      <c r="J359">
        <v>13</v>
      </c>
      <c r="K359" t="s">
        <v>25</v>
      </c>
      <c r="L359" t="s">
        <v>20</v>
      </c>
      <c r="M359" t="s">
        <v>40</v>
      </c>
      <c r="N359" t="b">
        <v>0</v>
      </c>
      <c r="O359" t="s">
        <v>16</v>
      </c>
      <c r="P359" t="s">
        <v>17</v>
      </c>
      <c r="Q359" t="s">
        <v>38</v>
      </c>
      <c r="R359" t="b">
        <v>1</v>
      </c>
    </row>
    <row r="360" spans="1:18" x14ac:dyDescent="0.3">
      <c r="A360">
        <v>1</v>
      </c>
      <c r="B360" t="s">
        <v>27</v>
      </c>
      <c r="C360">
        <v>3</v>
      </c>
      <c r="D360" t="s">
        <v>32</v>
      </c>
      <c r="E360" t="s">
        <v>18</v>
      </c>
      <c r="F360" t="s">
        <v>39</v>
      </c>
      <c r="G360">
        <v>30</v>
      </c>
      <c r="H360">
        <v>0</v>
      </c>
      <c r="I360">
        <v>0</v>
      </c>
      <c r="J360">
        <v>7.8792</v>
      </c>
      <c r="K360" t="s">
        <v>14</v>
      </c>
      <c r="L360" t="s">
        <v>20</v>
      </c>
      <c r="M360" t="s">
        <v>40</v>
      </c>
      <c r="N360" t="b">
        <v>0</v>
      </c>
      <c r="O360" t="s">
        <v>23</v>
      </c>
      <c r="P360" t="s">
        <v>22</v>
      </c>
      <c r="Q360" t="s">
        <v>41</v>
      </c>
      <c r="R360" t="b">
        <v>1</v>
      </c>
    </row>
    <row r="361" spans="1:18" x14ac:dyDescent="0.3">
      <c r="A361">
        <v>1</v>
      </c>
      <c r="B361" t="s">
        <v>27</v>
      </c>
      <c r="C361">
        <v>3</v>
      </c>
      <c r="D361" t="s">
        <v>32</v>
      </c>
      <c r="E361" t="s">
        <v>18</v>
      </c>
      <c r="F361" t="s">
        <v>39</v>
      </c>
      <c r="G361">
        <v>30</v>
      </c>
      <c r="H361">
        <v>0</v>
      </c>
      <c r="I361">
        <v>0</v>
      </c>
      <c r="J361">
        <v>7.8792</v>
      </c>
      <c r="K361" t="s">
        <v>14</v>
      </c>
      <c r="L361" t="s">
        <v>20</v>
      </c>
      <c r="M361" t="s">
        <v>40</v>
      </c>
      <c r="N361" t="b">
        <v>0</v>
      </c>
      <c r="O361" t="s">
        <v>23</v>
      </c>
      <c r="P361" t="s">
        <v>22</v>
      </c>
      <c r="Q361" t="s">
        <v>41</v>
      </c>
      <c r="R361" t="b">
        <v>1</v>
      </c>
    </row>
    <row r="362" spans="1:18" x14ac:dyDescent="0.3">
      <c r="A362">
        <v>0</v>
      </c>
      <c r="B362" t="s">
        <v>26</v>
      </c>
      <c r="C362">
        <v>3</v>
      </c>
      <c r="D362" t="s">
        <v>32</v>
      </c>
      <c r="E362" t="s">
        <v>13</v>
      </c>
      <c r="F362" t="s">
        <v>36</v>
      </c>
      <c r="G362">
        <v>40</v>
      </c>
      <c r="H362">
        <v>1</v>
      </c>
      <c r="I362">
        <v>4</v>
      </c>
      <c r="J362">
        <v>27.9</v>
      </c>
      <c r="K362" t="s">
        <v>14</v>
      </c>
      <c r="L362" t="s">
        <v>15</v>
      </c>
      <c r="M362" t="s">
        <v>37</v>
      </c>
      <c r="N362" t="b">
        <v>1</v>
      </c>
      <c r="O362" t="s">
        <v>16</v>
      </c>
      <c r="P362" t="s">
        <v>17</v>
      </c>
      <c r="Q362" t="s">
        <v>38</v>
      </c>
      <c r="R362" t="b">
        <v>0</v>
      </c>
    </row>
    <row r="363" spans="1:18" x14ac:dyDescent="0.3">
      <c r="A363">
        <v>0</v>
      </c>
      <c r="B363" t="s">
        <v>26</v>
      </c>
      <c r="C363">
        <v>2</v>
      </c>
      <c r="D363" t="s">
        <v>31</v>
      </c>
      <c r="E363" t="s">
        <v>13</v>
      </c>
      <c r="F363" t="s">
        <v>36</v>
      </c>
      <c r="G363">
        <v>29</v>
      </c>
      <c r="H363">
        <v>1</v>
      </c>
      <c r="I363">
        <v>0</v>
      </c>
      <c r="J363">
        <v>27.720800000000001</v>
      </c>
      <c r="K363" t="s">
        <v>25</v>
      </c>
      <c r="L363" t="s">
        <v>15</v>
      </c>
      <c r="M363" t="s">
        <v>37</v>
      </c>
      <c r="N363" t="b">
        <v>1</v>
      </c>
      <c r="O363" t="s">
        <v>21</v>
      </c>
      <c r="P363" t="s">
        <v>17</v>
      </c>
      <c r="Q363" t="s">
        <v>38</v>
      </c>
      <c r="R363" t="b">
        <v>0</v>
      </c>
    </row>
    <row r="364" spans="1:18" x14ac:dyDescent="0.3">
      <c r="A364">
        <v>0</v>
      </c>
      <c r="B364" t="s">
        <v>26</v>
      </c>
      <c r="C364">
        <v>3</v>
      </c>
      <c r="D364" t="s">
        <v>32</v>
      </c>
      <c r="E364" t="s">
        <v>18</v>
      </c>
      <c r="F364" t="s">
        <v>39</v>
      </c>
      <c r="G364">
        <v>45</v>
      </c>
      <c r="H364">
        <v>0</v>
      </c>
      <c r="I364">
        <v>1</v>
      </c>
      <c r="J364">
        <v>14.4542</v>
      </c>
      <c r="K364" t="s">
        <v>14</v>
      </c>
      <c r="L364" t="s">
        <v>20</v>
      </c>
      <c r="M364" t="s">
        <v>40</v>
      </c>
      <c r="N364" t="b">
        <v>0</v>
      </c>
      <c r="O364" t="s">
        <v>21</v>
      </c>
      <c r="P364" t="s">
        <v>17</v>
      </c>
      <c r="Q364" t="s">
        <v>38</v>
      </c>
      <c r="R364" t="b">
        <v>0</v>
      </c>
    </row>
    <row r="365" spans="1:18" x14ac:dyDescent="0.3">
      <c r="A365">
        <v>0</v>
      </c>
      <c r="B365" t="s">
        <v>26</v>
      </c>
      <c r="C365">
        <v>3</v>
      </c>
      <c r="D365" t="s">
        <v>32</v>
      </c>
      <c r="E365" t="s">
        <v>13</v>
      </c>
      <c r="F365" t="s">
        <v>36</v>
      </c>
      <c r="G365">
        <v>35</v>
      </c>
      <c r="H365">
        <v>0</v>
      </c>
      <c r="I365">
        <v>0</v>
      </c>
      <c r="J365">
        <v>7.05</v>
      </c>
      <c r="K365" t="s">
        <v>14</v>
      </c>
      <c r="L365" t="s">
        <v>15</v>
      </c>
      <c r="M365" t="s">
        <v>37</v>
      </c>
      <c r="N365" t="b">
        <v>1</v>
      </c>
      <c r="O365" t="s">
        <v>16</v>
      </c>
      <c r="P365" t="s">
        <v>17</v>
      </c>
      <c r="Q365" t="s">
        <v>38</v>
      </c>
      <c r="R365" t="b">
        <v>1</v>
      </c>
    </row>
    <row r="366" spans="1:18" x14ac:dyDescent="0.3">
      <c r="A366">
        <v>0</v>
      </c>
      <c r="B366" t="s">
        <v>26</v>
      </c>
      <c r="C366">
        <v>3</v>
      </c>
      <c r="D366" t="s">
        <v>32</v>
      </c>
      <c r="E366" t="s">
        <v>13</v>
      </c>
      <c r="F366" t="s">
        <v>36</v>
      </c>
      <c r="G366">
        <v>30</v>
      </c>
      <c r="H366">
        <v>1</v>
      </c>
      <c r="I366">
        <v>0</v>
      </c>
      <c r="J366">
        <v>15.5</v>
      </c>
      <c r="K366" t="s">
        <v>14</v>
      </c>
      <c r="L366" t="s">
        <v>15</v>
      </c>
      <c r="M366" t="s">
        <v>37</v>
      </c>
      <c r="N366" t="b">
        <v>1</v>
      </c>
      <c r="O366" t="s">
        <v>23</v>
      </c>
      <c r="P366" t="s">
        <v>17</v>
      </c>
      <c r="Q366" t="s">
        <v>38</v>
      </c>
      <c r="R366" t="b">
        <v>0</v>
      </c>
    </row>
    <row r="367" spans="1:18" x14ac:dyDescent="0.3">
      <c r="A367">
        <v>0</v>
      </c>
      <c r="B367" t="s">
        <v>26</v>
      </c>
      <c r="C367">
        <v>3</v>
      </c>
      <c r="D367" t="s">
        <v>32</v>
      </c>
      <c r="E367" t="s">
        <v>13</v>
      </c>
      <c r="F367" t="s">
        <v>36</v>
      </c>
      <c r="G367">
        <v>30</v>
      </c>
      <c r="H367">
        <v>0</v>
      </c>
      <c r="I367">
        <v>0</v>
      </c>
      <c r="J367">
        <v>7.25</v>
      </c>
      <c r="K367" t="s">
        <v>14</v>
      </c>
      <c r="L367" t="s">
        <v>15</v>
      </c>
      <c r="M367" t="s">
        <v>37</v>
      </c>
      <c r="N367" t="b">
        <v>1</v>
      </c>
      <c r="O367" t="s">
        <v>16</v>
      </c>
      <c r="P367" t="s">
        <v>17</v>
      </c>
      <c r="Q367" t="s">
        <v>38</v>
      </c>
      <c r="R367" t="b">
        <v>1</v>
      </c>
    </row>
    <row r="368" spans="1:18" x14ac:dyDescent="0.3">
      <c r="A368">
        <v>1</v>
      </c>
      <c r="B368" t="s">
        <v>27</v>
      </c>
      <c r="C368">
        <v>1</v>
      </c>
      <c r="D368" t="s">
        <v>30</v>
      </c>
      <c r="E368" t="s">
        <v>18</v>
      </c>
      <c r="F368" t="s">
        <v>39</v>
      </c>
      <c r="G368">
        <v>60</v>
      </c>
      <c r="H368">
        <v>1</v>
      </c>
      <c r="I368">
        <v>0</v>
      </c>
      <c r="J368">
        <v>75.25</v>
      </c>
      <c r="K368" t="s">
        <v>19</v>
      </c>
      <c r="L368" t="s">
        <v>20</v>
      </c>
      <c r="M368" t="s">
        <v>40</v>
      </c>
      <c r="N368" t="b">
        <v>0</v>
      </c>
      <c r="O368" t="s">
        <v>21</v>
      </c>
      <c r="P368" t="s">
        <v>22</v>
      </c>
      <c r="Q368" t="s">
        <v>41</v>
      </c>
      <c r="R368" t="b">
        <v>0</v>
      </c>
    </row>
    <row r="369" spans="1:18" x14ac:dyDescent="0.3">
      <c r="A369">
        <v>1</v>
      </c>
      <c r="B369" t="s">
        <v>27</v>
      </c>
      <c r="C369">
        <v>3</v>
      </c>
      <c r="D369" t="s">
        <v>32</v>
      </c>
      <c r="E369" t="s">
        <v>18</v>
      </c>
      <c r="F369" t="s">
        <v>39</v>
      </c>
      <c r="G369">
        <v>30</v>
      </c>
      <c r="H369">
        <v>0</v>
      </c>
      <c r="I369">
        <v>0</v>
      </c>
      <c r="J369">
        <v>7.2291999999999996</v>
      </c>
      <c r="K369" t="s">
        <v>14</v>
      </c>
      <c r="L369" t="s">
        <v>20</v>
      </c>
      <c r="M369" t="s">
        <v>40</v>
      </c>
      <c r="N369" t="b">
        <v>0</v>
      </c>
      <c r="O369" t="s">
        <v>21</v>
      </c>
      <c r="P369" t="s">
        <v>22</v>
      </c>
      <c r="Q369" t="s">
        <v>41</v>
      </c>
      <c r="R369" t="b">
        <v>1</v>
      </c>
    </row>
    <row r="370" spans="1:18" x14ac:dyDescent="0.3">
      <c r="A370">
        <v>1</v>
      </c>
      <c r="B370" t="s">
        <v>27</v>
      </c>
      <c r="C370">
        <v>3</v>
      </c>
      <c r="D370" t="s">
        <v>32</v>
      </c>
      <c r="E370" t="s">
        <v>18</v>
      </c>
      <c r="F370" t="s">
        <v>39</v>
      </c>
      <c r="G370">
        <v>30</v>
      </c>
      <c r="H370">
        <v>0</v>
      </c>
      <c r="I370">
        <v>0</v>
      </c>
      <c r="J370">
        <v>7.75</v>
      </c>
      <c r="K370" t="s">
        <v>14</v>
      </c>
      <c r="L370" t="s">
        <v>20</v>
      </c>
      <c r="M370" t="s">
        <v>40</v>
      </c>
      <c r="N370" t="b">
        <v>0</v>
      </c>
      <c r="O370" t="s">
        <v>23</v>
      </c>
      <c r="P370" t="s">
        <v>22</v>
      </c>
      <c r="Q370" t="s">
        <v>41</v>
      </c>
      <c r="R370" t="b">
        <v>1</v>
      </c>
    </row>
    <row r="371" spans="1:18" x14ac:dyDescent="0.3">
      <c r="A371">
        <v>1</v>
      </c>
      <c r="B371" t="s">
        <v>27</v>
      </c>
      <c r="C371">
        <v>1</v>
      </c>
      <c r="D371" t="s">
        <v>30</v>
      </c>
      <c r="E371" t="s">
        <v>18</v>
      </c>
      <c r="F371" t="s">
        <v>39</v>
      </c>
      <c r="G371">
        <v>24</v>
      </c>
      <c r="H371">
        <v>0</v>
      </c>
      <c r="I371">
        <v>0</v>
      </c>
      <c r="J371">
        <v>69.3</v>
      </c>
      <c r="K371" t="s">
        <v>19</v>
      </c>
      <c r="L371" t="s">
        <v>20</v>
      </c>
      <c r="M371" t="s">
        <v>40</v>
      </c>
      <c r="N371" t="b">
        <v>0</v>
      </c>
      <c r="O371" t="s">
        <v>21</v>
      </c>
      <c r="P371" t="s">
        <v>22</v>
      </c>
      <c r="Q371" t="s">
        <v>41</v>
      </c>
      <c r="R371" t="b">
        <v>1</v>
      </c>
    </row>
    <row r="372" spans="1:18" x14ac:dyDescent="0.3">
      <c r="A372">
        <v>1</v>
      </c>
      <c r="B372" t="s">
        <v>27</v>
      </c>
      <c r="C372">
        <v>1</v>
      </c>
      <c r="D372" t="s">
        <v>30</v>
      </c>
      <c r="E372" t="s">
        <v>13</v>
      </c>
      <c r="F372" t="s">
        <v>36</v>
      </c>
      <c r="G372">
        <v>25</v>
      </c>
      <c r="H372">
        <v>1</v>
      </c>
      <c r="I372">
        <v>0</v>
      </c>
      <c r="J372">
        <v>55.441699999999997</v>
      </c>
      <c r="K372" t="s">
        <v>19</v>
      </c>
      <c r="L372" t="s">
        <v>15</v>
      </c>
      <c r="M372" t="s">
        <v>37</v>
      </c>
      <c r="N372" t="b">
        <v>1</v>
      </c>
      <c r="O372" t="s">
        <v>21</v>
      </c>
      <c r="P372" t="s">
        <v>22</v>
      </c>
      <c r="Q372" t="s">
        <v>41</v>
      </c>
      <c r="R372" t="b">
        <v>0</v>
      </c>
    </row>
    <row r="373" spans="1:18" x14ac:dyDescent="0.3">
      <c r="A373">
        <v>0</v>
      </c>
      <c r="B373" t="s">
        <v>26</v>
      </c>
      <c r="C373">
        <v>3</v>
      </c>
      <c r="D373" t="s">
        <v>32</v>
      </c>
      <c r="E373" t="s">
        <v>13</v>
      </c>
      <c r="F373" t="s">
        <v>36</v>
      </c>
      <c r="G373">
        <v>18</v>
      </c>
      <c r="H373">
        <v>1</v>
      </c>
      <c r="I373">
        <v>0</v>
      </c>
      <c r="J373">
        <v>6.4958</v>
      </c>
      <c r="K373" t="s">
        <v>14</v>
      </c>
      <c r="L373" t="s">
        <v>15</v>
      </c>
      <c r="M373" t="s">
        <v>37</v>
      </c>
      <c r="N373" t="b">
        <v>1</v>
      </c>
      <c r="O373" t="s">
        <v>16</v>
      </c>
      <c r="P373" t="s">
        <v>17</v>
      </c>
      <c r="Q373" t="s">
        <v>38</v>
      </c>
      <c r="R373" t="b">
        <v>0</v>
      </c>
    </row>
    <row r="374" spans="1:18" x14ac:dyDescent="0.3">
      <c r="A374">
        <v>0</v>
      </c>
      <c r="B374" t="s">
        <v>26</v>
      </c>
      <c r="C374">
        <v>3</v>
      </c>
      <c r="D374" t="s">
        <v>32</v>
      </c>
      <c r="E374" t="s">
        <v>13</v>
      </c>
      <c r="F374" t="s">
        <v>36</v>
      </c>
      <c r="G374">
        <v>19</v>
      </c>
      <c r="H374">
        <v>0</v>
      </c>
      <c r="I374">
        <v>0</v>
      </c>
      <c r="J374">
        <v>8.0500000000000007</v>
      </c>
      <c r="K374" t="s">
        <v>14</v>
      </c>
      <c r="L374" t="s">
        <v>15</v>
      </c>
      <c r="M374" t="s">
        <v>37</v>
      </c>
      <c r="N374" t="b">
        <v>1</v>
      </c>
      <c r="O374" t="s">
        <v>16</v>
      </c>
      <c r="P374" t="s">
        <v>17</v>
      </c>
      <c r="Q374" t="s">
        <v>38</v>
      </c>
      <c r="R374" t="b">
        <v>1</v>
      </c>
    </row>
    <row r="375" spans="1:18" x14ac:dyDescent="0.3">
      <c r="A375">
        <v>0</v>
      </c>
      <c r="B375" t="s">
        <v>26</v>
      </c>
      <c r="C375">
        <v>1</v>
      </c>
      <c r="D375" t="s">
        <v>30</v>
      </c>
      <c r="E375" t="s">
        <v>13</v>
      </c>
      <c r="F375" t="s">
        <v>36</v>
      </c>
      <c r="G375">
        <v>22</v>
      </c>
      <c r="H375">
        <v>0</v>
      </c>
      <c r="I375">
        <v>0</v>
      </c>
      <c r="J375">
        <v>135.63329999999999</v>
      </c>
      <c r="K375" t="s">
        <v>19</v>
      </c>
      <c r="L375" t="s">
        <v>15</v>
      </c>
      <c r="M375" t="s">
        <v>37</v>
      </c>
      <c r="N375" t="b">
        <v>1</v>
      </c>
      <c r="O375" t="s">
        <v>21</v>
      </c>
      <c r="P375" t="s">
        <v>17</v>
      </c>
      <c r="Q375" t="s">
        <v>38</v>
      </c>
      <c r="R375" t="b">
        <v>1</v>
      </c>
    </row>
    <row r="376" spans="1:18" x14ac:dyDescent="0.3">
      <c r="A376">
        <v>0</v>
      </c>
      <c r="B376" t="s">
        <v>26</v>
      </c>
      <c r="C376">
        <v>3</v>
      </c>
      <c r="D376" t="s">
        <v>32</v>
      </c>
      <c r="E376" t="s">
        <v>18</v>
      </c>
      <c r="F376" t="s">
        <v>39</v>
      </c>
      <c r="G376">
        <v>3</v>
      </c>
      <c r="H376">
        <v>3</v>
      </c>
      <c r="I376">
        <v>1</v>
      </c>
      <c r="J376">
        <v>21.074999999999999</v>
      </c>
      <c r="K376" t="s">
        <v>14</v>
      </c>
      <c r="L376" t="s">
        <v>24</v>
      </c>
      <c r="M376" t="s">
        <v>42</v>
      </c>
      <c r="N376" t="b">
        <v>0</v>
      </c>
      <c r="O376" t="s">
        <v>16</v>
      </c>
      <c r="P376" t="s">
        <v>17</v>
      </c>
      <c r="Q376" t="s">
        <v>38</v>
      </c>
      <c r="R376" t="b">
        <v>0</v>
      </c>
    </row>
    <row r="377" spans="1:18" x14ac:dyDescent="0.3">
      <c r="A377">
        <v>1</v>
      </c>
      <c r="B377" t="s">
        <v>27</v>
      </c>
      <c r="C377">
        <v>1</v>
      </c>
      <c r="D377" t="s">
        <v>30</v>
      </c>
      <c r="E377" t="s">
        <v>18</v>
      </c>
      <c r="F377" t="s">
        <v>39</v>
      </c>
      <c r="G377">
        <v>30</v>
      </c>
      <c r="H377">
        <v>1</v>
      </c>
      <c r="I377">
        <v>0</v>
      </c>
      <c r="J377">
        <v>82.1708</v>
      </c>
      <c r="K377" t="s">
        <v>19</v>
      </c>
      <c r="L377" t="s">
        <v>20</v>
      </c>
      <c r="M377" t="s">
        <v>40</v>
      </c>
      <c r="N377" t="b">
        <v>0</v>
      </c>
      <c r="O377" t="s">
        <v>21</v>
      </c>
      <c r="P377" t="s">
        <v>22</v>
      </c>
      <c r="Q377" t="s">
        <v>41</v>
      </c>
      <c r="R377" t="b">
        <v>0</v>
      </c>
    </row>
    <row r="378" spans="1:18" x14ac:dyDescent="0.3">
      <c r="A378">
        <v>1</v>
      </c>
      <c r="B378" t="s">
        <v>27</v>
      </c>
      <c r="C378">
        <v>3</v>
      </c>
      <c r="D378" t="s">
        <v>32</v>
      </c>
      <c r="E378" t="s">
        <v>18</v>
      </c>
      <c r="F378" t="s">
        <v>39</v>
      </c>
      <c r="G378">
        <v>22</v>
      </c>
      <c r="H378">
        <v>0</v>
      </c>
      <c r="I378">
        <v>0</v>
      </c>
      <c r="J378">
        <v>7.25</v>
      </c>
      <c r="K378" t="s">
        <v>14</v>
      </c>
      <c r="L378" t="s">
        <v>20</v>
      </c>
      <c r="M378" t="s">
        <v>40</v>
      </c>
      <c r="N378" t="b">
        <v>0</v>
      </c>
      <c r="O378" t="s">
        <v>16</v>
      </c>
      <c r="P378" t="s">
        <v>22</v>
      </c>
      <c r="Q378" t="s">
        <v>41</v>
      </c>
      <c r="R378" t="b">
        <v>1</v>
      </c>
    </row>
    <row r="379" spans="1:18" x14ac:dyDescent="0.3">
      <c r="A379">
        <v>0</v>
      </c>
      <c r="B379" t="s">
        <v>26</v>
      </c>
      <c r="C379">
        <v>1</v>
      </c>
      <c r="D379" t="s">
        <v>30</v>
      </c>
      <c r="E379" t="s">
        <v>13</v>
      </c>
      <c r="F379" t="s">
        <v>36</v>
      </c>
      <c r="G379">
        <v>27</v>
      </c>
      <c r="H379">
        <v>0</v>
      </c>
      <c r="I379">
        <v>2</v>
      </c>
      <c r="J379">
        <v>211.5</v>
      </c>
      <c r="K379" t="s">
        <v>19</v>
      </c>
      <c r="L379" t="s">
        <v>15</v>
      </c>
      <c r="M379" t="s">
        <v>37</v>
      </c>
      <c r="N379" t="b">
        <v>1</v>
      </c>
      <c r="O379" t="s">
        <v>21</v>
      </c>
      <c r="P379" t="s">
        <v>17</v>
      </c>
      <c r="Q379" t="s">
        <v>38</v>
      </c>
      <c r="R379" t="b">
        <v>0</v>
      </c>
    </row>
    <row r="380" spans="1:18" x14ac:dyDescent="0.3">
      <c r="A380">
        <v>0</v>
      </c>
      <c r="B380" t="s">
        <v>26</v>
      </c>
      <c r="C380">
        <v>3</v>
      </c>
      <c r="D380" t="s">
        <v>32</v>
      </c>
      <c r="E380" t="s">
        <v>13</v>
      </c>
      <c r="F380" t="s">
        <v>36</v>
      </c>
      <c r="G380">
        <v>20</v>
      </c>
      <c r="H380">
        <v>0</v>
      </c>
      <c r="I380">
        <v>0</v>
      </c>
      <c r="J380">
        <v>4.0125000000000002</v>
      </c>
      <c r="K380" t="s">
        <v>14</v>
      </c>
      <c r="L380" t="s">
        <v>15</v>
      </c>
      <c r="M380" t="s">
        <v>37</v>
      </c>
      <c r="N380" t="b">
        <v>1</v>
      </c>
      <c r="O380" t="s">
        <v>21</v>
      </c>
      <c r="P380" t="s">
        <v>17</v>
      </c>
      <c r="Q380" t="s">
        <v>38</v>
      </c>
      <c r="R380" t="b">
        <v>1</v>
      </c>
    </row>
    <row r="381" spans="1:18" x14ac:dyDescent="0.3">
      <c r="A381">
        <v>0</v>
      </c>
      <c r="B381" t="s">
        <v>26</v>
      </c>
      <c r="C381">
        <v>3</v>
      </c>
      <c r="D381" t="s">
        <v>32</v>
      </c>
      <c r="E381" t="s">
        <v>13</v>
      </c>
      <c r="F381" t="s">
        <v>36</v>
      </c>
      <c r="G381">
        <v>19</v>
      </c>
      <c r="H381">
        <v>0</v>
      </c>
      <c r="I381">
        <v>0</v>
      </c>
      <c r="J381">
        <v>7.7750000000000004</v>
      </c>
      <c r="K381" t="s">
        <v>14</v>
      </c>
      <c r="L381" t="s">
        <v>15</v>
      </c>
      <c r="M381" t="s">
        <v>37</v>
      </c>
      <c r="N381" t="b">
        <v>1</v>
      </c>
      <c r="O381" t="s">
        <v>16</v>
      </c>
      <c r="P381" t="s">
        <v>17</v>
      </c>
      <c r="Q381" t="s">
        <v>38</v>
      </c>
      <c r="R381" t="b">
        <v>1</v>
      </c>
    </row>
    <row r="382" spans="1:18" x14ac:dyDescent="0.3">
      <c r="A382">
        <v>1</v>
      </c>
      <c r="B382" t="s">
        <v>27</v>
      </c>
      <c r="C382">
        <v>1</v>
      </c>
      <c r="D382" t="s">
        <v>30</v>
      </c>
      <c r="E382" t="s">
        <v>18</v>
      </c>
      <c r="F382" t="s">
        <v>39</v>
      </c>
      <c r="G382">
        <v>42</v>
      </c>
      <c r="H382">
        <v>0</v>
      </c>
      <c r="I382">
        <v>0</v>
      </c>
      <c r="J382">
        <v>227.52500000000001</v>
      </c>
      <c r="K382" t="s">
        <v>19</v>
      </c>
      <c r="L382" t="s">
        <v>20</v>
      </c>
      <c r="M382" t="s">
        <v>40</v>
      </c>
      <c r="N382" t="b">
        <v>0</v>
      </c>
      <c r="O382" t="s">
        <v>21</v>
      </c>
      <c r="P382" t="s">
        <v>22</v>
      </c>
      <c r="Q382" t="s">
        <v>41</v>
      </c>
      <c r="R382" t="b">
        <v>1</v>
      </c>
    </row>
    <row r="383" spans="1:18" x14ac:dyDescent="0.3">
      <c r="A383">
        <v>1</v>
      </c>
      <c r="B383" t="s">
        <v>27</v>
      </c>
      <c r="C383">
        <v>3</v>
      </c>
      <c r="D383" t="s">
        <v>32</v>
      </c>
      <c r="E383" t="s">
        <v>18</v>
      </c>
      <c r="F383" t="s">
        <v>39</v>
      </c>
      <c r="G383">
        <v>1</v>
      </c>
      <c r="H383">
        <v>0</v>
      </c>
      <c r="I383">
        <v>2</v>
      </c>
      <c r="J383">
        <v>15.7417</v>
      </c>
      <c r="K383" t="s">
        <v>14</v>
      </c>
      <c r="L383" t="s">
        <v>24</v>
      </c>
      <c r="M383" t="s">
        <v>42</v>
      </c>
      <c r="N383" t="b">
        <v>0</v>
      </c>
      <c r="O383" t="s">
        <v>21</v>
      </c>
      <c r="P383" t="s">
        <v>22</v>
      </c>
      <c r="Q383" t="s">
        <v>41</v>
      </c>
      <c r="R383" t="b">
        <v>0</v>
      </c>
    </row>
    <row r="384" spans="1:18" x14ac:dyDescent="0.3">
      <c r="A384">
        <v>0</v>
      </c>
      <c r="B384" t="s">
        <v>26</v>
      </c>
      <c r="C384">
        <v>3</v>
      </c>
      <c r="D384" t="s">
        <v>32</v>
      </c>
      <c r="E384" t="s">
        <v>13</v>
      </c>
      <c r="F384" t="s">
        <v>36</v>
      </c>
      <c r="G384">
        <v>32</v>
      </c>
      <c r="H384">
        <v>0</v>
      </c>
      <c r="I384">
        <v>0</v>
      </c>
      <c r="J384">
        <v>7.9249999999999998</v>
      </c>
      <c r="K384" t="s">
        <v>14</v>
      </c>
      <c r="L384" t="s">
        <v>15</v>
      </c>
      <c r="M384" t="s">
        <v>37</v>
      </c>
      <c r="N384" t="b">
        <v>1</v>
      </c>
      <c r="O384" t="s">
        <v>16</v>
      </c>
      <c r="P384" t="s">
        <v>17</v>
      </c>
      <c r="Q384" t="s">
        <v>38</v>
      </c>
      <c r="R384" t="b">
        <v>1</v>
      </c>
    </row>
    <row r="385" spans="1:18" x14ac:dyDescent="0.3">
      <c r="A385">
        <v>1</v>
      </c>
      <c r="B385" t="s">
        <v>27</v>
      </c>
      <c r="C385">
        <v>1</v>
      </c>
      <c r="D385" t="s">
        <v>30</v>
      </c>
      <c r="E385" t="s">
        <v>18</v>
      </c>
      <c r="F385" t="s">
        <v>39</v>
      </c>
      <c r="G385">
        <v>35</v>
      </c>
      <c r="H385">
        <v>1</v>
      </c>
      <c r="I385">
        <v>0</v>
      </c>
      <c r="J385">
        <v>52</v>
      </c>
      <c r="K385" t="s">
        <v>19</v>
      </c>
      <c r="L385" t="s">
        <v>20</v>
      </c>
      <c r="M385" t="s">
        <v>40</v>
      </c>
      <c r="N385" t="b">
        <v>0</v>
      </c>
      <c r="O385" t="s">
        <v>16</v>
      </c>
      <c r="P385" t="s">
        <v>22</v>
      </c>
      <c r="Q385" t="s">
        <v>41</v>
      </c>
      <c r="R385" t="b">
        <v>0</v>
      </c>
    </row>
    <row r="386" spans="1:18" x14ac:dyDescent="0.3">
      <c r="A386">
        <v>0</v>
      </c>
      <c r="B386" t="s">
        <v>26</v>
      </c>
      <c r="C386">
        <v>3</v>
      </c>
      <c r="D386" t="s">
        <v>32</v>
      </c>
      <c r="E386" t="s">
        <v>13</v>
      </c>
      <c r="F386" t="s">
        <v>36</v>
      </c>
      <c r="G386">
        <v>30</v>
      </c>
      <c r="H386">
        <v>0</v>
      </c>
      <c r="I386">
        <v>0</v>
      </c>
      <c r="J386">
        <v>7.8958000000000004</v>
      </c>
      <c r="K386" t="s">
        <v>14</v>
      </c>
      <c r="L386" t="s">
        <v>15</v>
      </c>
      <c r="M386" t="s">
        <v>37</v>
      </c>
      <c r="N386" t="b">
        <v>1</v>
      </c>
      <c r="O386" t="s">
        <v>16</v>
      </c>
      <c r="P386" t="s">
        <v>17</v>
      </c>
      <c r="Q386" t="s">
        <v>38</v>
      </c>
      <c r="R386" t="b">
        <v>1</v>
      </c>
    </row>
    <row r="387" spans="1:18" x14ac:dyDescent="0.3">
      <c r="A387">
        <v>0</v>
      </c>
      <c r="B387" t="s">
        <v>26</v>
      </c>
      <c r="C387">
        <v>2</v>
      </c>
      <c r="D387" t="s">
        <v>31</v>
      </c>
      <c r="E387" t="s">
        <v>13</v>
      </c>
      <c r="F387" t="s">
        <v>36</v>
      </c>
      <c r="G387">
        <v>18</v>
      </c>
      <c r="H387">
        <v>0</v>
      </c>
      <c r="I387">
        <v>0</v>
      </c>
      <c r="J387">
        <v>73.5</v>
      </c>
      <c r="K387" t="s">
        <v>25</v>
      </c>
      <c r="L387" t="s">
        <v>15</v>
      </c>
      <c r="M387" t="s">
        <v>37</v>
      </c>
      <c r="N387" t="b">
        <v>1</v>
      </c>
      <c r="O387" t="s">
        <v>16</v>
      </c>
      <c r="P387" t="s">
        <v>17</v>
      </c>
      <c r="Q387" t="s">
        <v>38</v>
      </c>
      <c r="R387" t="b">
        <v>1</v>
      </c>
    </row>
    <row r="388" spans="1:18" x14ac:dyDescent="0.3">
      <c r="A388">
        <v>0</v>
      </c>
      <c r="B388" t="s">
        <v>26</v>
      </c>
      <c r="C388">
        <v>3</v>
      </c>
      <c r="D388" t="s">
        <v>32</v>
      </c>
      <c r="E388" t="s">
        <v>13</v>
      </c>
      <c r="F388" t="s">
        <v>36</v>
      </c>
      <c r="G388">
        <v>1</v>
      </c>
      <c r="H388">
        <v>5</v>
      </c>
      <c r="I388">
        <v>2</v>
      </c>
      <c r="J388">
        <v>46.9</v>
      </c>
      <c r="K388" t="s">
        <v>14</v>
      </c>
      <c r="L388" t="s">
        <v>24</v>
      </c>
      <c r="M388" t="s">
        <v>42</v>
      </c>
      <c r="N388" t="b">
        <v>0</v>
      </c>
      <c r="O388" t="s">
        <v>16</v>
      </c>
      <c r="P388" t="s">
        <v>17</v>
      </c>
      <c r="Q388" t="s">
        <v>38</v>
      </c>
      <c r="R388" t="b">
        <v>0</v>
      </c>
    </row>
    <row r="389" spans="1:18" x14ac:dyDescent="0.3">
      <c r="A389">
        <v>1</v>
      </c>
      <c r="B389" t="s">
        <v>27</v>
      </c>
      <c r="C389">
        <v>2</v>
      </c>
      <c r="D389" t="s">
        <v>31</v>
      </c>
      <c r="E389" t="s">
        <v>18</v>
      </c>
      <c r="F389" t="s">
        <v>39</v>
      </c>
      <c r="G389">
        <v>36</v>
      </c>
      <c r="H389">
        <v>0</v>
      </c>
      <c r="I389">
        <v>0</v>
      </c>
      <c r="J389">
        <v>13</v>
      </c>
      <c r="K389" t="s">
        <v>25</v>
      </c>
      <c r="L389" t="s">
        <v>20</v>
      </c>
      <c r="M389" t="s">
        <v>40</v>
      </c>
      <c r="N389" t="b">
        <v>0</v>
      </c>
      <c r="O389" t="s">
        <v>16</v>
      </c>
      <c r="P389" t="s">
        <v>22</v>
      </c>
      <c r="Q389" t="s">
        <v>41</v>
      </c>
      <c r="R389" t="b">
        <v>1</v>
      </c>
    </row>
    <row r="390" spans="1:18" x14ac:dyDescent="0.3">
      <c r="A390">
        <v>0</v>
      </c>
      <c r="B390" t="s">
        <v>26</v>
      </c>
      <c r="C390">
        <v>3</v>
      </c>
      <c r="D390" t="s">
        <v>32</v>
      </c>
      <c r="E390" t="s">
        <v>13</v>
      </c>
      <c r="F390" t="s">
        <v>36</v>
      </c>
      <c r="G390">
        <v>30</v>
      </c>
      <c r="H390">
        <v>0</v>
      </c>
      <c r="I390">
        <v>0</v>
      </c>
      <c r="J390">
        <v>7.7291999999999996</v>
      </c>
      <c r="K390" t="s">
        <v>14</v>
      </c>
      <c r="L390" t="s">
        <v>15</v>
      </c>
      <c r="M390" t="s">
        <v>37</v>
      </c>
      <c r="N390" t="b">
        <v>1</v>
      </c>
      <c r="O390" t="s">
        <v>23</v>
      </c>
      <c r="P390" t="s">
        <v>17</v>
      </c>
      <c r="Q390" t="s">
        <v>38</v>
      </c>
      <c r="R390" t="b">
        <v>1</v>
      </c>
    </row>
    <row r="391" spans="1:18" x14ac:dyDescent="0.3">
      <c r="A391">
        <v>1</v>
      </c>
      <c r="B391" t="s">
        <v>27</v>
      </c>
      <c r="C391">
        <v>2</v>
      </c>
      <c r="D391" t="s">
        <v>31</v>
      </c>
      <c r="E391" t="s">
        <v>18</v>
      </c>
      <c r="F391" t="s">
        <v>39</v>
      </c>
      <c r="G391">
        <v>17</v>
      </c>
      <c r="H391">
        <v>0</v>
      </c>
      <c r="I391">
        <v>0</v>
      </c>
      <c r="J391">
        <v>12</v>
      </c>
      <c r="K391" t="s">
        <v>25</v>
      </c>
      <c r="L391" t="s">
        <v>20</v>
      </c>
      <c r="M391" t="s">
        <v>40</v>
      </c>
      <c r="N391" t="b">
        <v>0</v>
      </c>
      <c r="O391" t="s">
        <v>21</v>
      </c>
      <c r="P391" t="s">
        <v>22</v>
      </c>
      <c r="Q391" t="s">
        <v>41</v>
      </c>
      <c r="R391" t="b">
        <v>1</v>
      </c>
    </row>
    <row r="392" spans="1:18" x14ac:dyDescent="0.3">
      <c r="A392">
        <v>1</v>
      </c>
      <c r="B392" t="s">
        <v>27</v>
      </c>
      <c r="C392">
        <v>1</v>
      </c>
      <c r="D392" t="s">
        <v>30</v>
      </c>
      <c r="E392" t="s">
        <v>13</v>
      </c>
      <c r="F392" t="s">
        <v>36</v>
      </c>
      <c r="G392">
        <v>36</v>
      </c>
      <c r="H392">
        <v>1</v>
      </c>
      <c r="I392">
        <v>2</v>
      </c>
      <c r="J392">
        <v>120</v>
      </c>
      <c r="K392" t="s">
        <v>19</v>
      </c>
      <c r="L392" t="s">
        <v>15</v>
      </c>
      <c r="M392" t="s">
        <v>37</v>
      </c>
      <c r="N392" t="b">
        <v>1</v>
      </c>
      <c r="O392" t="s">
        <v>16</v>
      </c>
      <c r="P392" t="s">
        <v>22</v>
      </c>
      <c r="Q392" t="s">
        <v>41</v>
      </c>
      <c r="R392" t="b">
        <v>0</v>
      </c>
    </row>
    <row r="393" spans="1:18" x14ac:dyDescent="0.3">
      <c r="A393">
        <v>1</v>
      </c>
      <c r="B393" t="s">
        <v>27</v>
      </c>
      <c r="C393">
        <v>3</v>
      </c>
      <c r="D393" t="s">
        <v>32</v>
      </c>
      <c r="E393" t="s">
        <v>13</v>
      </c>
      <c r="F393" t="s">
        <v>36</v>
      </c>
      <c r="G393">
        <v>21</v>
      </c>
      <c r="H393">
        <v>0</v>
      </c>
      <c r="I393">
        <v>0</v>
      </c>
      <c r="J393">
        <v>7.7957999999999998</v>
      </c>
      <c r="K393" t="s">
        <v>14</v>
      </c>
      <c r="L393" t="s">
        <v>15</v>
      </c>
      <c r="M393" t="s">
        <v>37</v>
      </c>
      <c r="N393" t="b">
        <v>1</v>
      </c>
      <c r="O393" t="s">
        <v>16</v>
      </c>
      <c r="P393" t="s">
        <v>22</v>
      </c>
      <c r="Q393" t="s">
        <v>41</v>
      </c>
      <c r="R393" t="b">
        <v>1</v>
      </c>
    </row>
    <row r="394" spans="1:18" x14ac:dyDescent="0.3">
      <c r="A394">
        <v>0</v>
      </c>
      <c r="B394" t="s">
        <v>26</v>
      </c>
      <c r="C394">
        <v>3</v>
      </c>
      <c r="D394" t="s">
        <v>32</v>
      </c>
      <c r="E394" t="s">
        <v>13</v>
      </c>
      <c r="F394" t="s">
        <v>36</v>
      </c>
      <c r="G394">
        <v>28</v>
      </c>
      <c r="H394">
        <v>2</v>
      </c>
      <c r="I394">
        <v>0</v>
      </c>
      <c r="J394">
        <v>7.9249999999999998</v>
      </c>
      <c r="K394" t="s">
        <v>14</v>
      </c>
      <c r="L394" t="s">
        <v>15</v>
      </c>
      <c r="M394" t="s">
        <v>37</v>
      </c>
      <c r="N394" t="b">
        <v>1</v>
      </c>
      <c r="O394" t="s">
        <v>16</v>
      </c>
      <c r="P394" t="s">
        <v>17</v>
      </c>
      <c r="Q394" t="s">
        <v>38</v>
      </c>
      <c r="R394" t="b">
        <v>0</v>
      </c>
    </row>
    <row r="395" spans="1:18" x14ac:dyDescent="0.3">
      <c r="A395">
        <v>1</v>
      </c>
      <c r="B395" t="s">
        <v>27</v>
      </c>
      <c r="C395">
        <v>1</v>
      </c>
      <c r="D395" t="s">
        <v>30</v>
      </c>
      <c r="E395" t="s">
        <v>18</v>
      </c>
      <c r="F395" t="s">
        <v>39</v>
      </c>
      <c r="G395">
        <v>23</v>
      </c>
      <c r="H395">
        <v>1</v>
      </c>
      <c r="I395">
        <v>0</v>
      </c>
      <c r="J395">
        <v>113.27500000000001</v>
      </c>
      <c r="K395" t="s">
        <v>19</v>
      </c>
      <c r="L395" t="s">
        <v>20</v>
      </c>
      <c r="M395" t="s">
        <v>40</v>
      </c>
      <c r="N395" t="b">
        <v>0</v>
      </c>
      <c r="O395" t="s">
        <v>21</v>
      </c>
      <c r="P395" t="s">
        <v>22</v>
      </c>
      <c r="Q395" t="s">
        <v>41</v>
      </c>
      <c r="R395" t="b">
        <v>0</v>
      </c>
    </row>
    <row r="396" spans="1:18" x14ac:dyDescent="0.3">
      <c r="A396">
        <v>1</v>
      </c>
      <c r="B396" t="s">
        <v>27</v>
      </c>
      <c r="C396">
        <v>3</v>
      </c>
      <c r="D396" t="s">
        <v>32</v>
      </c>
      <c r="E396" t="s">
        <v>18</v>
      </c>
      <c r="F396" t="s">
        <v>39</v>
      </c>
      <c r="G396">
        <v>24</v>
      </c>
      <c r="H396">
        <v>0</v>
      </c>
      <c r="I396">
        <v>2</v>
      </c>
      <c r="J396">
        <v>16.7</v>
      </c>
      <c r="K396" t="s">
        <v>14</v>
      </c>
      <c r="L396" t="s">
        <v>20</v>
      </c>
      <c r="M396" t="s">
        <v>40</v>
      </c>
      <c r="N396" t="b">
        <v>0</v>
      </c>
      <c r="O396" t="s">
        <v>16</v>
      </c>
      <c r="P396" t="s">
        <v>22</v>
      </c>
      <c r="Q396" t="s">
        <v>41</v>
      </c>
      <c r="R396" t="b">
        <v>0</v>
      </c>
    </row>
    <row r="397" spans="1:18" x14ac:dyDescent="0.3">
      <c r="A397">
        <v>0</v>
      </c>
      <c r="B397" t="s">
        <v>26</v>
      </c>
      <c r="C397">
        <v>3</v>
      </c>
      <c r="D397" t="s">
        <v>32</v>
      </c>
      <c r="E397" t="s">
        <v>13</v>
      </c>
      <c r="F397" t="s">
        <v>36</v>
      </c>
      <c r="G397">
        <v>22</v>
      </c>
      <c r="H397">
        <v>0</v>
      </c>
      <c r="I397">
        <v>0</v>
      </c>
      <c r="J397">
        <v>7.7957999999999998</v>
      </c>
      <c r="K397" t="s">
        <v>14</v>
      </c>
      <c r="L397" t="s">
        <v>15</v>
      </c>
      <c r="M397" t="s">
        <v>37</v>
      </c>
      <c r="N397" t="b">
        <v>1</v>
      </c>
      <c r="O397" t="s">
        <v>16</v>
      </c>
      <c r="P397" t="s">
        <v>17</v>
      </c>
      <c r="Q397" t="s">
        <v>38</v>
      </c>
      <c r="R397" t="b">
        <v>1</v>
      </c>
    </row>
    <row r="398" spans="1:18" x14ac:dyDescent="0.3">
      <c r="A398">
        <v>0</v>
      </c>
      <c r="B398" t="s">
        <v>26</v>
      </c>
      <c r="C398">
        <v>3</v>
      </c>
      <c r="D398" t="s">
        <v>32</v>
      </c>
      <c r="E398" t="s">
        <v>18</v>
      </c>
      <c r="F398" t="s">
        <v>39</v>
      </c>
      <c r="G398">
        <v>31</v>
      </c>
      <c r="H398">
        <v>0</v>
      </c>
      <c r="I398">
        <v>0</v>
      </c>
      <c r="J398">
        <v>7.8541999999999996</v>
      </c>
      <c r="K398" t="s">
        <v>14</v>
      </c>
      <c r="L398" t="s">
        <v>20</v>
      </c>
      <c r="M398" t="s">
        <v>40</v>
      </c>
      <c r="N398" t="b">
        <v>0</v>
      </c>
      <c r="O398" t="s">
        <v>16</v>
      </c>
      <c r="P398" t="s">
        <v>17</v>
      </c>
      <c r="Q398" t="s">
        <v>38</v>
      </c>
      <c r="R398" t="b">
        <v>1</v>
      </c>
    </row>
    <row r="399" spans="1:18" x14ac:dyDescent="0.3">
      <c r="A399">
        <v>0</v>
      </c>
      <c r="B399" t="s">
        <v>26</v>
      </c>
      <c r="C399">
        <v>2</v>
      </c>
      <c r="D399" t="s">
        <v>31</v>
      </c>
      <c r="E399" t="s">
        <v>13</v>
      </c>
      <c r="F399" t="s">
        <v>36</v>
      </c>
      <c r="G399">
        <v>46</v>
      </c>
      <c r="H399">
        <v>0</v>
      </c>
      <c r="I399">
        <v>0</v>
      </c>
      <c r="J399">
        <v>26</v>
      </c>
      <c r="K399" t="s">
        <v>25</v>
      </c>
      <c r="L399" t="s">
        <v>15</v>
      </c>
      <c r="M399" t="s">
        <v>37</v>
      </c>
      <c r="N399" t="b">
        <v>1</v>
      </c>
      <c r="O399" t="s">
        <v>16</v>
      </c>
      <c r="P399" t="s">
        <v>17</v>
      </c>
      <c r="Q399" t="s">
        <v>38</v>
      </c>
      <c r="R399" t="b">
        <v>1</v>
      </c>
    </row>
    <row r="400" spans="1:18" x14ac:dyDescent="0.3">
      <c r="A400">
        <v>0</v>
      </c>
      <c r="B400" t="s">
        <v>26</v>
      </c>
      <c r="C400">
        <v>2</v>
      </c>
      <c r="D400" t="s">
        <v>31</v>
      </c>
      <c r="E400" t="s">
        <v>13</v>
      </c>
      <c r="F400" t="s">
        <v>36</v>
      </c>
      <c r="G400">
        <v>23</v>
      </c>
      <c r="H400">
        <v>0</v>
      </c>
      <c r="I400">
        <v>0</v>
      </c>
      <c r="J400">
        <v>10.5</v>
      </c>
      <c r="K400" t="s">
        <v>25</v>
      </c>
      <c r="L400" t="s">
        <v>15</v>
      </c>
      <c r="M400" t="s">
        <v>37</v>
      </c>
      <c r="N400" t="b">
        <v>1</v>
      </c>
      <c r="O400" t="s">
        <v>16</v>
      </c>
      <c r="P400" t="s">
        <v>17</v>
      </c>
      <c r="Q400" t="s">
        <v>38</v>
      </c>
      <c r="R400" t="b">
        <v>1</v>
      </c>
    </row>
    <row r="401" spans="1:18" x14ac:dyDescent="0.3">
      <c r="A401">
        <v>1</v>
      </c>
      <c r="B401" t="s">
        <v>27</v>
      </c>
      <c r="C401">
        <v>2</v>
      </c>
      <c r="D401" t="s">
        <v>31</v>
      </c>
      <c r="E401" t="s">
        <v>18</v>
      </c>
      <c r="F401" t="s">
        <v>39</v>
      </c>
      <c r="G401">
        <v>28</v>
      </c>
      <c r="H401">
        <v>0</v>
      </c>
      <c r="I401">
        <v>0</v>
      </c>
      <c r="J401">
        <v>12.65</v>
      </c>
      <c r="K401" t="s">
        <v>25</v>
      </c>
      <c r="L401" t="s">
        <v>20</v>
      </c>
      <c r="M401" t="s">
        <v>40</v>
      </c>
      <c r="N401" t="b">
        <v>0</v>
      </c>
      <c r="O401" t="s">
        <v>16</v>
      </c>
      <c r="P401" t="s">
        <v>22</v>
      </c>
      <c r="Q401" t="s">
        <v>41</v>
      </c>
      <c r="R401" t="b">
        <v>1</v>
      </c>
    </row>
    <row r="402" spans="1:18" x14ac:dyDescent="0.3">
      <c r="A402">
        <v>1</v>
      </c>
      <c r="B402" t="s">
        <v>27</v>
      </c>
      <c r="C402">
        <v>3</v>
      </c>
      <c r="D402" t="s">
        <v>32</v>
      </c>
      <c r="E402" t="s">
        <v>13</v>
      </c>
      <c r="F402" t="s">
        <v>36</v>
      </c>
      <c r="G402">
        <v>39</v>
      </c>
      <c r="H402">
        <v>0</v>
      </c>
      <c r="I402">
        <v>0</v>
      </c>
      <c r="J402">
        <v>7.9249999999999998</v>
      </c>
      <c r="K402" t="s">
        <v>14</v>
      </c>
      <c r="L402" t="s">
        <v>15</v>
      </c>
      <c r="M402" t="s">
        <v>37</v>
      </c>
      <c r="N402" t="b">
        <v>1</v>
      </c>
      <c r="O402" t="s">
        <v>16</v>
      </c>
      <c r="P402" t="s">
        <v>22</v>
      </c>
      <c r="Q402" t="s">
        <v>41</v>
      </c>
      <c r="R402" t="b">
        <v>1</v>
      </c>
    </row>
    <row r="403" spans="1:18" x14ac:dyDescent="0.3">
      <c r="A403">
        <v>0</v>
      </c>
      <c r="B403" t="s">
        <v>26</v>
      </c>
      <c r="C403">
        <v>3</v>
      </c>
      <c r="D403" t="s">
        <v>32</v>
      </c>
      <c r="E403" t="s">
        <v>13</v>
      </c>
      <c r="F403" t="s">
        <v>36</v>
      </c>
      <c r="G403">
        <v>26</v>
      </c>
      <c r="H403">
        <v>0</v>
      </c>
      <c r="I403">
        <v>0</v>
      </c>
      <c r="J403">
        <v>8.0500000000000007</v>
      </c>
      <c r="K403" t="s">
        <v>14</v>
      </c>
      <c r="L403" t="s">
        <v>15</v>
      </c>
      <c r="M403" t="s">
        <v>37</v>
      </c>
      <c r="N403" t="b">
        <v>1</v>
      </c>
      <c r="O403" t="s">
        <v>16</v>
      </c>
      <c r="P403" t="s">
        <v>17</v>
      </c>
      <c r="Q403" t="s">
        <v>38</v>
      </c>
      <c r="R403" t="b">
        <v>1</v>
      </c>
    </row>
    <row r="404" spans="1:18" x14ac:dyDescent="0.3">
      <c r="A404">
        <v>0</v>
      </c>
      <c r="B404" t="s">
        <v>26</v>
      </c>
      <c r="C404">
        <v>3</v>
      </c>
      <c r="D404" t="s">
        <v>32</v>
      </c>
      <c r="E404" t="s">
        <v>18</v>
      </c>
      <c r="F404" t="s">
        <v>39</v>
      </c>
      <c r="G404">
        <v>21</v>
      </c>
      <c r="H404">
        <v>1</v>
      </c>
      <c r="I404">
        <v>0</v>
      </c>
      <c r="J404">
        <v>9.8249999999999993</v>
      </c>
      <c r="K404" t="s">
        <v>14</v>
      </c>
      <c r="L404" t="s">
        <v>20</v>
      </c>
      <c r="M404" t="s">
        <v>40</v>
      </c>
      <c r="N404" t="b">
        <v>0</v>
      </c>
      <c r="O404" t="s">
        <v>16</v>
      </c>
      <c r="P404" t="s">
        <v>17</v>
      </c>
      <c r="Q404" t="s">
        <v>38</v>
      </c>
      <c r="R404" t="b">
        <v>0</v>
      </c>
    </row>
    <row r="405" spans="1:18" x14ac:dyDescent="0.3">
      <c r="A405">
        <v>0</v>
      </c>
      <c r="B405" t="s">
        <v>26</v>
      </c>
      <c r="C405">
        <v>3</v>
      </c>
      <c r="D405" t="s">
        <v>32</v>
      </c>
      <c r="E405" t="s">
        <v>13</v>
      </c>
      <c r="F405" t="s">
        <v>36</v>
      </c>
      <c r="G405">
        <v>28</v>
      </c>
      <c r="H405">
        <v>1</v>
      </c>
      <c r="I405">
        <v>0</v>
      </c>
      <c r="J405">
        <v>15.85</v>
      </c>
      <c r="K405" t="s">
        <v>14</v>
      </c>
      <c r="L405" t="s">
        <v>15</v>
      </c>
      <c r="M405" t="s">
        <v>37</v>
      </c>
      <c r="N405" t="b">
        <v>1</v>
      </c>
      <c r="O405" t="s">
        <v>16</v>
      </c>
      <c r="P405" t="s">
        <v>17</v>
      </c>
      <c r="Q405" t="s">
        <v>38</v>
      </c>
      <c r="R405" t="b">
        <v>0</v>
      </c>
    </row>
    <row r="406" spans="1:18" x14ac:dyDescent="0.3">
      <c r="A406">
        <v>0</v>
      </c>
      <c r="B406" t="s">
        <v>26</v>
      </c>
      <c r="C406">
        <v>3</v>
      </c>
      <c r="D406" t="s">
        <v>32</v>
      </c>
      <c r="E406" t="s">
        <v>18</v>
      </c>
      <c r="F406" t="s">
        <v>39</v>
      </c>
      <c r="G406">
        <v>20</v>
      </c>
      <c r="H406">
        <v>0</v>
      </c>
      <c r="I406">
        <v>0</v>
      </c>
      <c r="J406">
        <v>8.6624999999999996</v>
      </c>
      <c r="K406" t="s">
        <v>14</v>
      </c>
      <c r="L406" t="s">
        <v>20</v>
      </c>
      <c r="M406" t="s">
        <v>40</v>
      </c>
      <c r="N406" t="b">
        <v>0</v>
      </c>
      <c r="O406" t="s">
        <v>16</v>
      </c>
      <c r="P406" t="s">
        <v>17</v>
      </c>
      <c r="Q406" t="s">
        <v>38</v>
      </c>
      <c r="R406" t="b">
        <v>1</v>
      </c>
    </row>
    <row r="407" spans="1:18" x14ac:dyDescent="0.3">
      <c r="A407">
        <v>0</v>
      </c>
      <c r="B407" t="s">
        <v>26</v>
      </c>
      <c r="C407">
        <v>2</v>
      </c>
      <c r="D407" t="s">
        <v>31</v>
      </c>
      <c r="E407" t="s">
        <v>13</v>
      </c>
      <c r="F407" t="s">
        <v>36</v>
      </c>
      <c r="G407">
        <v>34</v>
      </c>
      <c r="H407">
        <v>1</v>
      </c>
      <c r="I407">
        <v>0</v>
      </c>
      <c r="J407">
        <v>21</v>
      </c>
      <c r="K407" t="s">
        <v>25</v>
      </c>
      <c r="L407" t="s">
        <v>15</v>
      </c>
      <c r="M407" t="s">
        <v>37</v>
      </c>
      <c r="N407" t="b">
        <v>1</v>
      </c>
      <c r="O407" t="s">
        <v>16</v>
      </c>
      <c r="P407" t="s">
        <v>17</v>
      </c>
      <c r="Q407" t="s">
        <v>38</v>
      </c>
      <c r="R407" t="b">
        <v>0</v>
      </c>
    </row>
    <row r="408" spans="1:18" x14ac:dyDescent="0.3">
      <c r="A408">
        <v>0</v>
      </c>
      <c r="B408" t="s">
        <v>26</v>
      </c>
      <c r="C408">
        <v>3</v>
      </c>
      <c r="D408" t="s">
        <v>32</v>
      </c>
      <c r="E408" t="s">
        <v>13</v>
      </c>
      <c r="F408" t="s">
        <v>36</v>
      </c>
      <c r="G408">
        <v>51</v>
      </c>
      <c r="H408">
        <v>0</v>
      </c>
      <c r="I408">
        <v>0</v>
      </c>
      <c r="J408">
        <v>7.75</v>
      </c>
      <c r="K408" t="s">
        <v>14</v>
      </c>
      <c r="L408" t="s">
        <v>15</v>
      </c>
      <c r="M408" t="s">
        <v>37</v>
      </c>
      <c r="N408" t="b">
        <v>1</v>
      </c>
      <c r="O408" t="s">
        <v>16</v>
      </c>
      <c r="P408" t="s">
        <v>17</v>
      </c>
      <c r="Q408" t="s">
        <v>38</v>
      </c>
      <c r="R408" t="b">
        <v>1</v>
      </c>
    </row>
    <row r="409" spans="1:18" x14ac:dyDescent="0.3">
      <c r="A409">
        <v>1</v>
      </c>
      <c r="B409" t="s">
        <v>27</v>
      </c>
      <c r="C409">
        <v>2</v>
      </c>
      <c r="D409" t="s">
        <v>31</v>
      </c>
      <c r="E409" t="s">
        <v>13</v>
      </c>
      <c r="F409" t="s">
        <v>36</v>
      </c>
      <c r="G409">
        <v>3</v>
      </c>
      <c r="H409">
        <v>1</v>
      </c>
      <c r="I409">
        <v>1</v>
      </c>
      <c r="J409">
        <v>18.75</v>
      </c>
      <c r="K409" t="s">
        <v>25</v>
      </c>
      <c r="L409" t="s">
        <v>24</v>
      </c>
      <c r="M409" t="s">
        <v>42</v>
      </c>
      <c r="N409" t="b">
        <v>0</v>
      </c>
      <c r="O409" t="s">
        <v>16</v>
      </c>
      <c r="P409" t="s">
        <v>22</v>
      </c>
      <c r="Q409" t="s">
        <v>41</v>
      </c>
      <c r="R409" t="b">
        <v>0</v>
      </c>
    </row>
    <row r="410" spans="1:18" x14ac:dyDescent="0.3">
      <c r="A410">
        <v>0</v>
      </c>
      <c r="B410" t="s">
        <v>26</v>
      </c>
      <c r="C410">
        <v>3</v>
      </c>
      <c r="D410" t="s">
        <v>32</v>
      </c>
      <c r="E410" t="s">
        <v>13</v>
      </c>
      <c r="F410" t="s">
        <v>36</v>
      </c>
      <c r="G410">
        <v>21</v>
      </c>
      <c r="H410">
        <v>0</v>
      </c>
      <c r="I410">
        <v>0</v>
      </c>
      <c r="J410">
        <v>7.7750000000000004</v>
      </c>
      <c r="K410" t="s">
        <v>14</v>
      </c>
      <c r="L410" t="s">
        <v>15</v>
      </c>
      <c r="M410" t="s">
        <v>37</v>
      </c>
      <c r="N410" t="b">
        <v>1</v>
      </c>
      <c r="O410" t="s">
        <v>16</v>
      </c>
      <c r="P410" t="s">
        <v>17</v>
      </c>
      <c r="Q410" t="s">
        <v>38</v>
      </c>
      <c r="R410" t="b">
        <v>1</v>
      </c>
    </row>
    <row r="411" spans="1:18" x14ac:dyDescent="0.3">
      <c r="A411">
        <v>0</v>
      </c>
      <c r="B411" t="s">
        <v>26</v>
      </c>
      <c r="C411">
        <v>3</v>
      </c>
      <c r="D411" t="s">
        <v>32</v>
      </c>
      <c r="E411" t="s">
        <v>18</v>
      </c>
      <c r="F411" t="s">
        <v>39</v>
      </c>
      <c r="G411">
        <v>30</v>
      </c>
      <c r="H411">
        <v>3</v>
      </c>
      <c r="I411">
        <v>1</v>
      </c>
      <c r="J411">
        <v>25.466699999999999</v>
      </c>
      <c r="K411" t="s">
        <v>14</v>
      </c>
      <c r="L411" t="s">
        <v>20</v>
      </c>
      <c r="M411" t="s">
        <v>40</v>
      </c>
      <c r="N411" t="b">
        <v>0</v>
      </c>
      <c r="O411" t="s">
        <v>16</v>
      </c>
      <c r="P411" t="s">
        <v>17</v>
      </c>
      <c r="Q411" t="s">
        <v>38</v>
      </c>
      <c r="R411" t="b">
        <v>0</v>
      </c>
    </row>
    <row r="412" spans="1:18" x14ac:dyDescent="0.3">
      <c r="A412">
        <v>0</v>
      </c>
      <c r="B412" t="s">
        <v>26</v>
      </c>
      <c r="C412">
        <v>3</v>
      </c>
      <c r="D412" t="s">
        <v>32</v>
      </c>
      <c r="E412" t="s">
        <v>13</v>
      </c>
      <c r="F412" t="s">
        <v>36</v>
      </c>
      <c r="G412">
        <v>30</v>
      </c>
      <c r="H412">
        <v>0</v>
      </c>
      <c r="I412">
        <v>0</v>
      </c>
      <c r="J412">
        <v>7.8958000000000004</v>
      </c>
      <c r="K412" t="s">
        <v>14</v>
      </c>
      <c r="L412" t="s">
        <v>15</v>
      </c>
      <c r="M412" t="s">
        <v>37</v>
      </c>
      <c r="N412" t="b">
        <v>1</v>
      </c>
      <c r="O412" t="s">
        <v>16</v>
      </c>
      <c r="P412" t="s">
        <v>17</v>
      </c>
      <c r="Q412" t="s">
        <v>38</v>
      </c>
      <c r="R412" t="b">
        <v>1</v>
      </c>
    </row>
    <row r="413" spans="1:18" x14ac:dyDescent="0.3">
      <c r="A413">
        <v>0</v>
      </c>
      <c r="B413" t="s">
        <v>26</v>
      </c>
      <c r="C413">
        <v>3</v>
      </c>
      <c r="D413" t="s">
        <v>32</v>
      </c>
      <c r="E413" t="s">
        <v>13</v>
      </c>
      <c r="F413" t="s">
        <v>36</v>
      </c>
      <c r="G413">
        <v>30</v>
      </c>
      <c r="H413">
        <v>0</v>
      </c>
      <c r="I413">
        <v>0</v>
      </c>
      <c r="J413">
        <v>6.8582999999999998</v>
      </c>
      <c r="K413" t="s">
        <v>14</v>
      </c>
      <c r="L413" t="s">
        <v>15</v>
      </c>
      <c r="M413" t="s">
        <v>37</v>
      </c>
      <c r="N413" t="b">
        <v>1</v>
      </c>
      <c r="O413" t="s">
        <v>23</v>
      </c>
      <c r="P413" t="s">
        <v>17</v>
      </c>
      <c r="Q413" t="s">
        <v>38</v>
      </c>
      <c r="R413" t="b">
        <v>1</v>
      </c>
    </row>
    <row r="414" spans="1:18" x14ac:dyDescent="0.3">
      <c r="A414">
        <v>1</v>
      </c>
      <c r="B414" t="s">
        <v>27</v>
      </c>
      <c r="C414">
        <v>1</v>
      </c>
      <c r="D414" t="s">
        <v>30</v>
      </c>
      <c r="E414" t="s">
        <v>18</v>
      </c>
      <c r="F414" t="s">
        <v>39</v>
      </c>
      <c r="G414">
        <v>33</v>
      </c>
      <c r="H414">
        <v>1</v>
      </c>
      <c r="I414">
        <v>0</v>
      </c>
      <c r="J414">
        <v>90</v>
      </c>
      <c r="K414" t="s">
        <v>19</v>
      </c>
      <c r="L414" t="s">
        <v>20</v>
      </c>
      <c r="M414" t="s">
        <v>40</v>
      </c>
      <c r="N414" t="b">
        <v>0</v>
      </c>
      <c r="O414" t="s">
        <v>23</v>
      </c>
      <c r="P414" t="s">
        <v>22</v>
      </c>
      <c r="Q414" t="s">
        <v>41</v>
      </c>
      <c r="R414" t="b">
        <v>0</v>
      </c>
    </row>
    <row r="415" spans="1:18" x14ac:dyDescent="0.3">
      <c r="A415">
        <v>0</v>
      </c>
      <c r="B415" t="s">
        <v>26</v>
      </c>
      <c r="C415">
        <v>2</v>
      </c>
      <c r="D415" t="s">
        <v>31</v>
      </c>
      <c r="E415" t="s">
        <v>13</v>
      </c>
      <c r="F415" t="s">
        <v>36</v>
      </c>
      <c r="G415">
        <v>30</v>
      </c>
      <c r="H415">
        <v>0</v>
      </c>
      <c r="I415">
        <v>0</v>
      </c>
      <c r="J415">
        <v>0</v>
      </c>
      <c r="K415" t="s">
        <v>25</v>
      </c>
      <c r="L415" t="s">
        <v>15</v>
      </c>
      <c r="M415" t="s">
        <v>37</v>
      </c>
      <c r="N415" t="b">
        <v>1</v>
      </c>
      <c r="O415" t="s">
        <v>16</v>
      </c>
      <c r="P415" t="s">
        <v>17</v>
      </c>
      <c r="Q415" t="s">
        <v>38</v>
      </c>
      <c r="R415" t="b">
        <v>1</v>
      </c>
    </row>
    <row r="416" spans="1:18" x14ac:dyDescent="0.3">
      <c r="A416">
        <v>1</v>
      </c>
      <c r="B416" t="s">
        <v>27</v>
      </c>
      <c r="C416">
        <v>3</v>
      </c>
      <c r="D416" t="s">
        <v>32</v>
      </c>
      <c r="E416" t="s">
        <v>13</v>
      </c>
      <c r="F416" t="s">
        <v>36</v>
      </c>
      <c r="G416">
        <v>44</v>
      </c>
      <c r="H416">
        <v>0</v>
      </c>
      <c r="I416">
        <v>0</v>
      </c>
      <c r="J416">
        <v>7.9249999999999998</v>
      </c>
      <c r="K416" t="s">
        <v>14</v>
      </c>
      <c r="L416" t="s">
        <v>15</v>
      </c>
      <c r="M416" t="s">
        <v>37</v>
      </c>
      <c r="N416" t="b">
        <v>1</v>
      </c>
      <c r="O416" t="s">
        <v>16</v>
      </c>
      <c r="P416" t="s">
        <v>22</v>
      </c>
      <c r="Q416" t="s">
        <v>41</v>
      </c>
      <c r="R416" t="b">
        <v>1</v>
      </c>
    </row>
    <row r="417" spans="1:18" x14ac:dyDescent="0.3">
      <c r="A417">
        <v>0</v>
      </c>
      <c r="B417" t="s">
        <v>26</v>
      </c>
      <c r="C417">
        <v>3</v>
      </c>
      <c r="D417" t="s">
        <v>32</v>
      </c>
      <c r="E417" t="s">
        <v>18</v>
      </c>
      <c r="F417" t="s">
        <v>39</v>
      </c>
      <c r="G417">
        <v>30</v>
      </c>
      <c r="H417">
        <v>0</v>
      </c>
      <c r="I417">
        <v>0</v>
      </c>
      <c r="J417">
        <v>8.0500000000000007</v>
      </c>
      <c r="K417" t="s">
        <v>14</v>
      </c>
      <c r="L417" t="s">
        <v>20</v>
      </c>
      <c r="M417" t="s">
        <v>40</v>
      </c>
      <c r="N417" t="b">
        <v>0</v>
      </c>
      <c r="O417" t="s">
        <v>16</v>
      </c>
      <c r="P417" t="s">
        <v>17</v>
      </c>
      <c r="Q417" t="s">
        <v>38</v>
      </c>
      <c r="R417" t="b">
        <v>1</v>
      </c>
    </row>
    <row r="418" spans="1:18" x14ac:dyDescent="0.3">
      <c r="A418">
        <v>1</v>
      </c>
      <c r="B418" t="s">
        <v>27</v>
      </c>
      <c r="C418">
        <v>2</v>
      </c>
      <c r="D418" t="s">
        <v>31</v>
      </c>
      <c r="E418" t="s">
        <v>18</v>
      </c>
      <c r="F418" t="s">
        <v>39</v>
      </c>
      <c r="G418">
        <v>34</v>
      </c>
      <c r="H418">
        <v>1</v>
      </c>
      <c r="I418">
        <v>1</v>
      </c>
      <c r="J418">
        <v>32.5</v>
      </c>
      <c r="K418" t="s">
        <v>25</v>
      </c>
      <c r="L418" t="s">
        <v>20</v>
      </c>
      <c r="M418" t="s">
        <v>40</v>
      </c>
      <c r="N418" t="b">
        <v>0</v>
      </c>
      <c r="O418" t="s">
        <v>16</v>
      </c>
      <c r="P418" t="s">
        <v>22</v>
      </c>
      <c r="Q418" t="s">
        <v>41</v>
      </c>
      <c r="R418" t="b">
        <v>0</v>
      </c>
    </row>
    <row r="419" spans="1:18" x14ac:dyDescent="0.3">
      <c r="A419">
        <v>1</v>
      </c>
      <c r="B419" t="s">
        <v>27</v>
      </c>
      <c r="C419">
        <v>2</v>
      </c>
      <c r="D419" t="s">
        <v>31</v>
      </c>
      <c r="E419" t="s">
        <v>18</v>
      </c>
      <c r="F419" t="s">
        <v>39</v>
      </c>
      <c r="G419">
        <v>18</v>
      </c>
      <c r="H419">
        <v>0</v>
      </c>
      <c r="I419">
        <v>2</v>
      </c>
      <c r="J419">
        <v>13</v>
      </c>
      <c r="K419" t="s">
        <v>25</v>
      </c>
      <c r="L419" t="s">
        <v>20</v>
      </c>
      <c r="M419" t="s">
        <v>40</v>
      </c>
      <c r="N419" t="b">
        <v>0</v>
      </c>
      <c r="O419" t="s">
        <v>16</v>
      </c>
      <c r="P419" t="s">
        <v>22</v>
      </c>
      <c r="Q419" t="s">
        <v>41</v>
      </c>
      <c r="R419" t="b">
        <v>0</v>
      </c>
    </row>
    <row r="420" spans="1:18" x14ac:dyDescent="0.3">
      <c r="A420">
        <v>0</v>
      </c>
      <c r="B420" t="s">
        <v>26</v>
      </c>
      <c r="C420">
        <v>2</v>
      </c>
      <c r="D420" t="s">
        <v>31</v>
      </c>
      <c r="E420" t="s">
        <v>13</v>
      </c>
      <c r="F420" t="s">
        <v>36</v>
      </c>
      <c r="G420">
        <v>30</v>
      </c>
      <c r="H420">
        <v>0</v>
      </c>
      <c r="I420">
        <v>0</v>
      </c>
      <c r="J420">
        <v>13</v>
      </c>
      <c r="K420" t="s">
        <v>25</v>
      </c>
      <c r="L420" t="s">
        <v>15</v>
      </c>
      <c r="M420" t="s">
        <v>37</v>
      </c>
      <c r="N420" t="b">
        <v>1</v>
      </c>
      <c r="O420" t="s">
        <v>16</v>
      </c>
      <c r="P420" t="s">
        <v>17</v>
      </c>
      <c r="Q420" t="s">
        <v>38</v>
      </c>
      <c r="R420" t="b">
        <v>1</v>
      </c>
    </row>
    <row r="421" spans="1:18" x14ac:dyDescent="0.3">
      <c r="A421">
        <v>0</v>
      </c>
      <c r="B421" t="s">
        <v>26</v>
      </c>
      <c r="C421">
        <v>3</v>
      </c>
      <c r="D421" t="s">
        <v>32</v>
      </c>
      <c r="E421" t="s">
        <v>18</v>
      </c>
      <c r="F421" t="s">
        <v>39</v>
      </c>
      <c r="G421">
        <v>10</v>
      </c>
      <c r="H421">
        <v>0</v>
      </c>
      <c r="I421">
        <v>2</v>
      </c>
      <c r="J421">
        <v>24.15</v>
      </c>
      <c r="K421" t="s">
        <v>14</v>
      </c>
      <c r="L421" t="s">
        <v>24</v>
      </c>
      <c r="M421" t="s">
        <v>42</v>
      </c>
      <c r="N421" t="b">
        <v>0</v>
      </c>
      <c r="O421" t="s">
        <v>16</v>
      </c>
      <c r="P421" t="s">
        <v>17</v>
      </c>
      <c r="Q421" t="s">
        <v>38</v>
      </c>
      <c r="R421" t="b">
        <v>0</v>
      </c>
    </row>
    <row r="422" spans="1:18" x14ac:dyDescent="0.3">
      <c r="A422">
        <v>0</v>
      </c>
      <c r="B422" t="s">
        <v>26</v>
      </c>
      <c r="C422">
        <v>3</v>
      </c>
      <c r="D422" t="s">
        <v>32</v>
      </c>
      <c r="E422" t="s">
        <v>13</v>
      </c>
      <c r="F422" t="s">
        <v>36</v>
      </c>
      <c r="G422">
        <v>30</v>
      </c>
      <c r="H422">
        <v>0</v>
      </c>
      <c r="I422">
        <v>0</v>
      </c>
      <c r="J422">
        <v>7.8958000000000004</v>
      </c>
      <c r="K422" t="s">
        <v>14</v>
      </c>
      <c r="L422" t="s">
        <v>15</v>
      </c>
      <c r="M422" t="s">
        <v>37</v>
      </c>
      <c r="N422" t="b">
        <v>1</v>
      </c>
      <c r="O422" t="s">
        <v>21</v>
      </c>
      <c r="P422" t="s">
        <v>17</v>
      </c>
      <c r="Q422" t="s">
        <v>38</v>
      </c>
      <c r="R422" t="b">
        <v>1</v>
      </c>
    </row>
    <row r="423" spans="1:18" x14ac:dyDescent="0.3">
      <c r="A423">
        <v>0</v>
      </c>
      <c r="B423" t="s">
        <v>26</v>
      </c>
      <c r="C423">
        <v>3</v>
      </c>
      <c r="D423" t="s">
        <v>32</v>
      </c>
      <c r="E423" t="s">
        <v>13</v>
      </c>
      <c r="F423" t="s">
        <v>36</v>
      </c>
      <c r="G423">
        <v>21</v>
      </c>
      <c r="H423">
        <v>0</v>
      </c>
      <c r="I423">
        <v>0</v>
      </c>
      <c r="J423">
        <v>7.7332999999999998</v>
      </c>
      <c r="K423" t="s">
        <v>14</v>
      </c>
      <c r="L423" t="s">
        <v>15</v>
      </c>
      <c r="M423" t="s">
        <v>37</v>
      </c>
      <c r="N423" t="b">
        <v>1</v>
      </c>
      <c r="O423" t="s">
        <v>23</v>
      </c>
      <c r="P423" t="s">
        <v>17</v>
      </c>
      <c r="Q423" t="s">
        <v>38</v>
      </c>
      <c r="R423" t="b">
        <v>1</v>
      </c>
    </row>
    <row r="424" spans="1:18" x14ac:dyDescent="0.3">
      <c r="A424">
        <v>0</v>
      </c>
      <c r="B424" t="s">
        <v>26</v>
      </c>
      <c r="C424">
        <v>3</v>
      </c>
      <c r="D424" t="s">
        <v>32</v>
      </c>
      <c r="E424" t="s">
        <v>13</v>
      </c>
      <c r="F424" t="s">
        <v>36</v>
      </c>
      <c r="G424">
        <v>29</v>
      </c>
      <c r="H424">
        <v>0</v>
      </c>
      <c r="I424">
        <v>0</v>
      </c>
      <c r="J424">
        <v>7.875</v>
      </c>
      <c r="K424" t="s">
        <v>14</v>
      </c>
      <c r="L424" t="s">
        <v>15</v>
      </c>
      <c r="M424" t="s">
        <v>37</v>
      </c>
      <c r="N424" t="b">
        <v>1</v>
      </c>
      <c r="O424" t="s">
        <v>16</v>
      </c>
      <c r="P424" t="s">
        <v>17</v>
      </c>
      <c r="Q424" t="s">
        <v>38</v>
      </c>
      <c r="R424" t="b">
        <v>1</v>
      </c>
    </row>
    <row r="425" spans="1:18" x14ac:dyDescent="0.3">
      <c r="A425">
        <v>0</v>
      </c>
      <c r="B425" t="s">
        <v>26</v>
      </c>
      <c r="C425">
        <v>3</v>
      </c>
      <c r="D425" t="s">
        <v>32</v>
      </c>
      <c r="E425" t="s">
        <v>18</v>
      </c>
      <c r="F425" t="s">
        <v>39</v>
      </c>
      <c r="G425">
        <v>28</v>
      </c>
      <c r="H425">
        <v>1</v>
      </c>
      <c r="I425">
        <v>1</v>
      </c>
      <c r="J425">
        <v>14.4</v>
      </c>
      <c r="K425" t="s">
        <v>14</v>
      </c>
      <c r="L425" t="s">
        <v>20</v>
      </c>
      <c r="M425" t="s">
        <v>40</v>
      </c>
      <c r="N425" t="b">
        <v>0</v>
      </c>
      <c r="O425" t="s">
        <v>16</v>
      </c>
      <c r="P425" t="s">
        <v>17</v>
      </c>
      <c r="Q425" t="s">
        <v>38</v>
      </c>
      <c r="R425" t="b">
        <v>0</v>
      </c>
    </row>
    <row r="426" spans="1:18" x14ac:dyDescent="0.3">
      <c r="A426">
        <v>0</v>
      </c>
      <c r="B426" t="s">
        <v>26</v>
      </c>
      <c r="C426">
        <v>3</v>
      </c>
      <c r="D426" t="s">
        <v>32</v>
      </c>
      <c r="E426" t="s">
        <v>13</v>
      </c>
      <c r="F426" t="s">
        <v>36</v>
      </c>
      <c r="G426">
        <v>18</v>
      </c>
      <c r="H426">
        <v>1</v>
      </c>
      <c r="I426">
        <v>1</v>
      </c>
      <c r="J426">
        <v>20.212499999999999</v>
      </c>
      <c r="K426" t="s">
        <v>14</v>
      </c>
      <c r="L426" t="s">
        <v>15</v>
      </c>
      <c r="M426" t="s">
        <v>37</v>
      </c>
      <c r="N426" t="b">
        <v>1</v>
      </c>
      <c r="O426" t="s">
        <v>16</v>
      </c>
      <c r="P426" t="s">
        <v>17</v>
      </c>
      <c r="Q426" t="s">
        <v>38</v>
      </c>
      <c r="R426" t="b">
        <v>0</v>
      </c>
    </row>
    <row r="427" spans="1:18" x14ac:dyDescent="0.3">
      <c r="A427">
        <v>0</v>
      </c>
      <c r="B427" t="s">
        <v>26</v>
      </c>
      <c r="C427">
        <v>3</v>
      </c>
      <c r="D427" t="s">
        <v>32</v>
      </c>
      <c r="E427" t="s">
        <v>13</v>
      </c>
      <c r="F427" t="s">
        <v>36</v>
      </c>
      <c r="G427">
        <v>30</v>
      </c>
      <c r="H427">
        <v>0</v>
      </c>
      <c r="I427">
        <v>0</v>
      </c>
      <c r="J427">
        <v>7.25</v>
      </c>
      <c r="K427" t="s">
        <v>14</v>
      </c>
      <c r="L427" t="s">
        <v>15</v>
      </c>
      <c r="M427" t="s">
        <v>37</v>
      </c>
      <c r="N427" t="b">
        <v>1</v>
      </c>
      <c r="O427" t="s">
        <v>16</v>
      </c>
      <c r="P427" t="s">
        <v>17</v>
      </c>
      <c r="Q427" t="s">
        <v>38</v>
      </c>
      <c r="R427" t="b">
        <v>1</v>
      </c>
    </row>
    <row r="428" spans="1:18" x14ac:dyDescent="0.3">
      <c r="A428">
        <v>1</v>
      </c>
      <c r="B428" t="s">
        <v>27</v>
      </c>
      <c r="C428">
        <v>2</v>
      </c>
      <c r="D428" t="s">
        <v>31</v>
      </c>
      <c r="E428" t="s">
        <v>18</v>
      </c>
      <c r="F428" t="s">
        <v>39</v>
      </c>
      <c r="G428">
        <v>28</v>
      </c>
      <c r="H428">
        <v>1</v>
      </c>
      <c r="I428">
        <v>0</v>
      </c>
      <c r="J428">
        <v>26</v>
      </c>
      <c r="K428" t="s">
        <v>25</v>
      </c>
      <c r="L428" t="s">
        <v>20</v>
      </c>
      <c r="M428" t="s">
        <v>40</v>
      </c>
      <c r="N428" t="b">
        <v>0</v>
      </c>
      <c r="O428" t="s">
        <v>16</v>
      </c>
      <c r="P428" t="s">
        <v>22</v>
      </c>
      <c r="Q428" t="s">
        <v>41</v>
      </c>
      <c r="R428" t="b">
        <v>0</v>
      </c>
    </row>
    <row r="429" spans="1:18" x14ac:dyDescent="0.3">
      <c r="A429">
        <v>1</v>
      </c>
      <c r="B429" t="s">
        <v>27</v>
      </c>
      <c r="C429">
        <v>2</v>
      </c>
      <c r="D429" t="s">
        <v>31</v>
      </c>
      <c r="E429" t="s">
        <v>18</v>
      </c>
      <c r="F429" t="s">
        <v>39</v>
      </c>
      <c r="G429">
        <v>19</v>
      </c>
      <c r="H429">
        <v>0</v>
      </c>
      <c r="I429">
        <v>0</v>
      </c>
      <c r="J429">
        <v>26</v>
      </c>
      <c r="K429" t="s">
        <v>25</v>
      </c>
      <c r="L429" t="s">
        <v>20</v>
      </c>
      <c r="M429" t="s">
        <v>40</v>
      </c>
      <c r="N429" t="b">
        <v>0</v>
      </c>
      <c r="O429" t="s">
        <v>16</v>
      </c>
      <c r="P429" t="s">
        <v>22</v>
      </c>
      <c r="Q429" t="s">
        <v>41</v>
      </c>
      <c r="R429" t="b">
        <v>1</v>
      </c>
    </row>
    <row r="430" spans="1:18" x14ac:dyDescent="0.3">
      <c r="A430">
        <v>0</v>
      </c>
      <c r="B430" t="s">
        <v>26</v>
      </c>
      <c r="C430">
        <v>3</v>
      </c>
      <c r="D430" t="s">
        <v>32</v>
      </c>
      <c r="E430" t="s">
        <v>13</v>
      </c>
      <c r="F430" t="s">
        <v>36</v>
      </c>
      <c r="G430">
        <v>30</v>
      </c>
      <c r="H430">
        <v>0</v>
      </c>
      <c r="I430">
        <v>0</v>
      </c>
      <c r="J430">
        <v>7.75</v>
      </c>
      <c r="K430" t="s">
        <v>14</v>
      </c>
      <c r="L430" t="s">
        <v>15</v>
      </c>
      <c r="M430" t="s">
        <v>37</v>
      </c>
      <c r="N430" t="b">
        <v>1</v>
      </c>
      <c r="O430" t="s">
        <v>23</v>
      </c>
      <c r="P430" t="s">
        <v>17</v>
      </c>
      <c r="Q430" t="s">
        <v>38</v>
      </c>
      <c r="R430" t="b">
        <v>1</v>
      </c>
    </row>
    <row r="431" spans="1:18" x14ac:dyDescent="0.3">
      <c r="A431">
        <v>1</v>
      </c>
      <c r="B431" t="s">
        <v>27</v>
      </c>
      <c r="C431">
        <v>3</v>
      </c>
      <c r="D431" t="s">
        <v>32</v>
      </c>
      <c r="E431" t="s">
        <v>13</v>
      </c>
      <c r="F431" t="s">
        <v>36</v>
      </c>
      <c r="G431">
        <v>32</v>
      </c>
      <c r="H431">
        <v>0</v>
      </c>
      <c r="I431">
        <v>0</v>
      </c>
      <c r="J431">
        <v>8.0500000000000007</v>
      </c>
      <c r="K431" t="s">
        <v>14</v>
      </c>
      <c r="L431" t="s">
        <v>15</v>
      </c>
      <c r="M431" t="s">
        <v>37</v>
      </c>
      <c r="N431" t="b">
        <v>1</v>
      </c>
      <c r="O431" t="s">
        <v>16</v>
      </c>
      <c r="P431" t="s">
        <v>22</v>
      </c>
      <c r="Q431" t="s">
        <v>41</v>
      </c>
      <c r="R431" t="b">
        <v>1</v>
      </c>
    </row>
    <row r="432" spans="1:18" x14ac:dyDescent="0.3">
      <c r="A432">
        <v>1</v>
      </c>
      <c r="B432" t="s">
        <v>27</v>
      </c>
      <c r="C432">
        <v>1</v>
      </c>
      <c r="D432" t="s">
        <v>30</v>
      </c>
      <c r="E432" t="s">
        <v>13</v>
      </c>
      <c r="F432" t="s">
        <v>36</v>
      </c>
      <c r="G432">
        <v>28</v>
      </c>
      <c r="H432">
        <v>0</v>
      </c>
      <c r="I432">
        <v>0</v>
      </c>
      <c r="J432">
        <v>26.55</v>
      </c>
      <c r="K432" t="s">
        <v>19</v>
      </c>
      <c r="L432" t="s">
        <v>15</v>
      </c>
      <c r="M432" t="s">
        <v>37</v>
      </c>
      <c r="N432" t="b">
        <v>1</v>
      </c>
      <c r="O432" t="s">
        <v>16</v>
      </c>
      <c r="P432" t="s">
        <v>22</v>
      </c>
      <c r="Q432" t="s">
        <v>41</v>
      </c>
      <c r="R432" t="b">
        <v>1</v>
      </c>
    </row>
    <row r="433" spans="1:18" x14ac:dyDescent="0.3">
      <c r="A433">
        <v>1</v>
      </c>
      <c r="B433" t="s">
        <v>27</v>
      </c>
      <c r="C433">
        <v>3</v>
      </c>
      <c r="D433" t="s">
        <v>32</v>
      </c>
      <c r="E433" t="s">
        <v>18</v>
      </c>
      <c r="F433" t="s">
        <v>39</v>
      </c>
      <c r="G433">
        <v>30</v>
      </c>
      <c r="H433">
        <v>1</v>
      </c>
      <c r="I433">
        <v>0</v>
      </c>
      <c r="J433">
        <v>16.100000000000001</v>
      </c>
      <c r="K433" t="s">
        <v>14</v>
      </c>
      <c r="L433" t="s">
        <v>20</v>
      </c>
      <c r="M433" t="s">
        <v>40</v>
      </c>
      <c r="N433" t="b">
        <v>0</v>
      </c>
      <c r="O433" t="s">
        <v>16</v>
      </c>
      <c r="P433" t="s">
        <v>22</v>
      </c>
      <c r="Q433" t="s">
        <v>41</v>
      </c>
      <c r="R433" t="b">
        <v>0</v>
      </c>
    </row>
    <row r="434" spans="1:18" x14ac:dyDescent="0.3">
      <c r="A434">
        <v>1</v>
      </c>
      <c r="B434" t="s">
        <v>27</v>
      </c>
      <c r="C434">
        <v>2</v>
      </c>
      <c r="D434" t="s">
        <v>31</v>
      </c>
      <c r="E434" t="s">
        <v>18</v>
      </c>
      <c r="F434" t="s">
        <v>39</v>
      </c>
      <c r="G434">
        <v>42</v>
      </c>
      <c r="H434">
        <v>1</v>
      </c>
      <c r="I434">
        <v>0</v>
      </c>
      <c r="J434">
        <v>26</v>
      </c>
      <c r="K434" t="s">
        <v>25</v>
      </c>
      <c r="L434" t="s">
        <v>20</v>
      </c>
      <c r="M434" t="s">
        <v>40</v>
      </c>
      <c r="N434" t="b">
        <v>0</v>
      </c>
      <c r="O434" t="s">
        <v>16</v>
      </c>
      <c r="P434" t="s">
        <v>22</v>
      </c>
      <c r="Q434" t="s">
        <v>41</v>
      </c>
      <c r="R434" t="b">
        <v>0</v>
      </c>
    </row>
    <row r="435" spans="1:18" x14ac:dyDescent="0.3">
      <c r="A435">
        <v>0</v>
      </c>
      <c r="B435" t="s">
        <v>26</v>
      </c>
      <c r="C435">
        <v>3</v>
      </c>
      <c r="D435" t="s">
        <v>32</v>
      </c>
      <c r="E435" t="s">
        <v>13</v>
      </c>
      <c r="F435" t="s">
        <v>36</v>
      </c>
      <c r="G435">
        <v>17</v>
      </c>
      <c r="H435">
        <v>0</v>
      </c>
      <c r="I435">
        <v>0</v>
      </c>
      <c r="J435">
        <v>7.125</v>
      </c>
      <c r="K435" t="s">
        <v>14</v>
      </c>
      <c r="L435" t="s">
        <v>15</v>
      </c>
      <c r="M435" t="s">
        <v>37</v>
      </c>
      <c r="N435" t="b">
        <v>1</v>
      </c>
      <c r="O435" t="s">
        <v>16</v>
      </c>
      <c r="P435" t="s">
        <v>17</v>
      </c>
      <c r="Q435" t="s">
        <v>38</v>
      </c>
      <c r="R435" t="b">
        <v>1</v>
      </c>
    </row>
    <row r="436" spans="1:18" x14ac:dyDescent="0.3">
      <c r="A436">
        <v>0</v>
      </c>
      <c r="B436" t="s">
        <v>26</v>
      </c>
      <c r="C436">
        <v>1</v>
      </c>
      <c r="D436" t="s">
        <v>30</v>
      </c>
      <c r="E436" t="s">
        <v>13</v>
      </c>
      <c r="F436" t="s">
        <v>36</v>
      </c>
      <c r="G436">
        <v>50</v>
      </c>
      <c r="H436">
        <v>1</v>
      </c>
      <c r="I436">
        <v>0</v>
      </c>
      <c r="J436">
        <v>55.9</v>
      </c>
      <c r="K436" t="s">
        <v>19</v>
      </c>
      <c r="L436" t="s">
        <v>15</v>
      </c>
      <c r="M436" t="s">
        <v>37</v>
      </c>
      <c r="N436" t="b">
        <v>1</v>
      </c>
      <c r="O436" t="s">
        <v>16</v>
      </c>
      <c r="P436" t="s">
        <v>17</v>
      </c>
      <c r="Q436" t="s">
        <v>38</v>
      </c>
      <c r="R436" t="b">
        <v>0</v>
      </c>
    </row>
    <row r="437" spans="1:18" x14ac:dyDescent="0.3">
      <c r="A437">
        <v>1</v>
      </c>
      <c r="B437" t="s">
        <v>27</v>
      </c>
      <c r="C437">
        <v>1</v>
      </c>
      <c r="D437" t="s">
        <v>30</v>
      </c>
      <c r="E437" t="s">
        <v>18</v>
      </c>
      <c r="F437" t="s">
        <v>39</v>
      </c>
      <c r="G437">
        <v>14</v>
      </c>
      <c r="H437">
        <v>1</v>
      </c>
      <c r="I437">
        <v>2</v>
      </c>
      <c r="J437">
        <v>120</v>
      </c>
      <c r="K437" t="s">
        <v>19</v>
      </c>
      <c r="L437" t="s">
        <v>24</v>
      </c>
      <c r="M437" t="s">
        <v>42</v>
      </c>
      <c r="N437" t="b">
        <v>0</v>
      </c>
      <c r="O437" t="s">
        <v>16</v>
      </c>
      <c r="P437" t="s">
        <v>22</v>
      </c>
      <c r="Q437" t="s">
        <v>41</v>
      </c>
      <c r="R437" t="b">
        <v>0</v>
      </c>
    </row>
    <row r="438" spans="1:18" x14ac:dyDescent="0.3">
      <c r="A438">
        <v>0</v>
      </c>
      <c r="B438" t="s">
        <v>26</v>
      </c>
      <c r="C438">
        <v>3</v>
      </c>
      <c r="D438" t="s">
        <v>32</v>
      </c>
      <c r="E438" t="s">
        <v>18</v>
      </c>
      <c r="F438" t="s">
        <v>39</v>
      </c>
      <c r="G438">
        <v>21</v>
      </c>
      <c r="H438">
        <v>2</v>
      </c>
      <c r="I438">
        <v>2</v>
      </c>
      <c r="J438">
        <v>34.375</v>
      </c>
      <c r="K438" t="s">
        <v>14</v>
      </c>
      <c r="L438" t="s">
        <v>20</v>
      </c>
      <c r="M438" t="s">
        <v>40</v>
      </c>
      <c r="N438" t="b">
        <v>0</v>
      </c>
      <c r="O438" t="s">
        <v>16</v>
      </c>
      <c r="P438" t="s">
        <v>17</v>
      </c>
      <c r="Q438" t="s">
        <v>38</v>
      </c>
      <c r="R438" t="b">
        <v>0</v>
      </c>
    </row>
    <row r="439" spans="1:18" x14ac:dyDescent="0.3">
      <c r="A439">
        <v>1</v>
      </c>
      <c r="B439" t="s">
        <v>27</v>
      </c>
      <c r="C439">
        <v>2</v>
      </c>
      <c r="D439" t="s">
        <v>31</v>
      </c>
      <c r="E439" t="s">
        <v>18</v>
      </c>
      <c r="F439" t="s">
        <v>39</v>
      </c>
      <c r="G439">
        <v>24</v>
      </c>
      <c r="H439">
        <v>2</v>
      </c>
      <c r="I439">
        <v>3</v>
      </c>
      <c r="J439">
        <v>18.75</v>
      </c>
      <c r="K439" t="s">
        <v>25</v>
      </c>
      <c r="L439" t="s">
        <v>20</v>
      </c>
      <c r="M439" t="s">
        <v>40</v>
      </c>
      <c r="N439" t="b">
        <v>0</v>
      </c>
      <c r="O439" t="s">
        <v>16</v>
      </c>
      <c r="P439" t="s">
        <v>22</v>
      </c>
      <c r="Q439" t="s">
        <v>41</v>
      </c>
      <c r="R439" t="b">
        <v>0</v>
      </c>
    </row>
    <row r="440" spans="1:18" x14ac:dyDescent="0.3">
      <c r="A440">
        <v>0</v>
      </c>
      <c r="B440" t="s">
        <v>26</v>
      </c>
      <c r="C440">
        <v>1</v>
      </c>
      <c r="D440" t="s">
        <v>30</v>
      </c>
      <c r="E440" t="s">
        <v>13</v>
      </c>
      <c r="F440" t="s">
        <v>36</v>
      </c>
      <c r="G440">
        <v>64</v>
      </c>
      <c r="H440">
        <v>1</v>
      </c>
      <c r="I440">
        <v>4</v>
      </c>
      <c r="J440">
        <v>263</v>
      </c>
      <c r="K440" t="s">
        <v>19</v>
      </c>
      <c r="L440" t="s">
        <v>15</v>
      </c>
      <c r="M440" t="s">
        <v>37</v>
      </c>
      <c r="N440" t="b">
        <v>1</v>
      </c>
      <c r="O440" t="s">
        <v>16</v>
      </c>
      <c r="P440" t="s">
        <v>17</v>
      </c>
      <c r="Q440" t="s">
        <v>38</v>
      </c>
      <c r="R440" t="b">
        <v>0</v>
      </c>
    </row>
    <row r="441" spans="1:18" x14ac:dyDescent="0.3">
      <c r="A441">
        <v>0</v>
      </c>
      <c r="B441" t="s">
        <v>26</v>
      </c>
      <c r="C441">
        <v>2</v>
      </c>
      <c r="D441" t="s">
        <v>31</v>
      </c>
      <c r="E441" t="s">
        <v>13</v>
      </c>
      <c r="F441" t="s">
        <v>36</v>
      </c>
      <c r="G441">
        <v>31</v>
      </c>
      <c r="H441">
        <v>0</v>
      </c>
      <c r="I441">
        <v>0</v>
      </c>
      <c r="J441">
        <v>10.5</v>
      </c>
      <c r="K441" t="s">
        <v>25</v>
      </c>
      <c r="L441" t="s">
        <v>15</v>
      </c>
      <c r="M441" t="s">
        <v>37</v>
      </c>
      <c r="N441" t="b">
        <v>1</v>
      </c>
      <c r="O441" t="s">
        <v>16</v>
      </c>
      <c r="P441" t="s">
        <v>17</v>
      </c>
      <c r="Q441" t="s">
        <v>38</v>
      </c>
      <c r="R441" t="b">
        <v>1</v>
      </c>
    </row>
    <row r="442" spans="1:18" x14ac:dyDescent="0.3">
      <c r="A442">
        <v>1</v>
      </c>
      <c r="B442" t="s">
        <v>27</v>
      </c>
      <c r="C442">
        <v>2</v>
      </c>
      <c r="D442" t="s">
        <v>31</v>
      </c>
      <c r="E442" t="s">
        <v>18</v>
      </c>
      <c r="F442" t="s">
        <v>39</v>
      </c>
      <c r="G442">
        <v>45</v>
      </c>
      <c r="H442">
        <v>1</v>
      </c>
      <c r="I442">
        <v>1</v>
      </c>
      <c r="J442">
        <v>26.25</v>
      </c>
      <c r="K442" t="s">
        <v>25</v>
      </c>
      <c r="L442" t="s">
        <v>20</v>
      </c>
      <c r="M442" t="s">
        <v>40</v>
      </c>
      <c r="N442" t="b">
        <v>0</v>
      </c>
      <c r="O442" t="s">
        <v>16</v>
      </c>
      <c r="P442" t="s">
        <v>22</v>
      </c>
      <c r="Q442" t="s">
        <v>41</v>
      </c>
      <c r="R442" t="b">
        <v>0</v>
      </c>
    </row>
    <row r="443" spans="1:18" x14ac:dyDescent="0.3">
      <c r="A443">
        <v>0</v>
      </c>
      <c r="B443" t="s">
        <v>26</v>
      </c>
      <c r="C443">
        <v>3</v>
      </c>
      <c r="D443" t="s">
        <v>32</v>
      </c>
      <c r="E443" t="s">
        <v>13</v>
      </c>
      <c r="F443" t="s">
        <v>36</v>
      </c>
      <c r="G443">
        <v>20</v>
      </c>
      <c r="H443">
        <v>0</v>
      </c>
      <c r="I443">
        <v>0</v>
      </c>
      <c r="J443">
        <v>9.5</v>
      </c>
      <c r="K443" t="s">
        <v>14</v>
      </c>
      <c r="L443" t="s">
        <v>15</v>
      </c>
      <c r="M443" t="s">
        <v>37</v>
      </c>
      <c r="N443" t="b">
        <v>1</v>
      </c>
      <c r="O443" t="s">
        <v>16</v>
      </c>
      <c r="P443" t="s">
        <v>17</v>
      </c>
      <c r="Q443" t="s">
        <v>38</v>
      </c>
      <c r="R443" t="b">
        <v>1</v>
      </c>
    </row>
    <row r="444" spans="1:18" x14ac:dyDescent="0.3">
      <c r="A444">
        <v>0</v>
      </c>
      <c r="B444" t="s">
        <v>26</v>
      </c>
      <c r="C444">
        <v>3</v>
      </c>
      <c r="D444" t="s">
        <v>32</v>
      </c>
      <c r="E444" t="s">
        <v>13</v>
      </c>
      <c r="F444" t="s">
        <v>36</v>
      </c>
      <c r="G444">
        <v>25</v>
      </c>
      <c r="H444">
        <v>1</v>
      </c>
      <c r="I444">
        <v>0</v>
      </c>
      <c r="J444">
        <v>7.7750000000000004</v>
      </c>
      <c r="K444" t="s">
        <v>14</v>
      </c>
      <c r="L444" t="s">
        <v>15</v>
      </c>
      <c r="M444" t="s">
        <v>37</v>
      </c>
      <c r="N444" t="b">
        <v>1</v>
      </c>
      <c r="O444" t="s">
        <v>16</v>
      </c>
      <c r="P444" t="s">
        <v>17</v>
      </c>
      <c r="Q444" t="s">
        <v>38</v>
      </c>
      <c r="R444" t="b">
        <v>0</v>
      </c>
    </row>
    <row r="445" spans="1:18" x14ac:dyDescent="0.3">
      <c r="A445">
        <v>1</v>
      </c>
      <c r="B445" t="s">
        <v>27</v>
      </c>
      <c r="C445">
        <v>2</v>
      </c>
      <c r="D445" t="s">
        <v>31</v>
      </c>
      <c r="E445" t="s">
        <v>18</v>
      </c>
      <c r="F445" t="s">
        <v>39</v>
      </c>
      <c r="G445">
        <v>28</v>
      </c>
      <c r="H445">
        <v>0</v>
      </c>
      <c r="I445">
        <v>0</v>
      </c>
      <c r="J445">
        <v>13</v>
      </c>
      <c r="K445" t="s">
        <v>25</v>
      </c>
      <c r="L445" t="s">
        <v>20</v>
      </c>
      <c r="M445" t="s">
        <v>40</v>
      </c>
      <c r="N445" t="b">
        <v>0</v>
      </c>
      <c r="O445" t="s">
        <v>16</v>
      </c>
      <c r="P445" t="s">
        <v>22</v>
      </c>
      <c r="Q445" t="s">
        <v>41</v>
      </c>
      <c r="R445" t="b">
        <v>1</v>
      </c>
    </row>
    <row r="446" spans="1:18" x14ac:dyDescent="0.3">
      <c r="A446">
        <v>1</v>
      </c>
      <c r="B446" t="s">
        <v>27</v>
      </c>
      <c r="C446">
        <v>3</v>
      </c>
      <c r="D446" t="s">
        <v>32</v>
      </c>
      <c r="E446" t="s">
        <v>13</v>
      </c>
      <c r="F446" t="s">
        <v>36</v>
      </c>
      <c r="G446">
        <v>30</v>
      </c>
      <c r="H446">
        <v>0</v>
      </c>
      <c r="I446">
        <v>0</v>
      </c>
      <c r="J446">
        <v>8.1125000000000007</v>
      </c>
      <c r="K446" t="s">
        <v>14</v>
      </c>
      <c r="L446" t="s">
        <v>15</v>
      </c>
      <c r="M446" t="s">
        <v>37</v>
      </c>
      <c r="N446" t="b">
        <v>1</v>
      </c>
      <c r="O446" t="s">
        <v>16</v>
      </c>
      <c r="P446" t="s">
        <v>22</v>
      </c>
      <c r="Q446" t="s">
        <v>41</v>
      </c>
      <c r="R446" t="b">
        <v>1</v>
      </c>
    </row>
    <row r="447" spans="1:18" x14ac:dyDescent="0.3">
      <c r="A447">
        <v>1</v>
      </c>
      <c r="B447" t="s">
        <v>27</v>
      </c>
      <c r="C447">
        <v>1</v>
      </c>
      <c r="D447" t="s">
        <v>30</v>
      </c>
      <c r="E447" t="s">
        <v>13</v>
      </c>
      <c r="F447" t="s">
        <v>36</v>
      </c>
      <c r="G447">
        <v>4</v>
      </c>
      <c r="H447">
        <v>0</v>
      </c>
      <c r="I447">
        <v>2</v>
      </c>
      <c r="J447">
        <v>81.8583</v>
      </c>
      <c r="K447" t="s">
        <v>19</v>
      </c>
      <c r="L447" t="s">
        <v>24</v>
      </c>
      <c r="M447" t="s">
        <v>42</v>
      </c>
      <c r="N447" t="b">
        <v>0</v>
      </c>
      <c r="O447" t="s">
        <v>16</v>
      </c>
      <c r="P447" t="s">
        <v>22</v>
      </c>
      <c r="Q447" t="s">
        <v>41</v>
      </c>
      <c r="R447" t="b">
        <v>0</v>
      </c>
    </row>
    <row r="448" spans="1:18" x14ac:dyDescent="0.3">
      <c r="A448">
        <v>1</v>
      </c>
      <c r="B448" t="s">
        <v>27</v>
      </c>
      <c r="C448">
        <v>2</v>
      </c>
      <c r="D448" t="s">
        <v>31</v>
      </c>
      <c r="E448" t="s">
        <v>18</v>
      </c>
      <c r="F448" t="s">
        <v>39</v>
      </c>
      <c r="G448">
        <v>13</v>
      </c>
      <c r="H448">
        <v>0</v>
      </c>
      <c r="I448">
        <v>1</v>
      </c>
      <c r="J448">
        <v>19.5</v>
      </c>
      <c r="K448" t="s">
        <v>25</v>
      </c>
      <c r="L448" t="s">
        <v>24</v>
      </c>
      <c r="M448" t="s">
        <v>42</v>
      </c>
      <c r="N448" t="b">
        <v>0</v>
      </c>
      <c r="O448" t="s">
        <v>16</v>
      </c>
      <c r="P448" t="s">
        <v>22</v>
      </c>
      <c r="Q448" t="s">
        <v>41</v>
      </c>
      <c r="R448" t="b">
        <v>0</v>
      </c>
    </row>
    <row r="449" spans="1:18" x14ac:dyDescent="0.3">
      <c r="A449">
        <v>1</v>
      </c>
      <c r="B449" t="s">
        <v>27</v>
      </c>
      <c r="C449">
        <v>1</v>
      </c>
      <c r="D449" t="s">
        <v>30</v>
      </c>
      <c r="E449" t="s">
        <v>13</v>
      </c>
      <c r="F449" t="s">
        <v>36</v>
      </c>
      <c r="G449">
        <v>34</v>
      </c>
      <c r="H449">
        <v>0</v>
      </c>
      <c r="I449">
        <v>0</v>
      </c>
      <c r="J449">
        <v>26.55</v>
      </c>
      <c r="K449" t="s">
        <v>19</v>
      </c>
      <c r="L449" t="s">
        <v>15</v>
      </c>
      <c r="M449" t="s">
        <v>37</v>
      </c>
      <c r="N449" t="b">
        <v>1</v>
      </c>
      <c r="O449" t="s">
        <v>16</v>
      </c>
      <c r="P449" t="s">
        <v>22</v>
      </c>
      <c r="Q449" t="s">
        <v>41</v>
      </c>
      <c r="R449" t="b">
        <v>1</v>
      </c>
    </row>
    <row r="450" spans="1:18" x14ac:dyDescent="0.3">
      <c r="A450">
        <v>1</v>
      </c>
      <c r="B450" t="s">
        <v>27</v>
      </c>
      <c r="C450">
        <v>3</v>
      </c>
      <c r="D450" t="s">
        <v>32</v>
      </c>
      <c r="E450" t="s">
        <v>18</v>
      </c>
      <c r="F450" t="s">
        <v>39</v>
      </c>
      <c r="G450">
        <v>5</v>
      </c>
      <c r="H450">
        <v>2</v>
      </c>
      <c r="I450">
        <v>1</v>
      </c>
      <c r="J450">
        <v>19.258299999999998</v>
      </c>
      <c r="K450" t="s">
        <v>14</v>
      </c>
      <c r="L450" t="s">
        <v>24</v>
      </c>
      <c r="M450" t="s">
        <v>42</v>
      </c>
      <c r="N450" t="b">
        <v>0</v>
      </c>
      <c r="O450" t="s">
        <v>21</v>
      </c>
      <c r="P450" t="s">
        <v>22</v>
      </c>
      <c r="Q450" t="s">
        <v>41</v>
      </c>
      <c r="R450" t="b">
        <v>0</v>
      </c>
    </row>
    <row r="451" spans="1:18" x14ac:dyDescent="0.3">
      <c r="A451">
        <v>1</v>
      </c>
      <c r="B451" t="s">
        <v>27</v>
      </c>
      <c r="C451">
        <v>1</v>
      </c>
      <c r="D451" t="s">
        <v>30</v>
      </c>
      <c r="E451" t="s">
        <v>13</v>
      </c>
      <c r="F451" t="s">
        <v>36</v>
      </c>
      <c r="G451">
        <v>52</v>
      </c>
      <c r="H451">
        <v>0</v>
      </c>
      <c r="I451">
        <v>0</v>
      </c>
      <c r="J451">
        <v>30.5</v>
      </c>
      <c r="K451" t="s">
        <v>19</v>
      </c>
      <c r="L451" t="s">
        <v>15</v>
      </c>
      <c r="M451" t="s">
        <v>37</v>
      </c>
      <c r="N451" t="b">
        <v>1</v>
      </c>
      <c r="O451" t="s">
        <v>16</v>
      </c>
      <c r="P451" t="s">
        <v>22</v>
      </c>
      <c r="Q451" t="s">
        <v>41</v>
      </c>
      <c r="R451" t="b">
        <v>1</v>
      </c>
    </row>
    <row r="452" spans="1:18" x14ac:dyDescent="0.3">
      <c r="A452">
        <v>0</v>
      </c>
      <c r="B452" t="s">
        <v>26</v>
      </c>
      <c r="C452">
        <v>2</v>
      </c>
      <c r="D452" t="s">
        <v>31</v>
      </c>
      <c r="E452" t="s">
        <v>13</v>
      </c>
      <c r="F452" t="s">
        <v>36</v>
      </c>
      <c r="G452">
        <v>36</v>
      </c>
      <c r="H452">
        <v>1</v>
      </c>
      <c r="I452">
        <v>2</v>
      </c>
      <c r="J452">
        <v>27.75</v>
      </c>
      <c r="K452" t="s">
        <v>25</v>
      </c>
      <c r="L452" t="s">
        <v>15</v>
      </c>
      <c r="M452" t="s">
        <v>37</v>
      </c>
      <c r="N452" t="b">
        <v>1</v>
      </c>
      <c r="O452" t="s">
        <v>16</v>
      </c>
      <c r="P452" t="s">
        <v>17</v>
      </c>
      <c r="Q452" t="s">
        <v>38</v>
      </c>
      <c r="R452" t="b">
        <v>0</v>
      </c>
    </row>
    <row r="453" spans="1:18" x14ac:dyDescent="0.3">
      <c r="A453">
        <v>0</v>
      </c>
      <c r="B453" t="s">
        <v>26</v>
      </c>
      <c r="C453">
        <v>3</v>
      </c>
      <c r="D453" t="s">
        <v>32</v>
      </c>
      <c r="E453" t="s">
        <v>13</v>
      </c>
      <c r="F453" t="s">
        <v>36</v>
      </c>
      <c r="G453">
        <v>30</v>
      </c>
      <c r="H453">
        <v>1</v>
      </c>
      <c r="I453">
        <v>0</v>
      </c>
      <c r="J453">
        <v>19.966699999999999</v>
      </c>
      <c r="K453" t="s">
        <v>14</v>
      </c>
      <c r="L453" t="s">
        <v>15</v>
      </c>
      <c r="M453" t="s">
        <v>37</v>
      </c>
      <c r="N453" t="b">
        <v>1</v>
      </c>
      <c r="O453" t="s">
        <v>16</v>
      </c>
      <c r="P453" t="s">
        <v>17</v>
      </c>
      <c r="Q453" t="s">
        <v>38</v>
      </c>
      <c r="R453" t="b">
        <v>0</v>
      </c>
    </row>
    <row r="454" spans="1:18" x14ac:dyDescent="0.3">
      <c r="A454">
        <v>0</v>
      </c>
      <c r="B454" t="s">
        <v>26</v>
      </c>
      <c r="C454">
        <v>1</v>
      </c>
      <c r="D454" t="s">
        <v>30</v>
      </c>
      <c r="E454" t="s">
        <v>13</v>
      </c>
      <c r="F454" t="s">
        <v>36</v>
      </c>
      <c r="G454">
        <v>30</v>
      </c>
      <c r="H454">
        <v>0</v>
      </c>
      <c r="I454">
        <v>0</v>
      </c>
      <c r="J454">
        <v>27.75</v>
      </c>
      <c r="K454" t="s">
        <v>19</v>
      </c>
      <c r="L454" t="s">
        <v>15</v>
      </c>
      <c r="M454" t="s">
        <v>37</v>
      </c>
      <c r="N454" t="b">
        <v>1</v>
      </c>
      <c r="O454" t="s">
        <v>21</v>
      </c>
      <c r="P454" t="s">
        <v>17</v>
      </c>
      <c r="Q454" t="s">
        <v>38</v>
      </c>
      <c r="R454" t="b">
        <v>1</v>
      </c>
    </row>
    <row r="455" spans="1:18" x14ac:dyDescent="0.3">
      <c r="A455">
        <v>1</v>
      </c>
      <c r="B455" t="s">
        <v>27</v>
      </c>
      <c r="C455">
        <v>1</v>
      </c>
      <c r="D455" t="s">
        <v>30</v>
      </c>
      <c r="E455" t="s">
        <v>13</v>
      </c>
      <c r="F455" t="s">
        <v>36</v>
      </c>
      <c r="G455">
        <v>49</v>
      </c>
      <c r="H455">
        <v>1</v>
      </c>
      <c r="I455">
        <v>0</v>
      </c>
      <c r="J455">
        <v>89.104200000000006</v>
      </c>
      <c r="K455" t="s">
        <v>19</v>
      </c>
      <c r="L455" t="s">
        <v>15</v>
      </c>
      <c r="M455" t="s">
        <v>37</v>
      </c>
      <c r="N455" t="b">
        <v>1</v>
      </c>
      <c r="O455" t="s">
        <v>21</v>
      </c>
      <c r="P455" t="s">
        <v>22</v>
      </c>
      <c r="Q455" t="s">
        <v>41</v>
      </c>
      <c r="R455" t="b">
        <v>0</v>
      </c>
    </row>
    <row r="456" spans="1:18" x14ac:dyDescent="0.3">
      <c r="A456">
        <v>0</v>
      </c>
      <c r="B456" t="s">
        <v>26</v>
      </c>
      <c r="C456">
        <v>3</v>
      </c>
      <c r="D456" t="s">
        <v>32</v>
      </c>
      <c r="E456" t="s">
        <v>13</v>
      </c>
      <c r="F456" t="s">
        <v>36</v>
      </c>
      <c r="G456">
        <v>30</v>
      </c>
      <c r="H456">
        <v>0</v>
      </c>
      <c r="I456">
        <v>0</v>
      </c>
      <c r="J456">
        <v>8.0500000000000007</v>
      </c>
      <c r="K456" t="s">
        <v>14</v>
      </c>
      <c r="L456" t="s">
        <v>15</v>
      </c>
      <c r="M456" t="s">
        <v>37</v>
      </c>
      <c r="N456" t="b">
        <v>1</v>
      </c>
      <c r="O456" t="s">
        <v>16</v>
      </c>
      <c r="P456" t="s">
        <v>17</v>
      </c>
      <c r="Q456" t="s">
        <v>38</v>
      </c>
      <c r="R456" t="b">
        <v>1</v>
      </c>
    </row>
    <row r="457" spans="1:18" x14ac:dyDescent="0.3">
      <c r="A457">
        <v>1</v>
      </c>
      <c r="B457" t="s">
        <v>27</v>
      </c>
      <c r="C457">
        <v>3</v>
      </c>
      <c r="D457" t="s">
        <v>32</v>
      </c>
      <c r="E457" t="s">
        <v>13</v>
      </c>
      <c r="F457" t="s">
        <v>36</v>
      </c>
      <c r="G457">
        <v>29</v>
      </c>
      <c r="H457">
        <v>0</v>
      </c>
      <c r="I457">
        <v>0</v>
      </c>
      <c r="J457">
        <v>7.8958000000000004</v>
      </c>
      <c r="K457" t="s">
        <v>14</v>
      </c>
      <c r="L457" t="s">
        <v>15</v>
      </c>
      <c r="M457" t="s">
        <v>37</v>
      </c>
      <c r="N457" t="b">
        <v>1</v>
      </c>
      <c r="O457" t="s">
        <v>21</v>
      </c>
      <c r="P457" t="s">
        <v>22</v>
      </c>
      <c r="Q457" t="s">
        <v>41</v>
      </c>
      <c r="R457" t="b">
        <v>1</v>
      </c>
    </row>
    <row r="458" spans="1:18" x14ac:dyDescent="0.3">
      <c r="A458">
        <v>0</v>
      </c>
      <c r="B458" t="s">
        <v>26</v>
      </c>
      <c r="C458">
        <v>1</v>
      </c>
      <c r="D458" t="s">
        <v>30</v>
      </c>
      <c r="E458" t="s">
        <v>13</v>
      </c>
      <c r="F458" t="s">
        <v>36</v>
      </c>
      <c r="G458">
        <v>65</v>
      </c>
      <c r="H458">
        <v>0</v>
      </c>
      <c r="I458">
        <v>0</v>
      </c>
      <c r="J458">
        <v>26.55</v>
      </c>
      <c r="K458" t="s">
        <v>19</v>
      </c>
      <c r="L458" t="s">
        <v>15</v>
      </c>
      <c r="M458" t="s">
        <v>37</v>
      </c>
      <c r="N458" t="b">
        <v>1</v>
      </c>
      <c r="O458" t="s">
        <v>16</v>
      </c>
      <c r="P458" t="s">
        <v>17</v>
      </c>
      <c r="Q458" t="s">
        <v>38</v>
      </c>
      <c r="R458" t="b">
        <v>1</v>
      </c>
    </row>
    <row r="459" spans="1:18" x14ac:dyDescent="0.3">
      <c r="A459">
        <v>1</v>
      </c>
      <c r="B459" t="s">
        <v>27</v>
      </c>
      <c r="C459">
        <v>1</v>
      </c>
      <c r="D459" t="s">
        <v>30</v>
      </c>
      <c r="E459" t="s">
        <v>18</v>
      </c>
      <c r="F459" t="s">
        <v>39</v>
      </c>
      <c r="G459">
        <v>30</v>
      </c>
      <c r="H459">
        <v>1</v>
      </c>
      <c r="I459">
        <v>0</v>
      </c>
      <c r="J459">
        <v>51.862499999999997</v>
      </c>
      <c r="K459" t="s">
        <v>19</v>
      </c>
      <c r="L459" t="s">
        <v>20</v>
      </c>
      <c r="M459" t="s">
        <v>40</v>
      </c>
      <c r="N459" t="b">
        <v>0</v>
      </c>
      <c r="O459" t="s">
        <v>16</v>
      </c>
      <c r="P459" t="s">
        <v>22</v>
      </c>
      <c r="Q459" t="s">
        <v>41</v>
      </c>
      <c r="R459" t="b">
        <v>0</v>
      </c>
    </row>
    <row r="460" spans="1:18" x14ac:dyDescent="0.3">
      <c r="A460">
        <v>1</v>
      </c>
      <c r="B460" t="s">
        <v>27</v>
      </c>
      <c r="C460">
        <v>2</v>
      </c>
      <c r="D460" t="s">
        <v>31</v>
      </c>
      <c r="E460" t="s">
        <v>18</v>
      </c>
      <c r="F460" t="s">
        <v>39</v>
      </c>
      <c r="G460">
        <v>50</v>
      </c>
      <c r="H460">
        <v>0</v>
      </c>
      <c r="I460">
        <v>0</v>
      </c>
      <c r="J460">
        <v>10.5</v>
      </c>
      <c r="K460" t="s">
        <v>25</v>
      </c>
      <c r="L460" t="s">
        <v>20</v>
      </c>
      <c r="M460" t="s">
        <v>40</v>
      </c>
      <c r="N460" t="b">
        <v>0</v>
      </c>
      <c r="O460" t="s">
        <v>16</v>
      </c>
      <c r="P460" t="s">
        <v>22</v>
      </c>
      <c r="Q460" t="s">
        <v>41</v>
      </c>
      <c r="R460" t="b">
        <v>1</v>
      </c>
    </row>
    <row r="461" spans="1:18" x14ac:dyDescent="0.3">
      <c r="A461">
        <v>0</v>
      </c>
      <c r="B461" t="s">
        <v>26</v>
      </c>
      <c r="C461">
        <v>3</v>
      </c>
      <c r="D461" t="s">
        <v>32</v>
      </c>
      <c r="E461" t="s">
        <v>13</v>
      </c>
      <c r="F461" t="s">
        <v>36</v>
      </c>
      <c r="G461">
        <v>30</v>
      </c>
      <c r="H461">
        <v>0</v>
      </c>
      <c r="I461">
        <v>0</v>
      </c>
      <c r="J461">
        <v>7.75</v>
      </c>
      <c r="K461" t="s">
        <v>14</v>
      </c>
      <c r="L461" t="s">
        <v>15</v>
      </c>
      <c r="M461" t="s">
        <v>37</v>
      </c>
      <c r="N461" t="b">
        <v>1</v>
      </c>
      <c r="O461" t="s">
        <v>23</v>
      </c>
      <c r="P461" t="s">
        <v>17</v>
      </c>
      <c r="Q461" t="s">
        <v>38</v>
      </c>
      <c r="R461" t="b">
        <v>1</v>
      </c>
    </row>
    <row r="462" spans="1:18" x14ac:dyDescent="0.3">
      <c r="A462">
        <v>1</v>
      </c>
      <c r="B462" t="s">
        <v>27</v>
      </c>
      <c r="C462">
        <v>1</v>
      </c>
      <c r="D462" t="s">
        <v>30</v>
      </c>
      <c r="E462" t="s">
        <v>13</v>
      </c>
      <c r="F462" t="s">
        <v>36</v>
      </c>
      <c r="G462">
        <v>48</v>
      </c>
      <c r="H462">
        <v>0</v>
      </c>
      <c r="I462">
        <v>0</v>
      </c>
      <c r="J462">
        <v>26.55</v>
      </c>
      <c r="K462" t="s">
        <v>19</v>
      </c>
      <c r="L462" t="s">
        <v>15</v>
      </c>
      <c r="M462" t="s">
        <v>37</v>
      </c>
      <c r="N462" t="b">
        <v>1</v>
      </c>
      <c r="O462" t="s">
        <v>16</v>
      </c>
      <c r="P462" t="s">
        <v>22</v>
      </c>
      <c r="Q462" t="s">
        <v>41</v>
      </c>
      <c r="R462" t="b">
        <v>1</v>
      </c>
    </row>
    <row r="463" spans="1:18" x14ac:dyDescent="0.3">
      <c r="A463">
        <v>0</v>
      </c>
      <c r="B463" t="s">
        <v>26</v>
      </c>
      <c r="C463">
        <v>3</v>
      </c>
      <c r="D463" t="s">
        <v>32</v>
      </c>
      <c r="E463" t="s">
        <v>13</v>
      </c>
      <c r="F463" t="s">
        <v>36</v>
      </c>
      <c r="G463">
        <v>34</v>
      </c>
      <c r="H463">
        <v>0</v>
      </c>
      <c r="I463">
        <v>0</v>
      </c>
      <c r="J463">
        <v>8.0500000000000007</v>
      </c>
      <c r="K463" t="s">
        <v>14</v>
      </c>
      <c r="L463" t="s">
        <v>15</v>
      </c>
      <c r="M463" t="s">
        <v>37</v>
      </c>
      <c r="N463" t="b">
        <v>1</v>
      </c>
      <c r="O463" t="s">
        <v>16</v>
      </c>
      <c r="P463" t="s">
        <v>17</v>
      </c>
      <c r="Q463" t="s">
        <v>38</v>
      </c>
      <c r="R463" t="b">
        <v>1</v>
      </c>
    </row>
    <row r="464" spans="1:18" x14ac:dyDescent="0.3">
      <c r="A464">
        <v>0</v>
      </c>
      <c r="B464" t="s">
        <v>26</v>
      </c>
      <c r="C464">
        <v>1</v>
      </c>
      <c r="D464" t="s">
        <v>30</v>
      </c>
      <c r="E464" t="s">
        <v>13</v>
      </c>
      <c r="F464" t="s">
        <v>36</v>
      </c>
      <c r="G464">
        <v>47</v>
      </c>
      <c r="H464">
        <v>0</v>
      </c>
      <c r="I464">
        <v>0</v>
      </c>
      <c r="J464">
        <v>38.5</v>
      </c>
      <c r="K464" t="s">
        <v>19</v>
      </c>
      <c r="L464" t="s">
        <v>15</v>
      </c>
      <c r="M464" t="s">
        <v>37</v>
      </c>
      <c r="N464" t="b">
        <v>1</v>
      </c>
      <c r="O464" t="s">
        <v>16</v>
      </c>
      <c r="P464" t="s">
        <v>17</v>
      </c>
      <c r="Q464" t="s">
        <v>38</v>
      </c>
      <c r="R464" t="b">
        <v>1</v>
      </c>
    </row>
    <row r="465" spans="1:18" x14ac:dyDescent="0.3">
      <c r="A465">
        <v>0</v>
      </c>
      <c r="B465" t="s">
        <v>26</v>
      </c>
      <c r="C465">
        <v>2</v>
      </c>
      <c r="D465" t="s">
        <v>31</v>
      </c>
      <c r="E465" t="s">
        <v>13</v>
      </c>
      <c r="F465" t="s">
        <v>36</v>
      </c>
      <c r="G465">
        <v>48</v>
      </c>
      <c r="H465">
        <v>0</v>
      </c>
      <c r="I465">
        <v>0</v>
      </c>
      <c r="J465">
        <v>13</v>
      </c>
      <c r="K465" t="s">
        <v>25</v>
      </c>
      <c r="L465" t="s">
        <v>15</v>
      </c>
      <c r="M465" t="s">
        <v>37</v>
      </c>
      <c r="N465" t="b">
        <v>1</v>
      </c>
      <c r="O465" t="s">
        <v>16</v>
      </c>
      <c r="P465" t="s">
        <v>17</v>
      </c>
      <c r="Q465" t="s">
        <v>38</v>
      </c>
      <c r="R465" t="b">
        <v>1</v>
      </c>
    </row>
    <row r="466" spans="1:18" x14ac:dyDescent="0.3">
      <c r="A466">
        <v>0</v>
      </c>
      <c r="B466" t="s">
        <v>26</v>
      </c>
      <c r="C466">
        <v>3</v>
      </c>
      <c r="D466" t="s">
        <v>32</v>
      </c>
      <c r="E466" t="s">
        <v>13</v>
      </c>
      <c r="F466" t="s">
        <v>36</v>
      </c>
      <c r="G466">
        <v>30</v>
      </c>
      <c r="H466">
        <v>0</v>
      </c>
      <c r="I466">
        <v>0</v>
      </c>
      <c r="J466">
        <v>8.0500000000000007</v>
      </c>
      <c r="K466" t="s">
        <v>14</v>
      </c>
      <c r="L466" t="s">
        <v>15</v>
      </c>
      <c r="M466" t="s">
        <v>37</v>
      </c>
      <c r="N466" t="b">
        <v>1</v>
      </c>
      <c r="O466" t="s">
        <v>16</v>
      </c>
      <c r="P466" t="s">
        <v>17</v>
      </c>
      <c r="Q466" t="s">
        <v>38</v>
      </c>
      <c r="R466" t="b">
        <v>1</v>
      </c>
    </row>
    <row r="467" spans="1:18" x14ac:dyDescent="0.3">
      <c r="A467">
        <v>0</v>
      </c>
      <c r="B467" t="s">
        <v>26</v>
      </c>
      <c r="C467">
        <v>3</v>
      </c>
      <c r="D467" t="s">
        <v>32</v>
      </c>
      <c r="E467" t="s">
        <v>13</v>
      </c>
      <c r="F467" t="s">
        <v>36</v>
      </c>
      <c r="G467">
        <v>38</v>
      </c>
      <c r="H467">
        <v>0</v>
      </c>
      <c r="I467">
        <v>0</v>
      </c>
      <c r="J467">
        <v>7.05</v>
      </c>
      <c r="K467" t="s">
        <v>14</v>
      </c>
      <c r="L467" t="s">
        <v>15</v>
      </c>
      <c r="M467" t="s">
        <v>37</v>
      </c>
      <c r="N467" t="b">
        <v>1</v>
      </c>
      <c r="O467" t="s">
        <v>16</v>
      </c>
      <c r="P467" t="s">
        <v>17</v>
      </c>
      <c r="Q467" t="s">
        <v>38</v>
      </c>
      <c r="R467" t="b">
        <v>1</v>
      </c>
    </row>
    <row r="468" spans="1:18" x14ac:dyDescent="0.3">
      <c r="A468">
        <v>0</v>
      </c>
      <c r="B468" t="s">
        <v>26</v>
      </c>
      <c r="C468">
        <v>2</v>
      </c>
      <c r="D468" t="s">
        <v>31</v>
      </c>
      <c r="E468" t="s">
        <v>13</v>
      </c>
      <c r="F468" t="s">
        <v>36</v>
      </c>
      <c r="G468">
        <v>30</v>
      </c>
      <c r="H468">
        <v>0</v>
      </c>
      <c r="I468">
        <v>0</v>
      </c>
      <c r="J468">
        <v>0</v>
      </c>
      <c r="K468" t="s">
        <v>25</v>
      </c>
      <c r="L468" t="s">
        <v>15</v>
      </c>
      <c r="M468" t="s">
        <v>37</v>
      </c>
      <c r="N468" t="b">
        <v>1</v>
      </c>
      <c r="O468" t="s">
        <v>16</v>
      </c>
      <c r="P468" t="s">
        <v>17</v>
      </c>
      <c r="Q468" t="s">
        <v>38</v>
      </c>
      <c r="R468" t="b">
        <v>1</v>
      </c>
    </row>
    <row r="469" spans="1:18" x14ac:dyDescent="0.3">
      <c r="A469">
        <v>0</v>
      </c>
      <c r="B469" t="s">
        <v>26</v>
      </c>
      <c r="C469">
        <v>1</v>
      </c>
      <c r="D469" t="s">
        <v>30</v>
      </c>
      <c r="E469" t="s">
        <v>13</v>
      </c>
      <c r="F469" t="s">
        <v>36</v>
      </c>
      <c r="G469">
        <v>56</v>
      </c>
      <c r="H469">
        <v>0</v>
      </c>
      <c r="I469">
        <v>0</v>
      </c>
      <c r="J469">
        <v>26.55</v>
      </c>
      <c r="K469" t="s">
        <v>19</v>
      </c>
      <c r="L469" t="s">
        <v>15</v>
      </c>
      <c r="M469" t="s">
        <v>37</v>
      </c>
      <c r="N469" t="b">
        <v>1</v>
      </c>
      <c r="O469" t="s">
        <v>16</v>
      </c>
      <c r="P469" t="s">
        <v>17</v>
      </c>
      <c r="Q469" t="s">
        <v>38</v>
      </c>
      <c r="R469" t="b">
        <v>1</v>
      </c>
    </row>
    <row r="470" spans="1:18" x14ac:dyDescent="0.3">
      <c r="A470">
        <v>0</v>
      </c>
      <c r="B470" t="s">
        <v>26</v>
      </c>
      <c r="C470">
        <v>3</v>
      </c>
      <c r="D470" t="s">
        <v>32</v>
      </c>
      <c r="E470" t="s">
        <v>13</v>
      </c>
      <c r="F470" t="s">
        <v>36</v>
      </c>
      <c r="G470">
        <v>30</v>
      </c>
      <c r="H470">
        <v>0</v>
      </c>
      <c r="I470">
        <v>0</v>
      </c>
      <c r="J470">
        <v>7.7249999999999996</v>
      </c>
      <c r="K470" t="s">
        <v>14</v>
      </c>
      <c r="L470" t="s">
        <v>15</v>
      </c>
      <c r="M470" t="s">
        <v>37</v>
      </c>
      <c r="N470" t="b">
        <v>1</v>
      </c>
      <c r="O470" t="s">
        <v>23</v>
      </c>
      <c r="P470" t="s">
        <v>17</v>
      </c>
      <c r="Q470" t="s">
        <v>38</v>
      </c>
      <c r="R470" t="b">
        <v>1</v>
      </c>
    </row>
    <row r="471" spans="1:18" x14ac:dyDescent="0.3">
      <c r="A471">
        <v>1</v>
      </c>
      <c r="B471" t="s">
        <v>27</v>
      </c>
      <c r="C471">
        <v>3</v>
      </c>
      <c r="D471" t="s">
        <v>32</v>
      </c>
      <c r="E471" t="s">
        <v>18</v>
      </c>
      <c r="F471" t="s">
        <v>39</v>
      </c>
      <c r="G471">
        <v>0.75</v>
      </c>
      <c r="H471">
        <v>2</v>
      </c>
      <c r="I471">
        <v>1</v>
      </c>
      <c r="J471">
        <v>19.258299999999998</v>
      </c>
      <c r="K471" t="s">
        <v>14</v>
      </c>
      <c r="L471" t="s">
        <v>24</v>
      </c>
      <c r="M471" t="s">
        <v>42</v>
      </c>
      <c r="N471" t="b">
        <v>0</v>
      </c>
      <c r="O471" t="s">
        <v>21</v>
      </c>
      <c r="P471" t="s">
        <v>22</v>
      </c>
      <c r="Q471" t="s">
        <v>41</v>
      </c>
      <c r="R471" t="b">
        <v>0</v>
      </c>
    </row>
    <row r="472" spans="1:18" x14ac:dyDescent="0.3">
      <c r="A472">
        <v>0</v>
      </c>
      <c r="B472" t="s">
        <v>26</v>
      </c>
      <c r="C472">
        <v>3</v>
      </c>
      <c r="D472" t="s">
        <v>32</v>
      </c>
      <c r="E472" t="s">
        <v>13</v>
      </c>
      <c r="F472" t="s">
        <v>36</v>
      </c>
      <c r="G472">
        <v>30</v>
      </c>
      <c r="H472">
        <v>0</v>
      </c>
      <c r="I472">
        <v>0</v>
      </c>
      <c r="J472">
        <v>7.25</v>
      </c>
      <c r="K472" t="s">
        <v>14</v>
      </c>
      <c r="L472" t="s">
        <v>15</v>
      </c>
      <c r="M472" t="s">
        <v>37</v>
      </c>
      <c r="N472" t="b">
        <v>1</v>
      </c>
      <c r="O472" t="s">
        <v>16</v>
      </c>
      <c r="P472" t="s">
        <v>17</v>
      </c>
      <c r="Q472" t="s">
        <v>38</v>
      </c>
      <c r="R472" t="b">
        <v>1</v>
      </c>
    </row>
    <row r="473" spans="1:18" x14ac:dyDescent="0.3">
      <c r="A473">
        <v>0</v>
      </c>
      <c r="B473" t="s">
        <v>26</v>
      </c>
      <c r="C473">
        <v>3</v>
      </c>
      <c r="D473" t="s">
        <v>32</v>
      </c>
      <c r="E473" t="s">
        <v>13</v>
      </c>
      <c r="F473" t="s">
        <v>36</v>
      </c>
      <c r="G473">
        <v>38</v>
      </c>
      <c r="H473">
        <v>0</v>
      </c>
      <c r="I473">
        <v>0</v>
      </c>
      <c r="J473">
        <v>8.6624999999999996</v>
      </c>
      <c r="K473" t="s">
        <v>14</v>
      </c>
      <c r="L473" t="s">
        <v>15</v>
      </c>
      <c r="M473" t="s">
        <v>37</v>
      </c>
      <c r="N473" t="b">
        <v>1</v>
      </c>
      <c r="O473" t="s">
        <v>16</v>
      </c>
      <c r="P473" t="s">
        <v>17</v>
      </c>
      <c r="Q473" t="s">
        <v>38</v>
      </c>
      <c r="R473" t="b">
        <v>1</v>
      </c>
    </row>
    <row r="474" spans="1:18" x14ac:dyDescent="0.3">
      <c r="A474">
        <v>1</v>
      </c>
      <c r="B474" t="s">
        <v>27</v>
      </c>
      <c r="C474">
        <v>2</v>
      </c>
      <c r="D474" t="s">
        <v>31</v>
      </c>
      <c r="E474" t="s">
        <v>18</v>
      </c>
      <c r="F474" t="s">
        <v>39</v>
      </c>
      <c r="G474">
        <v>33</v>
      </c>
      <c r="H474">
        <v>1</v>
      </c>
      <c r="I474">
        <v>2</v>
      </c>
      <c r="J474">
        <v>27.75</v>
      </c>
      <c r="K474" t="s">
        <v>25</v>
      </c>
      <c r="L474" t="s">
        <v>20</v>
      </c>
      <c r="M474" t="s">
        <v>40</v>
      </c>
      <c r="N474" t="b">
        <v>0</v>
      </c>
      <c r="O474" t="s">
        <v>16</v>
      </c>
      <c r="P474" t="s">
        <v>22</v>
      </c>
      <c r="Q474" t="s">
        <v>41</v>
      </c>
      <c r="R474" t="b">
        <v>0</v>
      </c>
    </row>
    <row r="475" spans="1:18" x14ac:dyDescent="0.3">
      <c r="A475">
        <v>1</v>
      </c>
      <c r="B475" t="s">
        <v>27</v>
      </c>
      <c r="C475">
        <v>2</v>
      </c>
      <c r="D475" t="s">
        <v>31</v>
      </c>
      <c r="E475" t="s">
        <v>18</v>
      </c>
      <c r="F475" t="s">
        <v>39</v>
      </c>
      <c r="G475">
        <v>23</v>
      </c>
      <c r="H475">
        <v>0</v>
      </c>
      <c r="I475">
        <v>0</v>
      </c>
      <c r="J475">
        <v>13.791700000000001</v>
      </c>
      <c r="K475" t="s">
        <v>25</v>
      </c>
      <c r="L475" t="s">
        <v>20</v>
      </c>
      <c r="M475" t="s">
        <v>40</v>
      </c>
      <c r="N475" t="b">
        <v>0</v>
      </c>
      <c r="O475" t="s">
        <v>21</v>
      </c>
      <c r="P475" t="s">
        <v>22</v>
      </c>
      <c r="Q475" t="s">
        <v>41</v>
      </c>
      <c r="R475" t="b">
        <v>1</v>
      </c>
    </row>
    <row r="476" spans="1:18" x14ac:dyDescent="0.3">
      <c r="A476">
        <v>0</v>
      </c>
      <c r="B476" t="s">
        <v>26</v>
      </c>
      <c r="C476">
        <v>3</v>
      </c>
      <c r="D476" t="s">
        <v>32</v>
      </c>
      <c r="E476" t="s">
        <v>18</v>
      </c>
      <c r="F476" t="s">
        <v>39</v>
      </c>
      <c r="G476">
        <v>22</v>
      </c>
      <c r="H476">
        <v>0</v>
      </c>
      <c r="I476">
        <v>0</v>
      </c>
      <c r="J476">
        <v>9.8375000000000004</v>
      </c>
      <c r="K476" t="s">
        <v>14</v>
      </c>
      <c r="L476" t="s">
        <v>20</v>
      </c>
      <c r="M476" t="s">
        <v>40</v>
      </c>
      <c r="N476" t="b">
        <v>0</v>
      </c>
      <c r="O476" t="s">
        <v>16</v>
      </c>
      <c r="P476" t="s">
        <v>17</v>
      </c>
      <c r="Q476" t="s">
        <v>38</v>
      </c>
      <c r="R476" t="b">
        <v>1</v>
      </c>
    </row>
    <row r="477" spans="1:18" x14ac:dyDescent="0.3">
      <c r="A477">
        <v>0</v>
      </c>
      <c r="B477" t="s">
        <v>26</v>
      </c>
      <c r="C477">
        <v>1</v>
      </c>
      <c r="D477" t="s">
        <v>30</v>
      </c>
      <c r="E477" t="s">
        <v>13</v>
      </c>
      <c r="F477" t="s">
        <v>36</v>
      </c>
      <c r="G477">
        <v>30</v>
      </c>
      <c r="H477">
        <v>0</v>
      </c>
      <c r="I477">
        <v>0</v>
      </c>
      <c r="J477">
        <v>52</v>
      </c>
      <c r="K477" t="s">
        <v>19</v>
      </c>
      <c r="L477" t="s">
        <v>15</v>
      </c>
      <c r="M477" t="s">
        <v>37</v>
      </c>
      <c r="N477" t="b">
        <v>1</v>
      </c>
      <c r="O477" t="s">
        <v>16</v>
      </c>
      <c r="P477" t="s">
        <v>17</v>
      </c>
      <c r="Q477" t="s">
        <v>38</v>
      </c>
      <c r="R477" t="b">
        <v>1</v>
      </c>
    </row>
    <row r="478" spans="1:18" x14ac:dyDescent="0.3">
      <c r="A478">
        <v>0</v>
      </c>
      <c r="B478" t="s">
        <v>26</v>
      </c>
      <c r="C478">
        <v>2</v>
      </c>
      <c r="D478" t="s">
        <v>31</v>
      </c>
      <c r="E478" t="s">
        <v>13</v>
      </c>
      <c r="F478" t="s">
        <v>36</v>
      </c>
      <c r="G478">
        <v>34</v>
      </c>
      <c r="H478">
        <v>1</v>
      </c>
      <c r="I478">
        <v>0</v>
      </c>
      <c r="J478">
        <v>21</v>
      </c>
      <c r="K478" t="s">
        <v>25</v>
      </c>
      <c r="L478" t="s">
        <v>15</v>
      </c>
      <c r="M478" t="s">
        <v>37</v>
      </c>
      <c r="N478" t="b">
        <v>1</v>
      </c>
      <c r="O478" t="s">
        <v>16</v>
      </c>
      <c r="P478" t="s">
        <v>17</v>
      </c>
      <c r="Q478" t="s">
        <v>38</v>
      </c>
      <c r="R478" t="b">
        <v>0</v>
      </c>
    </row>
    <row r="479" spans="1:18" x14ac:dyDescent="0.3">
      <c r="A479">
        <v>0</v>
      </c>
      <c r="B479" t="s">
        <v>26</v>
      </c>
      <c r="C479">
        <v>3</v>
      </c>
      <c r="D479" t="s">
        <v>32</v>
      </c>
      <c r="E479" t="s">
        <v>13</v>
      </c>
      <c r="F479" t="s">
        <v>36</v>
      </c>
      <c r="G479">
        <v>29</v>
      </c>
      <c r="H479">
        <v>1</v>
      </c>
      <c r="I479">
        <v>0</v>
      </c>
      <c r="J479">
        <v>7.0457999999999998</v>
      </c>
      <c r="K479" t="s">
        <v>14</v>
      </c>
      <c r="L479" t="s">
        <v>15</v>
      </c>
      <c r="M479" t="s">
        <v>37</v>
      </c>
      <c r="N479" t="b">
        <v>1</v>
      </c>
      <c r="O479" t="s">
        <v>16</v>
      </c>
      <c r="P479" t="s">
        <v>17</v>
      </c>
      <c r="Q479" t="s">
        <v>38</v>
      </c>
      <c r="R479" t="b">
        <v>0</v>
      </c>
    </row>
    <row r="480" spans="1:18" x14ac:dyDescent="0.3">
      <c r="A480">
        <v>0</v>
      </c>
      <c r="B480" t="s">
        <v>26</v>
      </c>
      <c r="C480">
        <v>3</v>
      </c>
      <c r="D480" t="s">
        <v>32</v>
      </c>
      <c r="E480" t="s">
        <v>13</v>
      </c>
      <c r="F480" t="s">
        <v>36</v>
      </c>
      <c r="G480">
        <v>22</v>
      </c>
      <c r="H480">
        <v>0</v>
      </c>
      <c r="I480">
        <v>0</v>
      </c>
      <c r="J480">
        <v>7.5208000000000004</v>
      </c>
      <c r="K480" t="s">
        <v>14</v>
      </c>
      <c r="L480" t="s">
        <v>15</v>
      </c>
      <c r="M480" t="s">
        <v>37</v>
      </c>
      <c r="N480" t="b">
        <v>1</v>
      </c>
      <c r="O480" t="s">
        <v>16</v>
      </c>
      <c r="P480" t="s">
        <v>17</v>
      </c>
      <c r="Q480" t="s">
        <v>38</v>
      </c>
      <c r="R480" t="b">
        <v>1</v>
      </c>
    </row>
    <row r="481" spans="1:18" x14ac:dyDescent="0.3">
      <c r="A481">
        <v>1</v>
      </c>
      <c r="B481" t="s">
        <v>27</v>
      </c>
      <c r="C481">
        <v>3</v>
      </c>
      <c r="D481" t="s">
        <v>32</v>
      </c>
      <c r="E481" t="s">
        <v>18</v>
      </c>
      <c r="F481" t="s">
        <v>39</v>
      </c>
      <c r="G481">
        <v>2</v>
      </c>
      <c r="H481">
        <v>0</v>
      </c>
      <c r="I481">
        <v>1</v>
      </c>
      <c r="J481">
        <v>12.2875</v>
      </c>
      <c r="K481" t="s">
        <v>14</v>
      </c>
      <c r="L481" t="s">
        <v>24</v>
      </c>
      <c r="M481" t="s">
        <v>42</v>
      </c>
      <c r="N481" t="b">
        <v>0</v>
      </c>
      <c r="O481" t="s">
        <v>16</v>
      </c>
      <c r="P481" t="s">
        <v>22</v>
      </c>
      <c r="Q481" t="s">
        <v>41</v>
      </c>
      <c r="R481" t="b">
        <v>0</v>
      </c>
    </row>
    <row r="482" spans="1:18" x14ac:dyDescent="0.3">
      <c r="A482">
        <v>0</v>
      </c>
      <c r="B482" t="s">
        <v>26</v>
      </c>
      <c r="C482">
        <v>3</v>
      </c>
      <c r="D482" t="s">
        <v>32</v>
      </c>
      <c r="E482" t="s">
        <v>13</v>
      </c>
      <c r="F482" t="s">
        <v>36</v>
      </c>
      <c r="G482">
        <v>9</v>
      </c>
      <c r="H482">
        <v>5</v>
      </c>
      <c r="I482">
        <v>2</v>
      </c>
      <c r="J482">
        <v>46.9</v>
      </c>
      <c r="K482" t="s">
        <v>14</v>
      </c>
      <c r="L482" t="s">
        <v>24</v>
      </c>
      <c r="M482" t="s">
        <v>42</v>
      </c>
      <c r="N482" t="b">
        <v>0</v>
      </c>
      <c r="O482" t="s">
        <v>16</v>
      </c>
      <c r="P482" t="s">
        <v>17</v>
      </c>
      <c r="Q482" t="s">
        <v>38</v>
      </c>
      <c r="R482" t="b">
        <v>0</v>
      </c>
    </row>
    <row r="483" spans="1:18" x14ac:dyDescent="0.3">
      <c r="A483">
        <v>0</v>
      </c>
      <c r="B483" t="s">
        <v>26</v>
      </c>
      <c r="C483">
        <v>2</v>
      </c>
      <c r="D483" t="s">
        <v>31</v>
      </c>
      <c r="E483" t="s">
        <v>13</v>
      </c>
      <c r="F483" t="s">
        <v>36</v>
      </c>
      <c r="G483">
        <v>30</v>
      </c>
      <c r="H483">
        <v>0</v>
      </c>
      <c r="I483">
        <v>0</v>
      </c>
      <c r="J483">
        <v>0</v>
      </c>
      <c r="K483" t="s">
        <v>25</v>
      </c>
      <c r="L483" t="s">
        <v>15</v>
      </c>
      <c r="M483" t="s">
        <v>37</v>
      </c>
      <c r="N483" t="b">
        <v>1</v>
      </c>
      <c r="O483" t="s">
        <v>16</v>
      </c>
      <c r="P483" t="s">
        <v>17</v>
      </c>
      <c r="Q483" t="s">
        <v>38</v>
      </c>
      <c r="R483" t="b">
        <v>1</v>
      </c>
    </row>
    <row r="484" spans="1:18" x14ac:dyDescent="0.3">
      <c r="A484">
        <v>0</v>
      </c>
      <c r="B484" t="s">
        <v>26</v>
      </c>
      <c r="C484">
        <v>3</v>
      </c>
      <c r="D484" t="s">
        <v>32</v>
      </c>
      <c r="E484" t="s">
        <v>13</v>
      </c>
      <c r="F484" t="s">
        <v>36</v>
      </c>
      <c r="G484">
        <v>50</v>
      </c>
      <c r="H484">
        <v>0</v>
      </c>
      <c r="I484">
        <v>0</v>
      </c>
      <c r="J484">
        <v>8.0500000000000007</v>
      </c>
      <c r="K484" t="s">
        <v>14</v>
      </c>
      <c r="L484" t="s">
        <v>15</v>
      </c>
      <c r="M484" t="s">
        <v>37</v>
      </c>
      <c r="N484" t="b">
        <v>1</v>
      </c>
      <c r="O484" t="s">
        <v>16</v>
      </c>
      <c r="P484" t="s">
        <v>17</v>
      </c>
      <c r="Q484" t="s">
        <v>38</v>
      </c>
      <c r="R484" t="b">
        <v>1</v>
      </c>
    </row>
    <row r="485" spans="1:18" x14ac:dyDescent="0.3">
      <c r="A485">
        <v>1</v>
      </c>
      <c r="B485" t="s">
        <v>27</v>
      </c>
      <c r="C485">
        <v>3</v>
      </c>
      <c r="D485" t="s">
        <v>32</v>
      </c>
      <c r="E485" t="s">
        <v>18</v>
      </c>
      <c r="F485" t="s">
        <v>39</v>
      </c>
      <c r="G485">
        <v>63</v>
      </c>
      <c r="H485">
        <v>0</v>
      </c>
      <c r="I485">
        <v>0</v>
      </c>
      <c r="J485">
        <v>9.5875000000000004</v>
      </c>
      <c r="K485" t="s">
        <v>14</v>
      </c>
      <c r="L485" t="s">
        <v>20</v>
      </c>
      <c r="M485" t="s">
        <v>40</v>
      </c>
      <c r="N485" t="b">
        <v>0</v>
      </c>
      <c r="O485" t="s">
        <v>16</v>
      </c>
      <c r="P485" t="s">
        <v>22</v>
      </c>
      <c r="Q485" t="s">
        <v>41</v>
      </c>
      <c r="R485" t="b">
        <v>1</v>
      </c>
    </row>
    <row r="486" spans="1:18" x14ac:dyDescent="0.3">
      <c r="A486">
        <v>1</v>
      </c>
      <c r="B486" t="s">
        <v>27</v>
      </c>
      <c r="C486">
        <v>1</v>
      </c>
      <c r="D486" t="s">
        <v>30</v>
      </c>
      <c r="E486" t="s">
        <v>13</v>
      </c>
      <c r="F486" t="s">
        <v>36</v>
      </c>
      <c r="G486">
        <v>25</v>
      </c>
      <c r="H486">
        <v>1</v>
      </c>
      <c r="I486">
        <v>0</v>
      </c>
      <c r="J486">
        <v>91.0792</v>
      </c>
      <c r="K486" t="s">
        <v>19</v>
      </c>
      <c r="L486" t="s">
        <v>15</v>
      </c>
      <c r="M486" t="s">
        <v>37</v>
      </c>
      <c r="N486" t="b">
        <v>1</v>
      </c>
      <c r="O486" t="s">
        <v>21</v>
      </c>
      <c r="P486" t="s">
        <v>22</v>
      </c>
      <c r="Q486" t="s">
        <v>41</v>
      </c>
      <c r="R486" t="b">
        <v>0</v>
      </c>
    </row>
    <row r="487" spans="1:18" x14ac:dyDescent="0.3">
      <c r="A487">
        <v>0</v>
      </c>
      <c r="B487" t="s">
        <v>26</v>
      </c>
      <c r="C487">
        <v>3</v>
      </c>
      <c r="D487" t="s">
        <v>32</v>
      </c>
      <c r="E487" t="s">
        <v>18</v>
      </c>
      <c r="F487" t="s">
        <v>39</v>
      </c>
      <c r="G487">
        <v>30</v>
      </c>
      <c r="H487">
        <v>3</v>
      </c>
      <c r="I487">
        <v>1</v>
      </c>
      <c r="J487">
        <v>25.466699999999999</v>
      </c>
      <c r="K487" t="s">
        <v>14</v>
      </c>
      <c r="L487" t="s">
        <v>20</v>
      </c>
      <c r="M487" t="s">
        <v>40</v>
      </c>
      <c r="N487" t="b">
        <v>0</v>
      </c>
      <c r="O487" t="s">
        <v>16</v>
      </c>
      <c r="P487" t="s">
        <v>17</v>
      </c>
      <c r="Q487" t="s">
        <v>38</v>
      </c>
      <c r="R487" t="b">
        <v>0</v>
      </c>
    </row>
    <row r="488" spans="1:18" x14ac:dyDescent="0.3">
      <c r="A488">
        <v>1</v>
      </c>
      <c r="B488" t="s">
        <v>27</v>
      </c>
      <c r="C488">
        <v>1</v>
      </c>
      <c r="D488" t="s">
        <v>30</v>
      </c>
      <c r="E488" t="s">
        <v>18</v>
      </c>
      <c r="F488" t="s">
        <v>39</v>
      </c>
      <c r="G488">
        <v>35</v>
      </c>
      <c r="H488">
        <v>1</v>
      </c>
      <c r="I488">
        <v>0</v>
      </c>
      <c r="J488">
        <v>90</v>
      </c>
      <c r="K488" t="s">
        <v>19</v>
      </c>
      <c r="L488" t="s">
        <v>20</v>
      </c>
      <c r="M488" t="s">
        <v>40</v>
      </c>
      <c r="N488" t="b">
        <v>0</v>
      </c>
      <c r="O488" t="s">
        <v>16</v>
      </c>
      <c r="P488" t="s">
        <v>22</v>
      </c>
      <c r="Q488" t="s">
        <v>41</v>
      </c>
      <c r="R488" t="b">
        <v>0</v>
      </c>
    </row>
    <row r="489" spans="1:18" x14ac:dyDescent="0.3">
      <c r="A489">
        <v>0</v>
      </c>
      <c r="B489" t="s">
        <v>26</v>
      </c>
      <c r="C489">
        <v>1</v>
      </c>
      <c r="D489" t="s">
        <v>30</v>
      </c>
      <c r="E489" t="s">
        <v>13</v>
      </c>
      <c r="F489" t="s">
        <v>36</v>
      </c>
      <c r="G489">
        <v>58</v>
      </c>
      <c r="H489">
        <v>0</v>
      </c>
      <c r="I489">
        <v>0</v>
      </c>
      <c r="J489">
        <v>29.7</v>
      </c>
      <c r="K489" t="s">
        <v>19</v>
      </c>
      <c r="L489" t="s">
        <v>15</v>
      </c>
      <c r="M489" t="s">
        <v>37</v>
      </c>
      <c r="N489" t="b">
        <v>1</v>
      </c>
      <c r="O489" t="s">
        <v>21</v>
      </c>
      <c r="P489" t="s">
        <v>17</v>
      </c>
      <c r="Q489" t="s">
        <v>38</v>
      </c>
      <c r="R489" t="b">
        <v>1</v>
      </c>
    </row>
    <row r="490" spans="1:18" x14ac:dyDescent="0.3">
      <c r="A490">
        <v>0</v>
      </c>
      <c r="B490" t="s">
        <v>26</v>
      </c>
      <c r="C490">
        <v>3</v>
      </c>
      <c r="D490" t="s">
        <v>32</v>
      </c>
      <c r="E490" t="s">
        <v>13</v>
      </c>
      <c r="F490" t="s">
        <v>36</v>
      </c>
      <c r="G490">
        <v>30</v>
      </c>
      <c r="H490">
        <v>0</v>
      </c>
      <c r="I490">
        <v>0</v>
      </c>
      <c r="J490">
        <v>8.0500000000000007</v>
      </c>
      <c r="K490" t="s">
        <v>14</v>
      </c>
      <c r="L490" t="s">
        <v>15</v>
      </c>
      <c r="M490" t="s">
        <v>37</v>
      </c>
      <c r="N490" t="b">
        <v>1</v>
      </c>
      <c r="O490" t="s">
        <v>16</v>
      </c>
      <c r="P490" t="s">
        <v>17</v>
      </c>
      <c r="Q490" t="s">
        <v>38</v>
      </c>
      <c r="R490" t="b">
        <v>1</v>
      </c>
    </row>
    <row r="491" spans="1:18" x14ac:dyDescent="0.3">
      <c r="A491">
        <v>1</v>
      </c>
      <c r="B491" t="s">
        <v>27</v>
      </c>
      <c r="C491">
        <v>3</v>
      </c>
      <c r="D491" t="s">
        <v>32</v>
      </c>
      <c r="E491" t="s">
        <v>13</v>
      </c>
      <c r="F491" t="s">
        <v>36</v>
      </c>
      <c r="G491">
        <v>9</v>
      </c>
      <c r="H491">
        <v>1</v>
      </c>
      <c r="I491">
        <v>1</v>
      </c>
      <c r="J491">
        <v>15.9</v>
      </c>
      <c r="K491" t="s">
        <v>14</v>
      </c>
      <c r="L491" t="s">
        <v>24</v>
      </c>
      <c r="M491" t="s">
        <v>42</v>
      </c>
      <c r="N491" t="b">
        <v>0</v>
      </c>
      <c r="O491" t="s">
        <v>16</v>
      </c>
      <c r="P491" t="s">
        <v>22</v>
      </c>
      <c r="Q491" t="s">
        <v>41</v>
      </c>
      <c r="R491" t="b">
        <v>0</v>
      </c>
    </row>
    <row r="492" spans="1:18" x14ac:dyDescent="0.3">
      <c r="A492">
        <v>0</v>
      </c>
      <c r="B492" t="s">
        <v>26</v>
      </c>
      <c r="C492">
        <v>3</v>
      </c>
      <c r="D492" t="s">
        <v>32</v>
      </c>
      <c r="E492" t="s">
        <v>13</v>
      </c>
      <c r="F492" t="s">
        <v>36</v>
      </c>
      <c r="G492">
        <v>30</v>
      </c>
      <c r="H492">
        <v>1</v>
      </c>
      <c r="I492">
        <v>0</v>
      </c>
      <c r="J492">
        <v>19.966699999999999</v>
      </c>
      <c r="K492" t="s">
        <v>14</v>
      </c>
      <c r="L492" t="s">
        <v>15</v>
      </c>
      <c r="M492" t="s">
        <v>37</v>
      </c>
      <c r="N492" t="b">
        <v>1</v>
      </c>
      <c r="O492" t="s">
        <v>16</v>
      </c>
      <c r="P492" t="s">
        <v>17</v>
      </c>
      <c r="Q492" t="s">
        <v>38</v>
      </c>
      <c r="R492" t="b">
        <v>0</v>
      </c>
    </row>
    <row r="493" spans="1:18" x14ac:dyDescent="0.3">
      <c r="A493">
        <v>0</v>
      </c>
      <c r="B493" t="s">
        <v>26</v>
      </c>
      <c r="C493">
        <v>3</v>
      </c>
      <c r="D493" t="s">
        <v>32</v>
      </c>
      <c r="E493" t="s">
        <v>13</v>
      </c>
      <c r="F493" t="s">
        <v>36</v>
      </c>
      <c r="G493">
        <v>21</v>
      </c>
      <c r="H493">
        <v>0</v>
      </c>
      <c r="I493">
        <v>0</v>
      </c>
      <c r="J493">
        <v>7.25</v>
      </c>
      <c r="K493" t="s">
        <v>14</v>
      </c>
      <c r="L493" t="s">
        <v>15</v>
      </c>
      <c r="M493" t="s">
        <v>37</v>
      </c>
      <c r="N493" t="b">
        <v>1</v>
      </c>
      <c r="O493" t="s">
        <v>16</v>
      </c>
      <c r="P493" t="s">
        <v>17</v>
      </c>
      <c r="Q493" t="s">
        <v>38</v>
      </c>
      <c r="R493" t="b">
        <v>1</v>
      </c>
    </row>
    <row r="494" spans="1:18" x14ac:dyDescent="0.3">
      <c r="A494">
        <v>0</v>
      </c>
      <c r="B494" t="s">
        <v>26</v>
      </c>
      <c r="C494">
        <v>1</v>
      </c>
      <c r="D494" t="s">
        <v>30</v>
      </c>
      <c r="E494" t="s">
        <v>13</v>
      </c>
      <c r="F494" t="s">
        <v>36</v>
      </c>
      <c r="G494">
        <v>55</v>
      </c>
      <c r="H494">
        <v>0</v>
      </c>
      <c r="I494">
        <v>0</v>
      </c>
      <c r="J494">
        <v>30.5</v>
      </c>
      <c r="K494" t="s">
        <v>19</v>
      </c>
      <c r="L494" t="s">
        <v>15</v>
      </c>
      <c r="M494" t="s">
        <v>37</v>
      </c>
      <c r="N494" t="b">
        <v>1</v>
      </c>
      <c r="O494" t="s">
        <v>16</v>
      </c>
      <c r="P494" t="s">
        <v>17</v>
      </c>
      <c r="Q494" t="s">
        <v>38</v>
      </c>
      <c r="R494" t="b">
        <v>1</v>
      </c>
    </row>
    <row r="495" spans="1:18" x14ac:dyDescent="0.3">
      <c r="A495">
        <v>0</v>
      </c>
      <c r="B495" t="s">
        <v>26</v>
      </c>
      <c r="C495">
        <v>1</v>
      </c>
      <c r="D495" t="s">
        <v>30</v>
      </c>
      <c r="E495" t="s">
        <v>13</v>
      </c>
      <c r="F495" t="s">
        <v>36</v>
      </c>
      <c r="G495">
        <v>71</v>
      </c>
      <c r="H495">
        <v>0</v>
      </c>
      <c r="I495">
        <v>0</v>
      </c>
      <c r="J495">
        <v>49.504199999999997</v>
      </c>
      <c r="K495" t="s">
        <v>19</v>
      </c>
      <c r="L495" t="s">
        <v>15</v>
      </c>
      <c r="M495" t="s">
        <v>37</v>
      </c>
      <c r="N495" t="b">
        <v>1</v>
      </c>
      <c r="O495" t="s">
        <v>21</v>
      </c>
      <c r="P495" t="s">
        <v>17</v>
      </c>
      <c r="Q495" t="s">
        <v>38</v>
      </c>
      <c r="R495" t="b">
        <v>1</v>
      </c>
    </row>
    <row r="496" spans="1:18" x14ac:dyDescent="0.3">
      <c r="A496">
        <v>0</v>
      </c>
      <c r="B496" t="s">
        <v>26</v>
      </c>
      <c r="C496">
        <v>3</v>
      </c>
      <c r="D496" t="s">
        <v>32</v>
      </c>
      <c r="E496" t="s">
        <v>13</v>
      </c>
      <c r="F496" t="s">
        <v>36</v>
      </c>
      <c r="G496">
        <v>21</v>
      </c>
      <c r="H496">
        <v>0</v>
      </c>
      <c r="I496">
        <v>0</v>
      </c>
      <c r="J496">
        <v>8.0500000000000007</v>
      </c>
      <c r="K496" t="s">
        <v>14</v>
      </c>
      <c r="L496" t="s">
        <v>15</v>
      </c>
      <c r="M496" t="s">
        <v>37</v>
      </c>
      <c r="N496" t="b">
        <v>1</v>
      </c>
      <c r="O496" t="s">
        <v>16</v>
      </c>
      <c r="P496" t="s">
        <v>17</v>
      </c>
      <c r="Q496" t="s">
        <v>38</v>
      </c>
      <c r="R496" t="b">
        <v>1</v>
      </c>
    </row>
    <row r="497" spans="1:18" x14ac:dyDescent="0.3">
      <c r="A497">
        <v>0</v>
      </c>
      <c r="B497" t="s">
        <v>26</v>
      </c>
      <c r="C497">
        <v>3</v>
      </c>
      <c r="D497" t="s">
        <v>32</v>
      </c>
      <c r="E497" t="s">
        <v>13</v>
      </c>
      <c r="F497" t="s">
        <v>36</v>
      </c>
      <c r="G497">
        <v>30</v>
      </c>
      <c r="H497">
        <v>0</v>
      </c>
      <c r="I497">
        <v>0</v>
      </c>
      <c r="J497">
        <v>14.458299999999999</v>
      </c>
      <c r="K497" t="s">
        <v>14</v>
      </c>
      <c r="L497" t="s">
        <v>15</v>
      </c>
      <c r="M497" t="s">
        <v>37</v>
      </c>
      <c r="N497" t="b">
        <v>1</v>
      </c>
      <c r="O497" t="s">
        <v>21</v>
      </c>
      <c r="P497" t="s">
        <v>17</v>
      </c>
      <c r="Q497" t="s">
        <v>38</v>
      </c>
      <c r="R497" t="b">
        <v>1</v>
      </c>
    </row>
    <row r="498" spans="1:18" x14ac:dyDescent="0.3">
      <c r="A498">
        <v>1</v>
      </c>
      <c r="B498" t="s">
        <v>27</v>
      </c>
      <c r="C498">
        <v>1</v>
      </c>
      <c r="D498" t="s">
        <v>30</v>
      </c>
      <c r="E498" t="s">
        <v>18</v>
      </c>
      <c r="F498" t="s">
        <v>39</v>
      </c>
      <c r="G498">
        <v>54</v>
      </c>
      <c r="H498">
        <v>1</v>
      </c>
      <c r="I498">
        <v>0</v>
      </c>
      <c r="J498">
        <v>78.2667</v>
      </c>
      <c r="K498" t="s">
        <v>19</v>
      </c>
      <c r="L498" t="s">
        <v>20</v>
      </c>
      <c r="M498" t="s">
        <v>40</v>
      </c>
      <c r="N498" t="b">
        <v>0</v>
      </c>
      <c r="O498" t="s">
        <v>21</v>
      </c>
      <c r="P498" t="s">
        <v>22</v>
      </c>
      <c r="Q498" t="s">
        <v>41</v>
      </c>
      <c r="R498" t="b">
        <v>0</v>
      </c>
    </row>
    <row r="499" spans="1:18" x14ac:dyDescent="0.3">
      <c r="A499">
        <v>0</v>
      </c>
      <c r="B499" t="s">
        <v>26</v>
      </c>
      <c r="C499">
        <v>3</v>
      </c>
      <c r="D499" t="s">
        <v>32</v>
      </c>
      <c r="E499" t="s">
        <v>13</v>
      </c>
      <c r="F499" t="s">
        <v>36</v>
      </c>
      <c r="G499">
        <v>30</v>
      </c>
      <c r="H499">
        <v>0</v>
      </c>
      <c r="I499">
        <v>0</v>
      </c>
      <c r="J499">
        <v>15.1</v>
      </c>
      <c r="K499" t="s">
        <v>14</v>
      </c>
      <c r="L499" t="s">
        <v>15</v>
      </c>
      <c r="M499" t="s">
        <v>37</v>
      </c>
      <c r="N499" t="b">
        <v>1</v>
      </c>
      <c r="O499" t="s">
        <v>16</v>
      </c>
      <c r="P499" t="s">
        <v>17</v>
      </c>
      <c r="Q499" t="s">
        <v>38</v>
      </c>
      <c r="R499" t="b">
        <v>1</v>
      </c>
    </row>
    <row r="500" spans="1:18" x14ac:dyDescent="0.3">
      <c r="A500">
        <v>0</v>
      </c>
      <c r="B500" t="s">
        <v>26</v>
      </c>
      <c r="C500">
        <v>1</v>
      </c>
      <c r="D500" t="s">
        <v>30</v>
      </c>
      <c r="E500" t="s">
        <v>18</v>
      </c>
      <c r="F500" t="s">
        <v>39</v>
      </c>
      <c r="G500">
        <v>25</v>
      </c>
      <c r="H500">
        <v>1</v>
      </c>
      <c r="I500">
        <v>2</v>
      </c>
      <c r="J500">
        <v>151.55000000000001</v>
      </c>
      <c r="K500" t="s">
        <v>19</v>
      </c>
      <c r="L500" t="s">
        <v>20</v>
      </c>
      <c r="M500" t="s">
        <v>40</v>
      </c>
      <c r="N500" t="b">
        <v>0</v>
      </c>
      <c r="O500" t="s">
        <v>16</v>
      </c>
      <c r="P500" t="s">
        <v>17</v>
      </c>
      <c r="Q500" t="s">
        <v>38</v>
      </c>
      <c r="R500" t="b">
        <v>0</v>
      </c>
    </row>
    <row r="501" spans="1:18" x14ac:dyDescent="0.3">
      <c r="A501">
        <v>0</v>
      </c>
      <c r="B501" t="s">
        <v>26</v>
      </c>
      <c r="C501">
        <v>3</v>
      </c>
      <c r="D501" t="s">
        <v>32</v>
      </c>
      <c r="E501" t="s">
        <v>13</v>
      </c>
      <c r="F501" t="s">
        <v>36</v>
      </c>
      <c r="G501">
        <v>24</v>
      </c>
      <c r="H501">
        <v>0</v>
      </c>
      <c r="I501">
        <v>0</v>
      </c>
      <c r="J501">
        <v>7.7957999999999998</v>
      </c>
      <c r="K501" t="s">
        <v>14</v>
      </c>
      <c r="L501" t="s">
        <v>15</v>
      </c>
      <c r="M501" t="s">
        <v>37</v>
      </c>
      <c r="N501" t="b">
        <v>1</v>
      </c>
      <c r="O501" t="s">
        <v>16</v>
      </c>
      <c r="P501" t="s">
        <v>17</v>
      </c>
      <c r="Q501" t="s">
        <v>38</v>
      </c>
      <c r="R501" t="b">
        <v>1</v>
      </c>
    </row>
    <row r="502" spans="1:18" x14ac:dyDescent="0.3">
      <c r="A502">
        <v>0</v>
      </c>
      <c r="B502" t="s">
        <v>26</v>
      </c>
      <c r="C502">
        <v>3</v>
      </c>
      <c r="D502" t="s">
        <v>32</v>
      </c>
      <c r="E502" t="s">
        <v>13</v>
      </c>
      <c r="F502" t="s">
        <v>36</v>
      </c>
      <c r="G502">
        <v>17</v>
      </c>
      <c r="H502">
        <v>0</v>
      </c>
      <c r="I502">
        <v>0</v>
      </c>
      <c r="J502">
        <v>8.6624999999999996</v>
      </c>
      <c r="K502" t="s">
        <v>14</v>
      </c>
      <c r="L502" t="s">
        <v>15</v>
      </c>
      <c r="M502" t="s">
        <v>37</v>
      </c>
      <c r="N502" t="b">
        <v>1</v>
      </c>
      <c r="O502" t="s">
        <v>16</v>
      </c>
      <c r="P502" t="s">
        <v>17</v>
      </c>
      <c r="Q502" t="s">
        <v>38</v>
      </c>
      <c r="R502" t="b">
        <v>1</v>
      </c>
    </row>
    <row r="503" spans="1:18" x14ac:dyDescent="0.3">
      <c r="A503">
        <v>0</v>
      </c>
      <c r="B503" t="s">
        <v>26</v>
      </c>
      <c r="C503">
        <v>3</v>
      </c>
      <c r="D503" t="s">
        <v>32</v>
      </c>
      <c r="E503" t="s">
        <v>18</v>
      </c>
      <c r="F503" t="s">
        <v>39</v>
      </c>
      <c r="G503">
        <v>21</v>
      </c>
      <c r="H503">
        <v>0</v>
      </c>
      <c r="I503">
        <v>0</v>
      </c>
      <c r="J503">
        <v>7.75</v>
      </c>
      <c r="K503" t="s">
        <v>14</v>
      </c>
      <c r="L503" t="s">
        <v>20</v>
      </c>
      <c r="M503" t="s">
        <v>40</v>
      </c>
      <c r="N503" t="b">
        <v>0</v>
      </c>
      <c r="O503" t="s">
        <v>23</v>
      </c>
      <c r="P503" t="s">
        <v>17</v>
      </c>
      <c r="Q503" t="s">
        <v>38</v>
      </c>
      <c r="R503" t="b">
        <v>1</v>
      </c>
    </row>
    <row r="504" spans="1:18" x14ac:dyDescent="0.3">
      <c r="A504">
        <v>0</v>
      </c>
      <c r="B504" t="s">
        <v>26</v>
      </c>
      <c r="C504">
        <v>3</v>
      </c>
      <c r="D504" t="s">
        <v>32</v>
      </c>
      <c r="E504" t="s">
        <v>18</v>
      </c>
      <c r="F504" t="s">
        <v>39</v>
      </c>
      <c r="G504">
        <v>30</v>
      </c>
      <c r="H504">
        <v>0</v>
      </c>
      <c r="I504">
        <v>0</v>
      </c>
      <c r="J504">
        <v>7.6292</v>
      </c>
      <c r="K504" t="s">
        <v>14</v>
      </c>
      <c r="L504" t="s">
        <v>20</v>
      </c>
      <c r="M504" t="s">
        <v>40</v>
      </c>
      <c r="N504" t="b">
        <v>0</v>
      </c>
      <c r="O504" t="s">
        <v>23</v>
      </c>
      <c r="P504" t="s">
        <v>17</v>
      </c>
      <c r="Q504" t="s">
        <v>38</v>
      </c>
      <c r="R504" t="b">
        <v>1</v>
      </c>
    </row>
    <row r="505" spans="1:18" x14ac:dyDescent="0.3">
      <c r="A505">
        <v>0</v>
      </c>
      <c r="B505" t="s">
        <v>26</v>
      </c>
      <c r="C505">
        <v>3</v>
      </c>
      <c r="D505" t="s">
        <v>32</v>
      </c>
      <c r="E505" t="s">
        <v>18</v>
      </c>
      <c r="F505" t="s">
        <v>39</v>
      </c>
      <c r="G505">
        <v>37</v>
      </c>
      <c r="H505">
        <v>0</v>
      </c>
      <c r="I505">
        <v>0</v>
      </c>
      <c r="J505">
        <v>9.5875000000000004</v>
      </c>
      <c r="K505" t="s">
        <v>14</v>
      </c>
      <c r="L505" t="s">
        <v>20</v>
      </c>
      <c r="M505" t="s">
        <v>40</v>
      </c>
      <c r="N505" t="b">
        <v>0</v>
      </c>
      <c r="O505" t="s">
        <v>16</v>
      </c>
      <c r="P505" t="s">
        <v>17</v>
      </c>
      <c r="Q505" t="s">
        <v>38</v>
      </c>
      <c r="R505" t="b">
        <v>1</v>
      </c>
    </row>
    <row r="506" spans="1:18" x14ac:dyDescent="0.3">
      <c r="A506">
        <v>1</v>
      </c>
      <c r="B506" t="s">
        <v>27</v>
      </c>
      <c r="C506">
        <v>1</v>
      </c>
      <c r="D506" t="s">
        <v>30</v>
      </c>
      <c r="E506" t="s">
        <v>18</v>
      </c>
      <c r="F506" t="s">
        <v>39</v>
      </c>
      <c r="G506">
        <v>16</v>
      </c>
      <c r="H506">
        <v>0</v>
      </c>
      <c r="I506">
        <v>0</v>
      </c>
      <c r="J506">
        <v>86.5</v>
      </c>
      <c r="K506" t="s">
        <v>19</v>
      </c>
      <c r="L506" t="s">
        <v>20</v>
      </c>
      <c r="M506" t="s">
        <v>40</v>
      </c>
      <c r="N506" t="b">
        <v>0</v>
      </c>
      <c r="O506" t="s">
        <v>16</v>
      </c>
      <c r="P506" t="s">
        <v>22</v>
      </c>
      <c r="Q506" t="s">
        <v>41</v>
      </c>
      <c r="R506" t="b">
        <v>1</v>
      </c>
    </row>
    <row r="507" spans="1:18" x14ac:dyDescent="0.3">
      <c r="A507">
        <v>0</v>
      </c>
      <c r="B507" t="s">
        <v>26</v>
      </c>
      <c r="C507">
        <v>1</v>
      </c>
      <c r="D507" t="s">
        <v>30</v>
      </c>
      <c r="E507" t="s">
        <v>13</v>
      </c>
      <c r="F507" t="s">
        <v>36</v>
      </c>
      <c r="G507">
        <v>18</v>
      </c>
      <c r="H507">
        <v>1</v>
      </c>
      <c r="I507">
        <v>0</v>
      </c>
      <c r="J507">
        <v>108.9</v>
      </c>
      <c r="K507" t="s">
        <v>19</v>
      </c>
      <c r="L507" t="s">
        <v>15</v>
      </c>
      <c r="M507" t="s">
        <v>37</v>
      </c>
      <c r="N507" t="b">
        <v>1</v>
      </c>
      <c r="O507" t="s">
        <v>21</v>
      </c>
      <c r="P507" t="s">
        <v>17</v>
      </c>
      <c r="Q507" t="s">
        <v>38</v>
      </c>
      <c r="R507" t="b">
        <v>0</v>
      </c>
    </row>
    <row r="508" spans="1:18" x14ac:dyDescent="0.3">
      <c r="A508">
        <v>1</v>
      </c>
      <c r="B508" t="s">
        <v>27</v>
      </c>
      <c r="C508">
        <v>2</v>
      </c>
      <c r="D508" t="s">
        <v>31</v>
      </c>
      <c r="E508" t="s">
        <v>18</v>
      </c>
      <c r="F508" t="s">
        <v>39</v>
      </c>
      <c r="G508">
        <v>33</v>
      </c>
      <c r="H508">
        <v>0</v>
      </c>
      <c r="I508">
        <v>2</v>
      </c>
      <c r="J508">
        <v>26</v>
      </c>
      <c r="K508" t="s">
        <v>25</v>
      </c>
      <c r="L508" t="s">
        <v>20</v>
      </c>
      <c r="M508" t="s">
        <v>40</v>
      </c>
      <c r="N508" t="b">
        <v>0</v>
      </c>
      <c r="O508" t="s">
        <v>16</v>
      </c>
      <c r="P508" t="s">
        <v>22</v>
      </c>
      <c r="Q508" t="s">
        <v>41</v>
      </c>
      <c r="R508" t="b">
        <v>0</v>
      </c>
    </row>
    <row r="509" spans="1:18" x14ac:dyDescent="0.3">
      <c r="A509">
        <v>1</v>
      </c>
      <c r="B509" t="s">
        <v>27</v>
      </c>
      <c r="C509">
        <v>1</v>
      </c>
      <c r="D509" t="s">
        <v>30</v>
      </c>
      <c r="E509" t="s">
        <v>13</v>
      </c>
      <c r="F509" t="s">
        <v>36</v>
      </c>
      <c r="G509">
        <v>30</v>
      </c>
      <c r="H509">
        <v>0</v>
      </c>
      <c r="I509">
        <v>0</v>
      </c>
      <c r="J509">
        <v>26.55</v>
      </c>
      <c r="K509" t="s">
        <v>19</v>
      </c>
      <c r="L509" t="s">
        <v>15</v>
      </c>
      <c r="M509" t="s">
        <v>37</v>
      </c>
      <c r="N509" t="b">
        <v>1</v>
      </c>
      <c r="O509" t="s">
        <v>16</v>
      </c>
      <c r="P509" t="s">
        <v>22</v>
      </c>
      <c r="Q509" t="s">
        <v>41</v>
      </c>
      <c r="R509" t="b">
        <v>1</v>
      </c>
    </row>
    <row r="510" spans="1:18" x14ac:dyDescent="0.3">
      <c r="A510">
        <v>0</v>
      </c>
      <c r="B510" t="s">
        <v>26</v>
      </c>
      <c r="C510">
        <v>3</v>
      </c>
      <c r="D510" t="s">
        <v>32</v>
      </c>
      <c r="E510" t="s">
        <v>13</v>
      </c>
      <c r="F510" t="s">
        <v>36</v>
      </c>
      <c r="G510">
        <v>28</v>
      </c>
      <c r="H510">
        <v>0</v>
      </c>
      <c r="I510">
        <v>0</v>
      </c>
      <c r="J510">
        <v>22.524999999999999</v>
      </c>
      <c r="K510" t="s">
        <v>14</v>
      </c>
      <c r="L510" t="s">
        <v>15</v>
      </c>
      <c r="M510" t="s">
        <v>37</v>
      </c>
      <c r="N510" t="b">
        <v>1</v>
      </c>
      <c r="O510" t="s">
        <v>16</v>
      </c>
      <c r="P510" t="s">
        <v>17</v>
      </c>
      <c r="Q510" t="s">
        <v>38</v>
      </c>
      <c r="R510" t="b">
        <v>1</v>
      </c>
    </row>
    <row r="511" spans="1:18" x14ac:dyDescent="0.3">
      <c r="A511">
        <v>1</v>
      </c>
      <c r="B511" t="s">
        <v>27</v>
      </c>
      <c r="C511">
        <v>3</v>
      </c>
      <c r="D511" t="s">
        <v>32</v>
      </c>
      <c r="E511" t="s">
        <v>13</v>
      </c>
      <c r="F511" t="s">
        <v>36</v>
      </c>
      <c r="G511">
        <v>26</v>
      </c>
      <c r="H511">
        <v>0</v>
      </c>
      <c r="I511">
        <v>0</v>
      </c>
      <c r="J511">
        <v>56.495800000000003</v>
      </c>
      <c r="K511" t="s">
        <v>14</v>
      </c>
      <c r="L511" t="s">
        <v>15</v>
      </c>
      <c r="M511" t="s">
        <v>37</v>
      </c>
      <c r="N511" t="b">
        <v>1</v>
      </c>
      <c r="O511" t="s">
        <v>16</v>
      </c>
      <c r="P511" t="s">
        <v>22</v>
      </c>
      <c r="Q511" t="s">
        <v>41</v>
      </c>
      <c r="R511" t="b">
        <v>1</v>
      </c>
    </row>
    <row r="512" spans="1:18" x14ac:dyDescent="0.3">
      <c r="A512">
        <v>1</v>
      </c>
      <c r="B512" t="s">
        <v>27</v>
      </c>
      <c r="C512">
        <v>3</v>
      </c>
      <c r="D512" t="s">
        <v>32</v>
      </c>
      <c r="E512" t="s">
        <v>13</v>
      </c>
      <c r="F512" t="s">
        <v>36</v>
      </c>
      <c r="G512">
        <v>29</v>
      </c>
      <c r="H512">
        <v>0</v>
      </c>
      <c r="I512">
        <v>0</v>
      </c>
      <c r="J512">
        <v>7.75</v>
      </c>
      <c r="K512" t="s">
        <v>14</v>
      </c>
      <c r="L512" t="s">
        <v>15</v>
      </c>
      <c r="M512" t="s">
        <v>37</v>
      </c>
      <c r="N512" t="b">
        <v>1</v>
      </c>
      <c r="O512" t="s">
        <v>23</v>
      </c>
      <c r="P512" t="s">
        <v>22</v>
      </c>
      <c r="Q512" t="s">
        <v>41</v>
      </c>
      <c r="R512" t="b">
        <v>1</v>
      </c>
    </row>
    <row r="513" spans="1:18" x14ac:dyDescent="0.3">
      <c r="A513">
        <v>0</v>
      </c>
      <c r="B513" t="s">
        <v>26</v>
      </c>
      <c r="C513">
        <v>3</v>
      </c>
      <c r="D513" t="s">
        <v>32</v>
      </c>
      <c r="E513" t="s">
        <v>13</v>
      </c>
      <c r="F513" t="s">
        <v>36</v>
      </c>
      <c r="G513">
        <v>30</v>
      </c>
      <c r="H513">
        <v>0</v>
      </c>
      <c r="I513">
        <v>0</v>
      </c>
      <c r="J513">
        <v>8.0500000000000007</v>
      </c>
      <c r="K513" t="s">
        <v>14</v>
      </c>
      <c r="L513" t="s">
        <v>15</v>
      </c>
      <c r="M513" t="s">
        <v>37</v>
      </c>
      <c r="N513" t="b">
        <v>1</v>
      </c>
      <c r="O513" t="s">
        <v>16</v>
      </c>
      <c r="P513" t="s">
        <v>17</v>
      </c>
      <c r="Q513" t="s">
        <v>38</v>
      </c>
      <c r="R513" t="b">
        <v>1</v>
      </c>
    </row>
    <row r="514" spans="1:18" x14ac:dyDescent="0.3">
      <c r="A514">
        <v>1</v>
      </c>
      <c r="B514" t="s">
        <v>27</v>
      </c>
      <c r="C514">
        <v>1</v>
      </c>
      <c r="D514" t="s">
        <v>30</v>
      </c>
      <c r="E514" t="s">
        <v>13</v>
      </c>
      <c r="F514" t="s">
        <v>36</v>
      </c>
      <c r="G514">
        <v>36</v>
      </c>
      <c r="H514">
        <v>0</v>
      </c>
      <c r="I514">
        <v>0</v>
      </c>
      <c r="J514">
        <v>26.287500000000001</v>
      </c>
      <c r="K514" t="s">
        <v>19</v>
      </c>
      <c r="L514" t="s">
        <v>15</v>
      </c>
      <c r="M514" t="s">
        <v>37</v>
      </c>
      <c r="N514" t="b">
        <v>1</v>
      </c>
      <c r="O514" t="s">
        <v>16</v>
      </c>
      <c r="P514" t="s">
        <v>22</v>
      </c>
      <c r="Q514" t="s">
        <v>41</v>
      </c>
      <c r="R514" t="b">
        <v>1</v>
      </c>
    </row>
    <row r="515" spans="1:18" x14ac:dyDescent="0.3">
      <c r="A515">
        <v>1</v>
      </c>
      <c r="B515" t="s">
        <v>27</v>
      </c>
      <c r="C515">
        <v>1</v>
      </c>
      <c r="D515" t="s">
        <v>30</v>
      </c>
      <c r="E515" t="s">
        <v>18</v>
      </c>
      <c r="F515" t="s">
        <v>39</v>
      </c>
      <c r="G515">
        <v>54</v>
      </c>
      <c r="H515">
        <v>1</v>
      </c>
      <c r="I515">
        <v>0</v>
      </c>
      <c r="J515">
        <v>59.4</v>
      </c>
      <c r="K515" t="s">
        <v>19</v>
      </c>
      <c r="L515" t="s">
        <v>20</v>
      </c>
      <c r="M515" t="s">
        <v>40</v>
      </c>
      <c r="N515" t="b">
        <v>0</v>
      </c>
      <c r="O515" t="s">
        <v>21</v>
      </c>
      <c r="P515" t="s">
        <v>22</v>
      </c>
      <c r="Q515" t="s">
        <v>41</v>
      </c>
      <c r="R515" t="b">
        <v>0</v>
      </c>
    </row>
    <row r="516" spans="1:18" x14ac:dyDescent="0.3">
      <c r="A516">
        <v>0</v>
      </c>
      <c r="B516" t="s">
        <v>26</v>
      </c>
      <c r="C516">
        <v>3</v>
      </c>
      <c r="D516" t="s">
        <v>32</v>
      </c>
      <c r="E516" t="s">
        <v>13</v>
      </c>
      <c r="F516" t="s">
        <v>36</v>
      </c>
      <c r="G516">
        <v>24</v>
      </c>
      <c r="H516">
        <v>0</v>
      </c>
      <c r="I516">
        <v>0</v>
      </c>
      <c r="J516">
        <v>7.4958</v>
      </c>
      <c r="K516" t="s">
        <v>14</v>
      </c>
      <c r="L516" t="s">
        <v>15</v>
      </c>
      <c r="M516" t="s">
        <v>37</v>
      </c>
      <c r="N516" t="b">
        <v>1</v>
      </c>
      <c r="O516" t="s">
        <v>16</v>
      </c>
      <c r="P516" t="s">
        <v>17</v>
      </c>
      <c r="Q516" t="s">
        <v>38</v>
      </c>
      <c r="R516" t="b">
        <v>1</v>
      </c>
    </row>
    <row r="517" spans="1:18" x14ac:dyDescent="0.3">
      <c r="A517">
        <v>0</v>
      </c>
      <c r="B517" t="s">
        <v>26</v>
      </c>
      <c r="C517">
        <v>1</v>
      </c>
      <c r="D517" t="s">
        <v>30</v>
      </c>
      <c r="E517" t="s">
        <v>13</v>
      </c>
      <c r="F517" t="s">
        <v>36</v>
      </c>
      <c r="G517">
        <v>47</v>
      </c>
      <c r="H517">
        <v>0</v>
      </c>
      <c r="I517">
        <v>0</v>
      </c>
      <c r="J517">
        <v>34.020800000000001</v>
      </c>
      <c r="K517" t="s">
        <v>19</v>
      </c>
      <c r="L517" t="s">
        <v>15</v>
      </c>
      <c r="M517" t="s">
        <v>37</v>
      </c>
      <c r="N517" t="b">
        <v>1</v>
      </c>
      <c r="O517" t="s">
        <v>16</v>
      </c>
      <c r="P517" t="s">
        <v>17</v>
      </c>
      <c r="Q517" t="s">
        <v>38</v>
      </c>
      <c r="R517" t="b">
        <v>1</v>
      </c>
    </row>
    <row r="518" spans="1:18" x14ac:dyDescent="0.3">
      <c r="A518">
        <v>1</v>
      </c>
      <c r="B518" t="s">
        <v>27</v>
      </c>
      <c r="C518">
        <v>2</v>
      </c>
      <c r="D518" t="s">
        <v>31</v>
      </c>
      <c r="E518" t="s">
        <v>18</v>
      </c>
      <c r="F518" t="s">
        <v>39</v>
      </c>
      <c r="G518">
        <v>34</v>
      </c>
      <c r="H518">
        <v>0</v>
      </c>
      <c r="I518">
        <v>0</v>
      </c>
      <c r="J518">
        <v>10.5</v>
      </c>
      <c r="K518" t="s">
        <v>25</v>
      </c>
      <c r="L518" t="s">
        <v>20</v>
      </c>
      <c r="M518" t="s">
        <v>40</v>
      </c>
      <c r="N518" t="b">
        <v>0</v>
      </c>
      <c r="O518" t="s">
        <v>16</v>
      </c>
      <c r="P518" t="s">
        <v>22</v>
      </c>
      <c r="Q518" t="s">
        <v>41</v>
      </c>
      <c r="R518" t="b">
        <v>1</v>
      </c>
    </row>
    <row r="519" spans="1:18" x14ac:dyDescent="0.3">
      <c r="A519">
        <v>0</v>
      </c>
      <c r="B519" t="s">
        <v>26</v>
      </c>
      <c r="C519">
        <v>3</v>
      </c>
      <c r="D519" t="s">
        <v>32</v>
      </c>
      <c r="E519" t="s">
        <v>13</v>
      </c>
      <c r="F519" t="s">
        <v>36</v>
      </c>
      <c r="G519">
        <v>30</v>
      </c>
      <c r="H519">
        <v>0</v>
      </c>
      <c r="I519">
        <v>0</v>
      </c>
      <c r="J519">
        <v>24.15</v>
      </c>
      <c r="K519" t="s">
        <v>14</v>
      </c>
      <c r="L519" t="s">
        <v>15</v>
      </c>
      <c r="M519" t="s">
        <v>37</v>
      </c>
      <c r="N519" t="b">
        <v>1</v>
      </c>
      <c r="O519" t="s">
        <v>23</v>
      </c>
      <c r="P519" t="s">
        <v>17</v>
      </c>
      <c r="Q519" t="s">
        <v>38</v>
      </c>
      <c r="R519" t="b">
        <v>1</v>
      </c>
    </row>
    <row r="520" spans="1:18" x14ac:dyDescent="0.3">
      <c r="A520">
        <v>1</v>
      </c>
      <c r="B520" t="s">
        <v>27</v>
      </c>
      <c r="C520">
        <v>2</v>
      </c>
      <c r="D520" t="s">
        <v>31</v>
      </c>
      <c r="E520" t="s">
        <v>18</v>
      </c>
      <c r="F520" t="s">
        <v>39</v>
      </c>
      <c r="G520">
        <v>36</v>
      </c>
      <c r="H520">
        <v>1</v>
      </c>
      <c r="I520">
        <v>0</v>
      </c>
      <c r="J520">
        <v>26</v>
      </c>
      <c r="K520" t="s">
        <v>25</v>
      </c>
      <c r="L520" t="s">
        <v>20</v>
      </c>
      <c r="M520" t="s">
        <v>40</v>
      </c>
      <c r="N520" t="b">
        <v>0</v>
      </c>
      <c r="O520" t="s">
        <v>16</v>
      </c>
      <c r="P520" t="s">
        <v>22</v>
      </c>
      <c r="Q520" t="s">
        <v>41</v>
      </c>
      <c r="R520" t="b">
        <v>0</v>
      </c>
    </row>
    <row r="521" spans="1:18" x14ac:dyDescent="0.3">
      <c r="A521">
        <v>0</v>
      </c>
      <c r="B521" t="s">
        <v>26</v>
      </c>
      <c r="C521">
        <v>3</v>
      </c>
      <c r="D521" t="s">
        <v>32</v>
      </c>
      <c r="E521" t="s">
        <v>13</v>
      </c>
      <c r="F521" t="s">
        <v>36</v>
      </c>
      <c r="G521">
        <v>32</v>
      </c>
      <c r="H521">
        <v>0</v>
      </c>
      <c r="I521">
        <v>0</v>
      </c>
      <c r="J521">
        <v>7.8958000000000004</v>
      </c>
      <c r="K521" t="s">
        <v>14</v>
      </c>
      <c r="L521" t="s">
        <v>15</v>
      </c>
      <c r="M521" t="s">
        <v>37</v>
      </c>
      <c r="N521" t="b">
        <v>1</v>
      </c>
      <c r="O521" t="s">
        <v>16</v>
      </c>
      <c r="P521" t="s">
        <v>17</v>
      </c>
      <c r="Q521" t="s">
        <v>38</v>
      </c>
      <c r="R521" t="b">
        <v>1</v>
      </c>
    </row>
    <row r="522" spans="1:18" x14ac:dyDescent="0.3">
      <c r="A522">
        <v>1</v>
      </c>
      <c r="B522" t="s">
        <v>27</v>
      </c>
      <c r="C522">
        <v>1</v>
      </c>
      <c r="D522" t="s">
        <v>30</v>
      </c>
      <c r="E522" t="s">
        <v>18</v>
      </c>
      <c r="F522" t="s">
        <v>39</v>
      </c>
      <c r="G522">
        <v>30</v>
      </c>
      <c r="H522">
        <v>0</v>
      </c>
      <c r="I522">
        <v>0</v>
      </c>
      <c r="J522">
        <v>93.5</v>
      </c>
      <c r="K522" t="s">
        <v>19</v>
      </c>
      <c r="L522" t="s">
        <v>20</v>
      </c>
      <c r="M522" t="s">
        <v>40</v>
      </c>
      <c r="N522" t="b">
        <v>0</v>
      </c>
      <c r="O522" t="s">
        <v>16</v>
      </c>
      <c r="P522" t="s">
        <v>22</v>
      </c>
      <c r="Q522" t="s">
        <v>41</v>
      </c>
      <c r="R522" t="b">
        <v>1</v>
      </c>
    </row>
    <row r="523" spans="1:18" x14ac:dyDescent="0.3">
      <c r="A523">
        <v>0</v>
      </c>
      <c r="B523" t="s">
        <v>26</v>
      </c>
      <c r="C523">
        <v>3</v>
      </c>
      <c r="D523" t="s">
        <v>32</v>
      </c>
      <c r="E523" t="s">
        <v>13</v>
      </c>
      <c r="F523" t="s">
        <v>36</v>
      </c>
      <c r="G523">
        <v>22</v>
      </c>
      <c r="H523">
        <v>0</v>
      </c>
      <c r="I523">
        <v>0</v>
      </c>
      <c r="J523">
        <v>7.8958000000000004</v>
      </c>
      <c r="K523" t="s">
        <v>14</v>
      </c>
      <c r="L523" t="s">
        <v>15</v>
      </c>
      <c r="M523" t="s">
        <v>37</v>
      </c>
      <c r="N523" t="b">
        <v>1</v>
      </c>
      <c r="O523" t="s">
        <v>16</v>
      </c>
      <c r="P523" t="s">
        <v>17</v>
      </c>
      <c r="Q523" t="s">
        <v>38</v>
      </c>
      <c r="R523" t="b">
        <v>1</v>
      </c>
    </row>
    <row r="524" spans="1:18" x14ac:dyDescent="0.3">
      <c r="A524">
        <v>0</v>
      </c>
      <c r="B524" t="s">
        <v>26</v>
      </c>
      <c r="C524">
        <v>3</v>
      </c>
      <c r="D524" t="s">
        <v>32</v>
      </c>
      <c r="E524" t="s">
        <v>13</v>
      </c>
      <c r="F524" t="s">
        <v>36</v>
      </c>
      <c r="G524">
        <v>30</v>
      </c>
      <c r="H524">
        <v>0</v>
      </c>
      <c r="I524">
        <v>0</v>
      </c>
      <c r="J524">
        <v>7.2249999999999996</v>
      </c>
      <c r="K524" t="s">
        <v>14</v>
      </c>
      <c r="L524" t="s">
        <v>15</v>
      </c>
      <c r="M524" t="s">
        <v>37</v>
      </c>
      <c r="N524" t="b">
        <v>1</v>
      </c>
      <c r="O524" t="s">
        <v>21</v>
      </c>
      <c r="P524" t="s">
        <v>17</v>
      </c>
      <c r="Q524" t="s">
        <v>38</v>
      </c>
      <c r="R524" t="b">
        <v>1</v>
      </c>
    </row>
    <row r="525" spans="1:18" x14ac:dyDescent="0.3">
      <c r="A525">
        <v>1</v>
      </c>
      <c r="B525" t="s">
        <v>27</v>
      </c>
      <c r="C525">
        <v>1</v>
      </c>
      <c r="D525" t="s">
        <v>30</v>
      </c>
      <c r="E525" t="s">
        <v>18</v>
      </c>
      <c r="F525" t="s">
        <v>39</v>
      </c>
      <c r="G525">
        <v>44</v>
      </c>
      <c r="H525">
        <v>0</v>
      </c>
      <c r="I525">
        <v>1</v>
      </c>
      <c r="J525">
        <v>57.979199999999999</v>
      </c>
      <c r="K525" t="s">
        <v>19</v>
      </c>
      <c r="L525" t="s">
        <v>20</v>
      </c>
      <c r="M525" t="s">
        <v>40</v>
      </c>
      <c r="N525" t="b">
        <v>0</v>
      </c>
      <c r="O525" t="s">
        <v>21</v>
      </c>
      <c r="P525" t="s">
        <v>22</v>
      </c>
      <c r="Q525" t="s">
        <v>41</v>
      </c>
      <c r="R525" t="b">
        <v>0</v>
      </c>
    </row>
    <row r="526" spans="1:18" x14ac:dyDescent="0.3">
      <c r="A526">
        <v>0</v>
      </c>
      <c r="B526" t="s">
        <v>26</v>
      </c>
      <c r="C526">
        <v>3</v>
      </c>
      <c r="D526" t="s">
        <v>32</v>
      </c>
      <c r="E526" t="s">
        <v>13</v>
      </c>
      <c r="F526" t="s">
        <v>36</v>
      </c>
      <c r="G526">
        <v>30</v>
      </c>
      <c r="H526">
        <v>0</v>
      </c>
      <c r="I526">
        <v>0</v>
      </c>
      <c r="J526">
        <v>7.2291999999999996</v>
      </c>
      <c r="K526" t="s">
        <v>14</v>
      </c>
      <c r="L526" t="s">
        <v>15</v>
      </c>
      <c r="M526" t="s">
        <v>37</v>
      </c>
      <c r="N526" t="b">
        <v>1</v>
      </c>
      <c r="O526" t="s">
        <v>21</v>
      </c>
      <c r="P526" t="s">
        <v>17</v>
      </c>
      <c r="Q526" t="s">
        <v>38</v>
      </c>
      <c r="R526" t="b">
        <v>1</v>
      </c>
    </row>
    <row r="527" spans="1:18" x14ac:dyDescent="0.3">
      <c r="A527">
        <v>0</v>
      </c>
      <c r="B527" t="s">
        <v>26</v>
      </c>
      <c r="C527">
        <v>3</v>
      </c>
      <c r="D527" t="s">
        <v>32</v>
      </c>
      <c r="E527" t="s">
        <v>13</v>
      </c>
      <c r="F527" t="s">
        <v>36</v>
      </c>
      <c r="G527">
        <v>40.5</v>
      </c>
      <c r="H527">
        <v>0</v>
      </c>
      <c r="I527">
        <v>0</v>
      </c>
      <c r="J527">
        <v>7.75</v>
      </c>
      <c r="K527" t="s">
        <v>14</v>
      </c>
      <c r="L527" t="s">
        <v>15</v>
      </c>
      <c r="M527" t="s">
        <v>37</v>
      </c>
      <c r="N527" t="b">
        <v>1</v>
      </c>
      <c r="O527" t="s">
        <v>23</v>
      </c>
      <c r="P527" t="s">
        <v>17</v>
      </c>
      <c r="Q527" t="s">
        <v>38</v>
      </c>
      <c r="R527" t="b">
        <v>1</v>
      </c>
    </row>
    <row r="528" spans="1:18" x14ac:dyDescent="0.3">
      <c r="A528">
        <v>1</v>
      </c>
      <c r="B528" t="s">
        <v>27</v>
      </c>
      <c r="C528">
        <v>2</v>
      </c>
      <c r="D528" t="s">
        <v>31</v>
      </c>
      <c r="E528" t="s">
        <v>18</v>
      </c>
      <c r="F528" t="s">
        <v>39</v>
      </c>
      <c r="G528">
        <v>50</v>
      </c>
      <c r="H528">
        <v>0</v>
      </c>
      <c r="I528">
        <v>0</v>
      </c>
      <c r="J528">
        <v>10.5</v>
      </c>
      <c r="K528" t="s">
        <v>25</v>
      </c>
      <c r="L528" t="s">
        <v>20</v>
      </c>
      <c r="M528" t="s">
        <v>40</v>
      </c>
      <c r="N528" t="b">
        <v>0</v>
      </c>
      <c r="O528" t="s">
        <v>16</v>
      </c>
      <c r="P528" t="s">
        <v>22</v>
      </c>
      <c r="Q528" t="s">
        <v>41</v>
      </c>
      <c r="R528" t="b">
        <v>1</v>
      </c>
    </row>
    <row r="529" spans="1:18" x14ac:dyDescent="0.3">
      <c r="A529">
        <v>0</v>
      </c>
      <c r="B529" t="s">
        <v>26</v>
      </c>
      <c r="C529">
        <v>1</v>
      </c>
      <c r="D529" t="s">
        <v>30</v>
      </c>
      <c r="E529" t="s">
        <v>13</v>
      </c>
      <c r="F529" t="s">
        <v>36</v>
      </c>
      <c r="G529">
        <v>30</v>
      </c>
      <c r="H529">
        <v>0</v>
      </c>
      <c r="I529">
        <v>0</v>
      </c>
      <c r="J529">
        <v>221.7792</v>
      </c>
      <c r="K529" t="s">
        <v>19</v>
      </c>
      <c r="L529" t="s">
        <v>15</v>
      </c>
      <c r="M529" t="s">
        <v>37</v>
      </c>
      <c r="N529" t="b">
        <v>1</v>
      </c>
      <c r="O529" t="s">
        <v>16</v>
      </c>
      <c r="P529" t="s">
        <v>17</v>
      </c>
      <c r="Q529" t="s">
        <v>38</v>
      </c>
      <c r="R529" t="b">
        <v>1</v>
      </c>
    </row>
    <row r="530" spans="1:18" x14ac:dyDescent="0.3">
      <c r="A530">
        <v>0</v>
      </c>
      <c r="B530" t="s">
        <v>26</v>
      </c>
      <c r="C530">
        <v>3</v>
      </c>
      <c r="D530" t="s">
        <v>32</v>
      </c>
      <c r="E530" t="s">
        <v>13</v>
      </c>
      <c r="F530" t="s">
        <v>36</v>
      </c>
      <c r="G530">
        <v>39</v>
      </c>
      <c r="H530">
        <v>0</v>
      </c>
      <c r="I530">
        <v>0</v>
      </c>
      <c r="J530">
        <v>7.9249999999999998</v>
      </c>
      <c r="K530" t="s">
        <v>14</v>
      </c>
      <c r="L530" t="s">
        <v>15</v>
      </c>
      <c r="M530" t="s">
        <v>37</v>
      </c>
      <c r="N530" t="b">
        <v>1</v>
      </c>
      <c r="O530" t="s">
        <v>16</v>
      </c>
      <c r="P530" t="s">
        <v>17</v>
      </c>
      <c r="Q530" t="s">
        <v>38</v>
      </c>
      <c r="R530" t="b">
        <v>1</v>
      </c>
    </row>
    <row r="531" spans="1:18" x14ac:dyDescent="0.3">
      <c r="A531">
        <v>0</v>
      </c>
      <c r="B531" t="s">
        <v>26</v>
      </c>
      <c r="C531">
        <v>2</v>
      </c>
      <c r="D531" t="s">
        <v>31</v>
      </c>
      <c r="E531" t="s">
        <v>13</v>
      </c>
      <c r="F531" t="s">
        <v>36</v>
      </c>
      <c r="G531">
        <v>23</v>
      </c>
      <c r="H531">
        <v>2</v>
      </c>
      <c r="I531">
        <v>1</v>
      </c>
      <c r="J531">
        <v>11.5</v>
      </c>
      <c r="K531" t="s">
        <v>25</v>
      </c>
      <c r="L531" t="s">
        <v>15</v>
      </c>
      <c r="M531" t="s">
        <v>37</v>
      </c>
      <c r="N531" t="b">
        <v>1</v>
      </c>
      <c r="O531" t="s">
        <v>16</v>
      </c>
      <c r="P531" t="s">
        <v>17</v>
      </c>
      <c r="Q531" t="s">
        <v>38</v>
      </c>
      <c r="R531" t="b">
        <v>0</v>
      </c>
    </row>
    <row r="532" spans="1:18" x14ac:dyDescent="0.3">
      <c r="A532">
        <v>1</v>
      </c>
      <c r="B532" t="s">
        <v>27</v>
      </c>
      <c r="C532">
        <v>2</v>
      </c>
      <c r="D532" t="s">
        <v>31</v>
      </c>
      <c r="E532" t="s">
        <v>18</v>
      </c>
      <c r="F532" t="s">
        <v>39</v>
      </c>
      <c r="G532">
        <v>2</v>
      </c>
      <c r="H532">
        <v>1</v>
      </c>
      <c r="I532">
        <v>1</v>
      </c>
      <c r="J532">
        <v>26</v>
      </c>
      <c r="K532" t="s">
        <v>25</v>
      </c>
      <c r="L532" t="s">
        <v>24</v>
      </c>
      <c r="M532" t="s">
        <v>42</v>
      </c>
      <c r="N532" t="b">
        <v>0</v>
      </c>
      <c r="O532" t="s">
        <v>16</v>
      </c>
      <c r="P532" t="s">
        <v>22</v>
      </c>
      <c r="Q532" t="s">
        <v>41</v>
      </c>
      <c r="R532" t="b">
        <v>0</v>
      </c>
    </row>
    <row r="533" spans="1:18" x14ac:dyDescent="0.3">
      <c r="A533">
        <v>0</v>
      </c>
      <c r="B533" t="s">
        <v>26</v>
      </c>
      <c r="C533">
        <v>3</v>
      </c>
      <c r="D533" t="s">
        <v>32</v>
      </c>
      <c r="E533" t="s">
        <v>13</v>
      </c>
      <c r="F533" t="s">
        <v>36</v>
      </c>
      <c r="G533">
        <v>30</v>
      </c>
      <c r="H533">
        <v>0</v>
      </c>
      <c r="I533">
        <v>0</v>
      </c>
      <c r="J533">
        <v>7.2291999999999996</v>
      </c>
      <c r="K533" t="s">
        <v>14</v>
      </c>
      <c r="L533" t="s">
        <v>15</v>
      </c>
      <c r="M533" t="s">
        <v>37</v>
      </c>
      <c r="N533" t="b">
        <v>1</v>
      </c>
      <c r="O533" t="s">
        <v>21</v>
      </c>
      <c r="P533" t="s">
        <v>17</v>
      </c>
      <c r="Q533" t="s">
        <v>38</v>
      </c>
      <c r="R533" t="b">
        <v>1</v>
      </c>
    </row>
    <row r="534" spans="1:18" x14ac:dyDescent="0.3">
      <c r="A534">
        <v>0</v>
      </c>
      <c r="B534" t="s">
        <v>26</v>
      </c>
      <c r="C534">
        <v>3</v>
      </c>
      <c r="D534" t="s">
        <v>32</v>
      </c>
      <c r="E534" t="s">
        <v>13</v>
      </c>
      <c r="F534" t="s">
        <v>36</v>
      </c>
      <c r="G534">
        <v>17</v>
      </c>
      <c r="H534">
        <v>1</v>
      </c>
      <c r="I534">
        <v>1</v>
      </c>
      <c r="J534">
        <v>7.2291999999999996</v>
      </c>
      <c r="K534" t="s">
        <v>14</v>
      </c>
      <c r="L534" t="s">
        <v>15</v>
      </c>
      <c r="M534" t="s">
        <v>37</v>
      </c>
      <c r="N534" t="b">
        <v>1</v>
      </c>
      <c r="O534" t="s">
        <v>21</v>
      </c>
      <c r="P534" t="s">
        <v>17</v>
      </c>
      <c r="Q534" t="s">
        <v>38</v>
      </c>
      <c r="R534" t="b">
        <v>0</v>
      </c>
    </row>
    <row r="535" spans="1:18" x14ac:dyDescent="0.3">
      <c r="A535">
        <v>1</v>
      </c>
      <c r="B535" t="s">
        <v>27</v>
      </c>
      <c r="C535">
        <v>3</v>
      </c>
      <c r="D535" t="s">
        <v>32</v>
      </c>
      <c r="E535" t="s">
        <v>18</v>
      </c>
      <c r="F535" t="s">
        <v>39</v>
      </c>
      <c r="G535">
        <v>30</v>
      </c>
      <c r="H535">
        <v>0</v>
      </c>
      <c r="I535">
        <v>2</v>
      </c>
      <c r="J535">
        <v>22.3583</v>
      </c>
      <c r="K535" t="s">
        <v>14</v>
      </c>
      <c r="L535" t="s">
        <v>20</v>
      </c>
      <c r="M535" t="s">
        <v>40</v>
      </c>
      <c r="N535" t="b">
        <v>0</v>
      </c>
      <c r="O535" t="s">
        <v>21</v>
      </c>
      <c r="P535" t="s">
        <v>22</v>
      </c>
      <c r="Q535" t="s">
        <v>41</v>
      </c>
      <c r="R535" t="b">
        <v>0</v>
      </c>
    </row>
    <row r="536" spans="1:18" x14ac:dyDescent="0.3">
      <c r="A536">
        <v>0</v>
      </c>
      <c r="B536" t="s">
        <v>26</v>
      </c>
      <c r="C536">
        <v>3</v>
      </c>
      <c r="D536" t="s">
        <v>32</v>
      </c>
      <c r="E536" t="s">
        <v>18</v>
      </c>
      <c r="F536" t="s">
        <v>39</v>
      </c>
      <c r="G536">
        <v>30</v>
      </c>
      <c r="H536">
        <v>0</v>
      </c>
      <c r="I536">
        <v>0</v>
      </c>
      <c r="J536">
        <v>8.6624999999999996</v>
      </c>
      <c r="K536" t="s">
        <v>14</v>
      </c>
      <c r="L536" t="s">
        <v>20</v>
      </c>
      <c r="M536" t="s">
        <v>40</v>
      </c>
      <c r="N536" t="b">
        <v>0</v>
      </c>
      <c r="O536" t="s">
        <v>16</v>
      </c>
      <c r="P536" t="s">
        <v>17</v>
      </c>
      <c r="Q536" t="s">
        <v>38</v>
      </c>
      <c r="R536" t="b">
        <v>1</v>
      </c>
    </row>
    <row r="537" spans="1:18" x14ac:dyDescent="0.3">
      <c r="A537">
        <v>1</v>
      </c>
      <c r="B537" t="s">
        <v>27</v>
      </c>
      <c r="C537">
        <v>2</v>
      </c>
      <c r="D537" t="s">
        <v>31</v>
      </c>
      <c r="E537" t="s">
        <v>18</v>
      </c>
      <c r="F537" t="s">
        <v>39</v>
      </c>
      <c r="G537">
        <v>7</v>
      </c>
      <c r="H537">
        <v>0</v>
      </c>
      <c r="I537">
        <v>2</v>
      </c>
      <c r="J537">
        <v>26.25</v>
      </c>
      <c r="K537" t="s">
        <v>25</v>
      </c>
      <c r="L537" t="s">
        <v>24</v>
      </c>
      <c r="M537" t="s">
        <v>42</v>
      </c>
      <c r="N537" t="b">
        <v>0</v>
      </c>
      <c r="O537" t="s">
        <v>16</v>
      </c>
      <c r="P537" t="s">
        <v>22</v>
      </c>
      <c r="Q537" t="s">
        <v>41</v>
      </c>
      <c r="R537" t="b">
        <v>0</v>
      </c>
    </row>
    <row r="538" spans="1:18" x14ac:dyDescent="0.3">
      <c r="A538">
        <v>0</v>
      </c>
      <c r="B538" t="s">
        <v>26</v>
      </c>
      <c r="C538">
        <v>1</v>
      </c>
      <c r="D538" t="s">
        <v>30</v>
      </c>
      <c r="E538" t="s">
        <v>13</v>
      </c>
      <c r="F538" t="s">
        <v>36</v>
      </c>
      <c r="G538">
        <v>45</v>
      </c>
      <c r="H538">
        <v>0</v>
      </c>
      <c r="I538">
        <v>0</v>
      </c>
      <c r="J538">
        <v>26.55</v>
      </c>
      <c r="K538" t="s">
        <v>19</v>
      </c>
      <c r="L538" t="s">
        <v>15</v>
      </c>
      <c r="M538" t="s">
        <v>37</v>
      </c>
      <c r="N538" t="b">
        <v>1</v>
      </c>
      <c r="O538" t="s">
        <v>16</v>
      </c>
      <c r="P538" t="s">
        <v>17</v>
      </c>
      <c r="Q538" t="s">
        <v>38</v>
      </c>
      <c r="R538" t="b">
        <v>1</v>
      </c>
    </row>
    <row r="539" spans="1:18" x14ac:dyDescent="0.3">
      <c r="A539">
        <v>1</v>
      </c>
      <c r="B539" t="s">
        <v>27</v>
      </c>
      <c r="C539">
        <v>1</v>
      </c>
      <c r="D539" t="s">
        <v>30</v>
      </c>
      <c r="E539" t="s">
        <v>18</v>
      </c>
      <c r="F539" t="s">
        <v>39</v>
      </c>
      <c r="G539">
        <v>30</v>
      </c>
      <c r="H539">
        <v>0</v>
      </c>
      <c r="I539">
        <v>0</v>
      </c>
      <c r="J539">
        <v>106.425</v>
      </c>
      <c r="K539" t="s">
        <v>19</v>
      </c>
      <c r="L539" t="s">
        <v>20</v>
      </c>
      <c r="M539" t="s">
        <v>40</v>
      </c>
      <c r="N539" t="b">
        <v>0</v>
      </c>
      <c r="O539" t="s">
        <v>21</v>
      </c>
      <c r="P539" t="s">
        <v>22</v>
      </c>
      <c r="Q539" t="s">
        <v>41</v>
      </c>
      <c r="R539" t="b">
        <v>1</v>
      </c>
    </row>
    <row r="540" spans="1:18" x14ac:dyDescent="0.3">
      <c r="A540">
        <v>0</v>
      </c>
      <c r="B540" t="s">
        <v>26</v>
      </c>
      <c r="C540">
        <v>3</v>
      </c>
      <c r="D540" t="s">
        <v>32</v>
      </c>
      <c r="E540" t="s">
        <v>13</v>
      </c>
      <c r="F540" t="s">
        <v>36</v>
      </c>
      <c r="G540">
        <v>30</v>
      </c>
      <c r="H540">
        <v>0</v>
      </c>
      <c r="I540">
        <v>0</v>
      </c>
      <c r="J540">
        <v>14.5</v>
      </c>
      <c r="K540" t="s">
        <v>14</v>
      </c>
      <c r="L540" t="s">
        <v>15</v>
      </c>
      <c r="M540" t="s">
        <v>37</v>
      </c>
      <c r="N540" t="b">
        <v>1</v>
      </c>
      <c r="O540" t="s">
        <v>16</v>
      </c>
      <c r="P540" t="s">
        <v>17</v>
      </c>
      <c r="Q540" t="s">
        <v>38</v>
      </c>
      <c r="R540" t="b">
        <v>1</v>
      </c>
    </row>
    <row r="541" spans="1:18" x14ac:dyDescent="0.3">
      <c r="A541">
        <v>1</v>
      </c>
      <c r="B541" t="s">
        <v>27</v>
      </c>
      <c r="C541">
        <v>1</v>
      </c>
      <c r="D541" t="s">
        <v>30</v>
      </c>
      <c r="E541" t="s">
        <v>18</v>
      </c>
      <c r="F541" t="s">
        <v>39</v>
      </c>
      <c r="G541">
        <v>22</v>
      </c>
      <c r="H541">
        <v>0</v>
      </c>
      <c r="I541">
        <v>2</v>
      </c>
      <c r="J541">
        <v>49.5</v>
      </c>
      <c r="K541" t="s">
        <v>19</v>
      </c>
      <c r="L541" t="s">
        <v>20</v>
      </c>
      <c r="M541" t="s">
        <v>40</v>
      </c>
      <c r="N541" t="b">
        <v>0</v>
      </c>
      <c r="O541" t="s">
        <v>21</v>
      </c>
      <c r="P541" t="s">
        <v>22</v>
      </c>
      <c r="Q541" t="s">
        <v>41</v>
      </c>
      <c r="R541" t="b">
        <v>0</v>
      </c>
    </row>
    <row r="542" spans="1:18" x14ac:dyDescent="0.3">
      <c r="A542">
        <v>1</v>
      </c>
      <c r="B542" t="s">
        <v>27</v>
      </c>
      <c r="C542">
        <v>1</v>
      </c>
      <c r="D542" t="s">
        <v>30</v>
      </c>
      <c r="E542" t="s">
        <v>18</v>
      </c>
      <c r="F542" t="s">
        <v>39</v>
      </c>
      <c r="G542">
        <v>36</v>
      </c>
      <c r="H542">
        <v>0</v>
      </c>
      <c r="I542">
        <v>2</v>
      </c>
      <c r="J542">
        <v>71</v>
      </c>
      <c r="K542" t="s">
        <v>19</v>
      </c>
      <c r="L542" t="s">
        <v>20</v>
      </c>
      <c r="M542" t="s">
        <v>40</v>
      </c>
      <c r="N542" t="b">
        <v>0</v>
      </c>
      <c r="O542" t="s">
        <v>16</v>
      </c>
      <c r="P542" t="s">
        <v>22</v>
      </c>
      <c r="Q542" t="s">
        <v>41</v>
      </c>
      <c r="R542" t="b">
        <v>0</v>
      </c>
    </row>
    <row r="543" spans="1:18" x14ac:dyDescent="0.3">
      <c r="A543">
        <v>0</v>
      </c>
      <c r="B543" t="s">
        <v>26</v>
      </c>
      <c r="C543">
        <v>3</v>
      </c>
      <c r="D543" t="s">
        <v>32</v>
      </c>
      <c r="E543" t="s">
        <v>18</v>
      </c>
      <c r="F543" t="s">
        <v>39</v>
      </c>
      <c r="G543">
        <v>9</v>
      </c>
      <c r="H543">
        <v>4</v>
      </c>
      <c r="I543">
        <v>2</v>
      </c>
      <c r="J543">
        <v>31.274999999999999</v>
      </c>
      <c r="K543" t="s">
        <v>14</v>
      </c>
      <c r="L543" t="s">
        <v>24</v>
      </c>
      <c r="M543" t="s">
        <v>42</v>
      </c>
      <c r="N543" t="b">
        <v>0</v>
      </c>
      <c r="O543" t="s">
        <v>16</v>
      </c>
      <c r="P543" t="s">
        <v>17</v>
      </c>
      <c r="Q543" t="s">
        <v>38</v>
      </c>
      <c r="R543" t="b">
        <v>0</v>
      </c>
    </row>
    <row r="544" spans="1:18" x14ac:dyDescent="0.3">
      <c r="A544">
        <v>0</v>
      </c>
      <c r="B544" t="s">
        <v>26</v>
      </c>
      <c r="C544">
        <v>3</v>
      </c>
      <c r="D544" t="s">
        <v>32</v>
      </c>
      <c r="E544" t="s">
        <v>18</v>
      </c>
      <c r="F544" t="s">
        <v>39</v>
      </c>
      <c r="G544">
        <v>11</v>
      </c>
      <c r="H544">
        <v>4</v>
      </c>
      <c r="I544">
        <v>2</v>
      </c>
      <c r="J544">
        <v>31.274999999999999</v>
      </c>
      <c r="K544" t="s">
        <v>14</v>
      </c>
      <c r="L544" t="s">
        <v>24</v>
      </c>
      <c r="M544" t="s">
        <v>42</v>
      </c>
      <c r="N544" t="b">
        <v>0</v>
      </c>
      <c r="O544" t="s">
        <v>16</v>
      </c>
      <c r="P544" t="s">
        <v>17</v>
      </c>
      <c r="Q544" t="s">
        <v>38</v>
      </c>
      <c r="R544" t="b">
        <v>0</v>
      </c>
    </row>
    <row r="545" spans="1:18" x14ac:dyDescent="0.3">
      <c r="A545">
        <v>1</v>
      </c>
      <c r="B545" t="s">
        <v>27</v>
      </c>
      <c r="C545">
        <v>2</v>
      </c>
      <c r="D545" t="s">
        <v>31</v>
      </c>
      <c r="E545" t="s">
        <v>13</v>
      </c>
      <c r="F545" t="s">
        <v>36</v>
      </c>
      <c r="G545">
        <v>32</v>
      </c>
      <c r="H545">
        <v>1</v>
      </c>
      <c r="I545">
        <v>0</v>
      </c>
      <c r="J545">
        <v>26</v>
      </c>
      <c r="K545" t="s">
        <v>25</v>
      </c>
      <c r="L545" t="s">
        <v>15</v>
      </c>
      <c r="M545" t="s">
        <v>37</v>
      </c>
      <c r="N545" t="b">
        <v>1</v>
      </c>
      <c r="O545" t="s">
        <v>16</v>
      </c>
      <c r="P545" t="s">
        <v>22</v>
      </c>
      <c r="Q545" t="s">
        <v>41</v>
      </c>
      <c r="R545" t="b">
        <v>0</v>
      </c>
    </row>
    <row r="546" spans="1:18" x14ac:dyDescent="0.3">
      <c r="A546">
        <v>0</v>
      </c>
      <c r="B546" t="s">
        <v>26</v>
      </c>
      <c r="C546">
        <v>1</v>
      </c>
      <c r="D546" t="s">
        <v>30</v>
      </c>
      <c r="E546" t="s">
        <v>13</v>
      </c>
      <c r="F546" t="s">
        <v>36</v>
      </c>
      <c r="G546">
        <v>50</v>
      </c>
      <c r="H546">
        <v>1</v>
      </c>
      <c r="I546">
        <v>0</v>
      </c>
      <c r="J546">
        <v>106.425</v>
      </c>
      <c r="K546" t="s">
        <v>19</v>
      </c>
      <c r="L546" t="s">
        <v>15</v>
      </c>
      <c r="M546" t="s">
        <v>37</v>
      </c>
      <c r="N546" t="b">
        <v>1</v>
      </c>
      <c r="O546" t="s">
        <v>21</v>
      </c>
      <c r="P546" t="s">
        <v>17</v>
      </c>
      <c r="Q546" t="s">
        <v>38</v>
      </c>
      <c r="R546" t="b">
        <v>0</v>
      </c>
    </row>
    <row r="547" spans="1:18" x14ac:dyDescent="0.3">
      <c r="A547">
        <v>0</v>
      </c>
      <c r="B547" t="s">
        <v>26</v>
      </c>
      <c r="C547">
        <v>1</v>
      </c>
      <c r="D547" t="s">
        <v>30</v>
      </c>
      <c r="E547" t="s">
        <v>13</v>
      </c>
      <c r="F547" t="s">
        <v>36</v>
      </c>
      <c r="G547">
        <v>64</v>
      </c>
      <c r="H547">
        <v>0</v>
      </c>
      <c r="I547">
        <v>0</v>
      </c>
      <c r="J547">
        <v>26</v>
      </c>
      <c r="K547" t="s">
        <v>19</v>
      </c>
      <c r="L547" t="s">
        <v>15</v>
      </c>
      <c r="M547" t="s">
        <v>37</v>
      </c>
      <c r="N547" t="b">
        <v>1</v>
      </c>
      <c r="O547" t="s">
        <v>16</v>
      </c>
      <c r="P547" t="s">
        <v>17</v>
      </c>
      <c r="Q547" t="s">
        <v>38</v>
      </c>
      <c r="R547" t="b">
        <v>1</v>
      </c>
    </row>
    <row r="548" spans="1:18" x14ac:dyDescent="0.3">
      <c r="A548">
        <v>1</v>
      </c>
      <c r="B548" t="s">
        <v>27</v>
      </c>
      <c r="C548">
        <v>2</v>
      </c>
      <c r="D548" t="s">
        <v>31</v>
      </c>
      <c r="E548" t="s">
        <v>18</v>
      </c>
      <c r="F548" t="s">
        <v>39</v>
      </c>
      <c r="G548">
        <v>19</v>
      </c>
      <c r="H548">
        <v>1</v>
      </c>
      <c r="I548">
        <v>0</v>
      </c>
      <c r="J548">
        <v>26</v>
      </c>
      <c r="K548" t="s">
        <v>25</v>
      </c>
      <c r="L548" t="s">
        <v>20</v>
      </c>
      <c r="M548" t="s">
        <v>40</v>
      </c>
      <c r="N548" t="b">
        <v>0</v>
      </c>
      <c r="O548" t="s">
        <v>16</v>
      </c>
      <c r="P548" t="s">
        <v>22</v>
      </c>
      <c r="Q548" t="s">
        <v>41</v>
      </c>
      <c r="R548" t="b">
        <v>0</v>
      </c>
    </row>
    <row r="549" spans="1:18" x14ac:dyDescent="0.3">
      <c r="A549">
        <v>1</v>
      </c>
      <c r="B549" t="s">
        <v>27</v>
      </c>
      <c r="C549">
        <v>2</v>
      </c>
      <c r="D549" t="s">
        <v>31</v>
      </c>
      <c r="E549" t="s">
        <v>13</v>
      </c>
      <c r="F549" t="s">
        <v>36</v>
      </c>
      <c r="G549">
        <v>30</v>
      </c>
      <c r="H549">
        <v>0</v>
      </c>
      <c r="I549">
        <v>0</v>
      </c>
      <c r="J549">
        <v>13.862500000000001</v>
      </c>
      <c r="K549" t="s">
        <v>25</v>
      </c>
      <c r="L549" t="s">
        <v>15</v>
      </c>
      <c r="M549" t="s">
        <v>37</v>
      </c>
      <c r="N549" t="b">
        <v>1</v>
      </c>
      <c r="O549" t="s">
        <v>21</v>
      </c>
      <c r="P549" t="s">
        <v>22</v>
      </c>
      <c r="Q549" t="s">
        <v>41</v>
      </c>
      <c r="R549" t="b">
        <v>1</v>
      </c>
    </row>
    <row r="550" spans="1:18" x14ac:dyDescent="0.3">
      <c r="A550">
        <v>0</v>
      </c>
      <c r="B550" t="s">
        <v>26</v>
      </c>
      <c r="C550">
        <v>3</v>
      </c>
      <c r="D550" t="s">
        <v>32</v>
      </c>
      <c r="E550" t="s">
        <v>13</v>
      </c>
      <c r="F550" t="s">
        <v>36</v>
      </c>
      <c r="G550">
        <v>33</v>
      </c>
      <c r="H550">
        <v>1</v>
      </c>
      <c r="I550">
        <v>1</v>
      </c>
      <c r="J550">
        <v>20.524999999999999</v>
      </c>
      <c r="K550" t="s">
        <v>14</v>
      </c>
      <c r="L550" t="s">
        <v>15</v>
      </c>
      <c r="M550" t="s">
        <v>37</v>
      </c>
      <c r="N550" t="b">
        <v>1</v>
      </c>
      <c r="O550" t="s">
        <v>16</v>
      </c>
      <c r="P550" t="s">
        <v>17</v>
      </c>
      <c r="Q550" t="s">
        <v>38</v>
      </c>
      <c r="R550" t="b">
        <v>0</v>
      </c>
    </row>
    <row r="551" spans="1:18" x14ac:dyDescent="0.3">
      <c r="A551">
        <v>1</v>
      </c>
      <c r="B551" t="s">
        <v>27</v>
      </c>
      <c r="C551">
        <v>2</v>
      </c>
      <c r="D551" t="s">
        <v>31</v>
      </c>
      <c r="E551" t="s">
        <v>13</v>
      </c>
      <c r="F551" t="s">
        <v>36</v>
      </c>
      <c r="G551">
        <v>8</v>
      </c>
      <c r="H551">
        <v>1</v>
      </c>
      <c r="I551">
        <v>1</v>
      </c>
      <c r="J551">
        <v>36.75</v>
      </c>
      <c r="K551" t="s">
        <v>25</v>
      </c>
      <c r="L551" t="s">
        <v>24</v>
      </c>
      <c r="M551" t="s">
        <v>42</v>
      </c>
      <c r="N551" t="b">
        <v>0</v>
      </c>
      <c r="O551" t="s">
        <v>16</v>
      </c>
      <c r="P551" t="s">
        <v>22</v>
      </c>
      <c r="Q551" t="s">
        <v>41</v>
      </c>
      <c r="R551" t="b">
        <v>0</v>
      </c>
    </row>
    <row r="552" spans="1:18" x14ac:dyDescent="0.3">
      <c r="A552">
        <v>1</v>
      </c>
      <c r="B552" t="s">
        <v>27</v>
      </c>
      <c r="C552">
        <v>1</v>
      </c>
      <c r="D552" t="s">
        <v>30</v>
      </c>
      <c r="E552" t="s">
        <v>13</v>
      </c>
      <c r="F552" t="s">
        <v>36</v>
      </c>
      <c r="G552">
        <v>17</v>
      </c>
      <c r="H552">
        <v>0</v>
      </c>
      <c r="I552">
        <v>2</v>
      </c>
      <c r="J552">
        <v>110.88330000000001</v>
      </c>
      <c r="K552" t="s">
        <v>19</v>
      </c>
      <c r="L552" t="s">
        <v>15</v>
      </c>
      <c r="M552" t="s">
        <v>37</v>
      </c>
      <c r="N552" t="b">
        <v>1</v>
      </c>
      <c r="O552" t="s">
        <v>21</v>
      </c>
      <c r="P552" t="s">
        <v>22</v>
      </c>
      <c r="Q552" t="s">
        <v>41</v>
      </c>
      <c r="R552" t="b">
        <v>0</v>
      </c>
    </row>
    <row r="553" spans="1:18" x14ac:dyDescent="0.3">
      <c r="A553">
        <v>0</v>
      </c>
      <c r="B553" t="s">
        <v>26</v>
      </c>
      <c r="C553">
        <v>2</v>
      </c>
      <c r="D553" t="s">
        <v>31</v>
      </c>
      <c r="E553" t="s">
        <v>13</v>
      </c>
      <c r="F553" t="s">
        <v>36</v>
      </c>
      <c r="G553">
        <v>27</v>
      </c>
      <c r="H553">
        <v>0</v>
      </c>
      <c r="I553">
        <v>0</v>
      </c>
      <c r="J553">
        <v>26</v>
      </c>
      <c r="K553" t="s">
        <v>25</v>
      </c>
      <c r="L553" t="s">
        <v>15</v>
      </c>
      <c r="M553" t="s">
        <v>37</v>
      </c>
      <c r="N553" t="b">
        <v>1</v>
      </c>
      <c r="O553" t="s">
        <v>16</v>
      </c>
      <c r="P553" t="s">
        <v>17</v>
      </c>
      <c r="Q553" t="s">
        <v>38</v>
      </c>
      <c r="R553" t="b">
        <v>1</v>
      </c>
    </row>
    <row r="554" spans="1:18" x14ac:dyDescent="0.3">
      <c r="A554">
        <v>0</v>
      </c>
      <c r="B554" t="s">
        <v>26</v>
      </c>
      <c r="C554">
        <v>3</v>
      </c>
      <c r="D554" t="s">
        <v>32</v>
      </c>
      <c r="E554" t="s">
        <v>13</v>
      </c>
      <c r="F554" t="s">
        <v>36</v>
      </c>
      <c r="G554">
        <v>30</v>
      </c>
      <c r="H554">
        <v>0</v>
      </c>
      <c r="I554">
        <v>0</v>
      </c>
      <c r="J554">
        <v>7.8292000000000002</v>
      </c>
      <c r="K554" t="s">
        <v>14</v>
      </c>
      <c r="L554" t="s">
        <v>15</v>
      </c>
      <c r="M554" t="s">
        <v>37</v>
      </c>
      <c r="N554" t="b">
        <v>1</v>
      </c>
      <c r="O554" t="s">
        <v>23</v>
      </c>
      <c r="P554" t="s">
        <v>17</v>
      </c>
      <c r="Q554" t="s">
        <v>38</v>
      </c>
      <c r="R554" t="b">
        <v>1</v>
      </c>
    </row>
    <row r="555" spans="1:18" x14ac:dyDescent="0.3">
      <c r="A555">
        <v>1</v>
      </c>
      <c r="B555" t="s">
        <v>27</v>
      </c>
      <c r="C555">
        <v>3</v>
      </c>
      <c r="D555" t="s">
        <v>32</v>
      </c>
      <c r="E555" t="s">
        <v>13</v>
      </c>
      <c r="F555" t="s">
        <v>36</v>
      </c>
      <c r="G555">
        <v>22</v>
      </c>
      <c r="H555">
        <v>0</v>
      </c>
      <c r="I555">
        <v>0</v>
      </c>
      <c r="J555">
        <v>7.2249999999999996</v>
      </c>
      <c r="K555" t="s">
        <v>14</v>
      </c>
      <c r="L555" t="s">
        <v>15</v>
      </c>
      <c r="M555" t="s">
        <v>37</v>
      </c>
      <c r="N555" t="b">
        <v>1</v>
      </c>
      <c r="O555" t="s">
        <v>21</v>
      </c>
      <c r="P555" t="s">
        <v>22</v>
      </c>
      <c r="Q555" t="s">
        <v>41</v>
      </c>
      <c r="R555" t="b">
        <v>1</v>
      </c>
    </row>
    <row r="556" spans="1:18" x14ac:dyDescent="0.3">
      <c r="A556">
        <v>1</v>
      </c>
      <c r="B556" t="s">
        <v>27</v>
      </c>
      <c r="C556">
        <v>3</v>
      </c>
      <c r="D556" t="s">
        <v>32</v>
      </c>
      <c r="E556" t="s">
        <v>18</v>
      </c>
      <c r="F556" t="s">
        <v>39</v>
      </c>
      <c r="G556">
        <v>22</v>
      </c>
      <c r="H556">
        <v>0</v>
      </c>
      <c r="I556">
        <v>0</v>
      </c>
      <c r="J556">
        <v>7.7750000000000004</v>
      </c>
      <c r="K556" t="s">
        <v>14</v>
      </c>
      <c r="L556" t="s">
        <v>20</v>
      </c>
      <c r="M556" t="s">
        <v>40</v>
      </c>
      <c r="N556" t="b">
        <v>0</v>
      </c>
      <c r="O556" t="s">
        <v>16</v>
      </c>
      <c r="P556" t="s">
        <v>22</v>
      </c>
      <c r="Q556" t="s">
        <v>41</v>
      </c>
      <c r="R556" t="b">
        <v>1</v>
      </c>
    </row>
    <row r="557" spans="1:18" x14ac:dyDescent="0.3">
      <c r="A557">
        <v>0</v>
      </c>
      <c r="B557" t="s">
        <v>26</v>
      </c>
      <c r="C557">
        <v>1</v>
      </c>
      <c r="D557" t="s">
        <v>30</v>
      </c>
      <c r="E557" t="s">
        <v>13</v>
      </c>
      <c r="F557" t="s">
        <v>36</v>
      </c>
      <c r="G557">
        <v>62</v>
      </c>
      <c r="H557">
        <v>0</v>
      </c>
      <c r="I557">
        <v>0</v>
      </c>
      <c r="J557">
        <v>26.55</v>
      </c>
      <c r="K557" t="s">
        <v>19</v>
      </c>
      <c r="L557" t="s">
        <v>15</v>
      </c>
      <c r="M557" t="s">
        <v>37</v>
      </c>
      <c r="N557" t="b">
        <v>1</v>
      </c>
      <c r="O557" t="s">
        <v>16</v>
      </c>
      <c r="P557" t="s">
        <v>17</v>
      </c>
      <c r="Q557" t="s">
        <v>38</v>
      </c>
      <c r="R557" t="b">
        <v>1</v>
      </c>
    </row>
    <row r="558" spans="1:18" x14ac:dyDescent="0.3">
      <c r="A558">
        <v>1</v>
      </c>
      <c r="B558" t="s">
        <v>27</v>
      </c>
      <c r="C558">
        <v>1</v>
      </c>
      <c r="D558" t="s">
        <v>30</v>
      </c>
      <c r="E558" t="s">
        <v>18</v>
      </c>
      <c r="F558" t="s">
        <v>39</v>
      </c>
      <c r="G558">
        <v>48</v>
      </c>
      <c r="H558">
        <v>1</v>
      </c>
      <c r="I558">
        <v>0</v>
      </c>
      <c r="J558">
        <v>39.6</v>
      </c>
      <c r="K558" t="s">
        <v>19</v>
      </c>
      <c r="L558" t="s">
        <v>20</v>
      </c>
      <c r="M558" t="s">
        <v>40</v>
      </c>
      <c r="N558" t="b">
        <v>0</v>
      </c>
      <c r="O558" t="s">
        <v>21</v>
      </c>
      <c r="P558" t="s">
        <v>22</v>
      </c>
      <c r="Q558" t="s">
        <v>41</v>
      </c>
      <c r="R558" t="b">
        <v>0</v>
      </c>
    </row>
    <row r="559" spans="1:18" x14ac:dyDescent="0.3">
      <c r="A559">
        <v>0</v>
      </c>
      <c r="B559" t="s">
        <v>26</v>
      </c>
      <c r="C559">
        <v>1</v>
      </c>
      <c r="D559" t="s">
        <v>30</v>
      </c>
      <c r="E559" t="s">
        <v>13</v>
      </c>
      <c r="F559" t="s">
        <v>36</v>
      </c>
      <c r="G559">
        <v>30</v>
      </c>
      <c r="H559">
        <v>0</v>
      </c>
      <c r="I559">
        <v>0</v>
      </c>
      <c r="J559">
        <v>227.52500000000001</v>
      </c>
      <c r="K559" t="s">
        <v>19</v>
      </c>
      <c r="L559" t="s">
        <v>15</v>
      </c>
      <c r="M559" t="s">
        <v>37</v>
      </c>
      <c r="N559" t="b">
        <v>1</v>
      </c>
      <c r="O559" t="s">
        <v>21</v>
      </c>
      <c r="P559" t="s">
        <v>17</v>
      </c>
      <c r="Q559" t="s">
        <v>38</v>
      </c>
      <c r="R559" t="b">
        <v>1</v>
      </c>
    </row>
    <row r="560" spans="1:18" x14ac:dyDescent="0.3">
      <c r="A560">
        <v>1</v>
      </c>
      <c r="B560" t="s">
        <v>27</v>
      </c>
      <c r="C560">
        <v>1</v>
      </c>
      <c r="D560" t="s">
        <v>30</v>
      </c>
      <c r="E560" t="s">
        <v>18</v>
      </c>
      <c r="F560" t="s">
        <v>39</v>
      </c>
      <c r="G560">
        <v>39</v>
      </c>
      <c r="H560">
        <v>1</v>
      </c>
      <c r="I560">
        <v>1</v>
      </c>
      <c r="J560">
        <v>79.650000000000006</v>
      </c>
      <c r="K560" t="s">
        <v>19</v>
      </c>
      <c r="L560" t="s">
        <v>20</v>
      </c>
      <c r="M560" t="s">
        <v>40</v>
      </c>
      <c r="N560" t="b">
        <v>0</v>
      </c>
      <c r="O560" t="s">
        <v>16</v>
      </c>
      <c r="P560" t="s">
        <v>22</v>
      </c>
      <c r="Q560" t="s">
        <v>41</v>
      </c>
      <c r="R560" t="b">
        <v>0</v>
      </c>
    </row>
    <row r="561" spans="1:18" x14ac:dyDescent="0.3">
      <c r="A561">
        <v>1</v>
      </c>
      <c r="B561" t="s">
        <v>27</v>
      </c>
      <c r="C561">
        <v>3</v>
      </c>
      <c r="D561" t="s">
        <v>32</v>
      </c>
      <c r="E561" t="s">
        <v>18</v>
      </c>
      <c r="F561" t="s">
        <v>39</v>
      </c>
      <c r="G561">
        <v>36</v>
      </c>
      <c r="H561">
        <v>1</v>
      </c>
      <c r="I561">
        <v>0</v>
      </c>
      <c r="J561">
        <v>17.399999999999999</v>
      </c>
      <c r="K561" t="s">
        <v>14</v>
      </c>
      <c r="L561" t="s">
        <v>20</v>
      </c>
      <c r="M561" t="s">
        <v>40</v>
      </c>
      <c r="N561" t="b">
        <v>0</v>
      </c>
      <c r="O561" t="s">
        <v>16</v>
      </c>
      <c r="P561" t="s">
        <v>22</v>
      </c>
      <c r="Q561" t="s">
        <v>41</v>
      </c>
      <c r="R561" t="b">
        <v>0</v>
      </c>
    </row>
    <row r="562" spans="1:18" x14ac:dyDescent="0.3">
      <c r="A562">
        <v>0</v>
      </c>
      <c r="B562" t="s">
        <v>26</v>
      </c>
      <c r="C562">
        <v>3</v>
      </c>
      <c r="D562" t="s">
        <v>32</v>
      </c>
      <c r="E562" t="s">
        <v>13</v>
      </c>
      <c r="F562" t="s">
        <v>36</v>
      </c>
      <c r="G562">
        <v>30</v>
      </c>
      <c r="H562">
        <v>0</v>
      </c>
      <c r="I562">
        <v>0</v>
      </c>
      <c r="J562">
        <v>7.75</v>
      </c>
      <c r="K562" t="s">
        <v>14</v>
      </c>
      <c r="L562" t="s">
        <v>15</v>
      </c>
      <c r="M562" t="s">
        <v>37</v>
      </c>
      <c r="N562" t="b">
        <v>1</v>
      </c>
      <c r="O562" t="s">
        <v>23</v>
      </c>
      <c r="P562" t="s">
        <v>17</v>
      </c>
      <c r="Q562" t="s">
        <v>38</v>
      </c>
      <c r="R562" t="b">
        <v>1</v>
      </c>
    </row>
    <row r="563" spans="1:18" x14ac:dyDescent="0.3">
      <c r="A563">
        <v>0</v>
      </c>
      <c r="B563" t="s">
        <v>26</v>
      </c>
      <c r="C563">
        <v>3</v>
      </c>
      <c r="D563" t="s">
        <v>32</v>
      </c>
      <c r="E563" t="s">
        <v>13</v>
      </c>
      <c r="F563" t="s">
        <v>36</v>
      </c>
      <c r="G563">
        <v>40</v>
      </c>
      <c r="H563">
        <v>0</v>
      </c>
      <c r="I563">
        <v>0</v>
      </c>
      <c r="J563">
        <v>7.8958000000000004</v>
      </c>
      <c r="K563" t="s">
        <v>14</v>
      </c>
      <c r="L563" t="s">
        <v>15</v>
      </c>
      <c r="M563" t="s">
        <v>37</v>
      </c>
      <c r="N563" t="b">
        <v>1</v>
      </c>
      <c r="O563" t="s">
        <v>16</v>
      </c>
      <c r="P563" t="s">
        <v>17</v>
      </c>
      <c r="Q563" t="s">
        <v>38</v>
      </c>
      <c r="R563" t="b">
        <v>1</v>
      </c>
    </row>
    <row r="564" spans="1:18" x14ac:dyDescent="0.3">
      <c r="A564">
        <v>0</v>
      </c>
      <c r="B564" t="s">
        <v>26</v>
      </c>
      <c r="C564">
        <v>2</v>
      </c>
      <c r="D564" t="s">
        <v>31</v>
      </c>
      <c r="E564" t="s">
        <v>13</v>
      </c>
      <c r="F564" t="s">
        <v>36</v>
      </c>
      <c r="G564">
        <v>28</v>
      </c>
      <c r="H564">
        <v>0</v>
      </c>
      <c r="I564">
        <v>0</v>
      </c>
      <c r="J564">
        <v>13.5</v>
      </c>
      <c r="K564" t="s">
        <v>25</v>
      </c>
      <c r="L564" t="s">
        <v>15</v>
      </c>
      <c r="M564" t="s">
        <v>37</v>
      </c>
      <c r="N564" t="b">
        <v>1</v>
      </c>
      <c r="O564" t="s">
        <v>16</v>
      </c>
      <c r="P564" t="s">
        <v>17</v>
      </c>
      <c r="Q564" t="s">
        <v>38</v>
      </c>
      <c r="R564" t="b">
        <v>1</v>
      </c>
    </row>
    <row r="565" spans="1:18" x14ac:dyDescent="0.3">
      <c r="A565">
        <v>0</v>
      </c>
      <c r="B565" t="s">
        <v>26</v>
      </c>
      <c r="C565">
        <v>3</v>
      </c>
      <c r="D565" t="s">
        <v>32</v>
      </c>
      <c r="E565" t="s">
        <v>13</v>
      </c>
      <c r="F565" t="s">
        <v>36</v>
      </c>
      <c r="G565">
        <v>30</v>
      </c>
      <c r="H565">
        <v>0</v>
      </c>
      <c r="I565">
        <v>0</v>
      </c>
      <c r="J565">
        <v>8.0500000000000007</v>
      </c>
      <c r="K565" t="s">
        <v>14</v>
      </c>
      <c r="L565" t="s">
        <v>15</v>
      </c>
      <c r="M565" t="s">
        <v>37</v>
      </c>
      <c r="N565" t="b">
        <v>1</v>
      </c>
      <c r="O565" t="s">
        <v>16</v>
      </c>
      <c r="P565" t="s">
        <v>17</v>
      </c>
      <c r="Q565" t="s">
        <v>38</v>
      </c>
      <c r="R565" t="b">
        <v>1</v>
      </c>
    </row>
    <row r="566" spans="1:18" x14ac:dyDescent="0.3">
      <c r="A566">
        <v>0</v>
      </c>
      <c r="B566" t="s">
        <v>26</v>
      </c>
      <c r="C566">
        <v>3</v>
      </c>
      <c r="D566" t="s">
        <v>32</v>
      </c>
      <c r="E566" t="s">
        <v>18</v>
      </c>
      <c r="F566" t="s">
        <v>39</v>
      </c>
      <c r="G566">
        <v>30</v>
      </c>
      <c r="H566">
        <v>0</v>
      </c>
      <c r="I566">
        <v>0</v>
      </c>
      <c r="J566">
        <v>8.0500000000000007</v>
      </c>
      <c r="K566" t="s">
        <v>14</v>
      </c>
      <c r="L566" t="s">
        <v>20</v>
      </c>
      <c r="M566" t="s">
        <v>40</v>
      </c>
      <c r="N566" t="b">
        <v>0</v>
      </c>
      <c r="O566" t="s">
        <v>16</v>
      </c>
      <c r="P566" t="s">
        <v>17</v>
      </c>
      <c r="Q566" t="s">
        <v>38</v>
      </c>
      <c r="R566" t="b">
        <v>1</v>
      </c>
    </row>
    <row r="567" spans="1:18" x14ac:dyDescent="0.3">
      <c r="A567">
        <v>0</v>
      </c>
      <c r="B567" t="s">
        <v>26</v>
      </c>
      <c r="C567">
        <v>3</v>
      </c>
      <c r="D567" t="s">
        <v>32</v>
      </c>
      <c r="E567" t="s">
        <v>13</v>
      </c>
      <c r="F567" t="s">
        <v>36</v>
      </c>
      <c r="G567">
        <v>24</v>
      </c>
      <c r="H567">
        <v>2</v>
      </c>
      <c r="I567">
        <v>0</v>
      </c>
      <c r="J567">
        <v>24.15</v>
      </c>
      <c r="K567" t="s">
        <v>14</v>
      </c>
      <c r="L567" t="s">
        <v>15</v>
      </c>
      <c r="M567" t="s">
        <v>37</v>
      </c>
      <c r="N567" t="b">
        <v>1</v>
      </c>
      <c r="O567" t="s">
        <v>16</v>
      </c>
      <c r="P567" t="s">
        <v>17</v>
      </c>
      <c r="Q567" t="s">
        <v>38</v>
      </c>
      <c r="R567" t="b">
        <v>0</v>
      </c>
    </row>
    <row r="568" spans="1:18" x14ac:dyDescent="0.3">
      <c r="A568">
        <v>0</v>
      </c>
      <c r="B568" t="s">
        <v>26</v>
      </c>
      <c r="C568">
        <v>3</v>
      </c>
      <c r="D568" t="s">
        <v>32</v>
      </c>
      <c r="E568" t="s">
        <v>13</v>
      </c>
      <c r="F568" t="s">
        <v>36</v>
      </c>
      <c r="G568">
        <v>19</v>
      </c>
      <c r="H568">
        <v>0</v>
      </c>
      <c r="I568">
        <v>0</v>
      </c>
      <c r="J568">
        <v>7.8958000000000004</v>
      </c>
      <c r="K568" t="s">
        <v>14</v>
      </c>
      <c r="L568" t="s">
        <v>15</v>
      </c>
      <c r="M568" t="s">
        <v>37</v>
      </c>
      <c r="N568" t="b">
        <v>1</v>
      </c>
      <c r="O568" t="s">
        <v>16</v>
      </c>
      <c r="P568" t="s">
        <v>17</v>
      </c>
      <c r="Q568" t="s">
        <v>38</v>
      </c>
      <c r="R568" t="b">
        <v>1</v>
      </c>
    </row>
    <row r="569" spans="1:18" x14ac:dyDescent="0.3">
      <c r="A569">
        <v>0</v>
      </c>
      <c r="B569" t="s">
        <v>26</v>
      </c>
      <c r="C569">
        <v>3</v>
      </c>
      <c r="D569" t="s">
        <v>32</v>
      </c>
      <c r="E569" t="s">
        <v>18</v>
      </c>
      <c r="F569" t="s">
        <v>39</v>
      </c>
      <c r="G569">
        <v>29</v>
      </c>
      <c r="H569">
        <v>0</v>
      </c>
      <c r="I569">
        <v>4</v>
      </c>
      <c r="J569">
        <v>21.074999999999999</v>
      </c>
      <c r="K569" t="s">
        <v>14</v>
      </c>
      <c r="L569" t="s">
        <v>20</v>
      </c>
      <c r="M569" t="s">
        <v>40</v>
      </c>
      <c r="N569" t="b">
        <v>0</v>
      </c>
      <c r="O569" t="s">
        <v>16</v>
      </c>
      <c r="P569" t="s">
        <v>17</v>
      </c>
      <c r="Q569" t="s">
        <v>38</v>
      </c>
      <c r="R569" t="b">
        <v>0</v>
      </c>
    </row>
    <row r="570" spans="1:18" x14ac:dyDescent="0.3">
      <c r="A570">
        <v>0</v>
      </c>
      <c r="B570" t="s">
        <v>26</v>
      </c>
      <c r="C570">
        <v>3</v>
      </c>
      <c r="D570" t="s">
        <v>32</v>
      </c>
      <c r="E570" t="s">
        <v>13</v>
      </c>
      <c r="F570" t="s">
        <v>36</v>
      </c>
      <c r="G570">
        <v>30</v>
      </c>
      <c r="H570">
        <v>0</v>
      </c>
      <c r="I570">
        <v>0</v>
      </c>
      <c r="J570">
        <v>7.2291999999999996</v>
      </c>
      <c r="K570" t="s">
        <v>14</v>
      </c>
      <c r="L570" t="s">
        <v>15</v>
      </c>
      <c r="M570" t="s">
        <v>37</v>
      </c>
      <c r="N570" t="b">
        <v>1</v>
      </c>
      <c r="O570" t="s">
        <v>21</v>
      </c>
      <c r="P570" t="s">
        <v>17</v>
      </c>
      <c r="Q570" t="s">
        <v>38</v>
      </c>
      <c r="R570" t="b">
        <v>1</v>
      </c>
    </row>
    <row r="571" spans="1:18" x14ac:dyDescent="0.3">
      <c r="A571">
        <v>1</v>
      </c>
      <c r="B571" t="s">
        <v>27</v>
      </c>
      <c r="C571">
        <v>3</v>
      </c>
      <c r="D571" t="s">
        <v>32</v>
      </c>
      <c r="E571" t="s">
        <v>13</v>
      </c>
      <c r="F571" t="s">
        <v>36</v>
      </c>
      <c r="G571">
        <v>32</v>
      </c>
      <c r="H571">
        <v>0</v>
      </c>
      <c r="I571">
        <v>0</v>
      </c>
      <c r="J571">
        <v>7.8541999999999996</v>
      </c>
      <c r="K571" t="s">
        <v>14</v>
      </c>
      <c r="L571" t="s">
        <v>15</v>
      </c>
      <c r="M571" t="s">
        <v>37</v>
      </c>
      <c r="N571" t="b">
        <v>1</v>
      </c>
      <c r="O571" t="s">
        <v>16</v>
      </c>
      <c r="P571" t="s">
        <v>22</v>
      </c>
      <c r="Q571" t="s">
        <v>41</v>
      </c>
      <c r="R571" t="b">
        <v>1</v>
      </c>
    </row>
    <row r="572" spans="1:18" x14ac:dyDescent="0.3">
      <c r="A572">
        <v>1</v>
      </c>
      <c r="B572" t="s">
        <v>27</v>
      </c>
      <c r="C572">
        <v>2</v>
      </c>
      <c r="D572" t="s">
        <v>31</v>
      </c>
      <c r="E572" t="s">
        <v>13</v>
      </c>
      <c r="F572" t="s">
        <v>36</v>
      </c>
      <c r="G572">
        <v>62</v>
      </c>
      <c r="H572">
        <v>0</v>
      </c>
      <c r="I572">
        <v>0</v>
      </c>
      <c r="J572">
        <v>10.5</v>
      </c>
      <c r="K572" t="s">
        <v>25</v>
      </c>
      <c r="L572" t="s">
        <v>15</v>
      </c>
      <c r="M572" t="s">
        <v>37</v>
      </c>
      <c r="N572" t="b">
        <v>1</v>
      </c>
      <c r="O572" t="s">
        <v>16</v>
      </c>
      <c r="P572" t="s">
        <v>22</v>
      </c>
      <c r="Q572" t="s">
        <v>41</v>
      </c>
      <c r="R572" t="b">
        <v>1</v>
      </c>
    </row>
    <row r="573" spans="1:18" x14ac:dyDescent="0.3">
      <c r="A573">
        <v>1</v>
      </c>
      <c r="B573" t="s">
        <v>27</v>
      </c>
      <c r="C573">
        <v>1</v>
      </c>
      <c r="D573" t="s">
        <v>30</v>
      </c>
      <c r="E573" t="s">
        <v>18</v>
      </c>
      <c r="F573" t="s">
        <v>39</v>
      </c>
      <c r="G573">
        <v>53</v>
      </c>
      <c r="H573">
        <v>2</v>
      </c>
      <c r="I573">
        <v>0</v>
      </c>
      <c r="J573">
        <v>51.479199999999999</v>
      </c>
      <c r="K573" t="s">
        <v>19</v>
      </c>
      <c r="L573" t="s">
        <v>20</v>
      </c>
      <c r="M573" t="s">
        <v>40</v>
      </c>
      <c r="N573" t="b">
        <v>0</v>
      </c>
      <c r="O573" t="s">
        <v>16</v>
      </c>
      <c r="P573" t="s">
        <v>22</v>
      </c>
      <c r="Q573" t="s">
        <v>41</v>
      </c>
      <c r="R573" t="b">
        <v>0</v>
      </c>
    </row>
    <row r="574" spans="1:18" x14ac:dyDescent="0.3">
      <c r="A574">
        <v>1</v>
      </c>
      <c r="B574" t="s">
        <v>27</v>
      </c>
      <c r="C574">
        <v>1</v>
      </c>
      <c r="D574" t="s">
        <v>30</v>
      </c>
      <c r="E574" t="s">
        <v>13</v>
      </c>
      <c r="F574" t="s">
        <v>36</v>
      </c>
      <c r="G574">
        <v>36</v>
      </c>
      <c r="H574">
        <v>0</v>
      </c>
      <c r="I574">
        <v>0</v>
      </c>
      <c r="J574">
        <v>26.387499999999999</v>
      </c>
      <c r="K574" t="s">
        <v>19</v>
      </c>
      <c r="L574" t="s">
        <v>15</v>
      </c>
      <c r="M574" t="s">
        <v>37</v>
      </c>
      <c r="N574" t="b">
        <v>1</v>
      </c>
      <c r="O574" t="s">
        <v>16</v>
      </c>
      <c r="P574" t="s">
        <v>22</v>
      </c>
      <c r="Q574" t="s">
        <v>41</v>
      </c>
      <c r="R574" t="b">
        <v>1</v>
      </c>
    </row>
    <row r="575" spans="1:18" x14ac:dyDescent="0.3">
      <c r="A575">
        <v>1</v>
      </c>
      <c r="B575" t="s">
        <v>27</v>
      </c>
      <c r="C575">
        <v>3</v>
      </c>
      <c r="D575" t="s">
        <v>32</v>
      </c>
      <c r="E575" t="s">
        <v>18</v>
      </c>
      <c r="F575" t="s">
        <v>39</v>
      </c>
      <c r="G575">
        <v>30</v>
      </c>
      <c r="H575">
        <v>0</v>
      </c>
      <c r="I575">
        <v>0</v>
      </c>
      <c r="J575">
        <v>7.75</v>
      </c>
      <c r="K575" t="s">
        <v>14</v>
      </c>
      <c r="L575" t="s">
        <v>20</v>
      </c>
      <c r="M575" t="s">
        <v>40</v>
      </c>
      <c r="N575" t="b">
        <v>0</v>
      </c>
      <c r="O575" t="s">
        <v>23</v>
      </c>
      <c r="P575" t="s">
        <v>22</v>
      </c>
      <c r="Q575" t="s">
        <v>41</v>
      </c>
      <c r="R575" t="b">
        <v>1</v>
      </c>
    </row>
    <row r="576" spans="1:18" x14ac:dyDescent="0.3">
      <c r="A576">
        <v>0</v>
      </c>
      <c r="B576" t="s">
        <v>26</v>
      </c>
      <c r="C576">
        <v>3</v>
      </c>
      <c r="D576" t="s">
        <v>32</v>
      </c>
      <c r="E576" t="s">
        <v>13</v>
      </c>
      <c r="F576" t="s">
        <v>36</v>
      </c>
      <c r="G576">
        <v>16</v>
      </c>
      <c r="H576">
        <v>0</v>
      </c>
      <c r="I576">
        <v>0</v>
      </c>
      <c r="J576">
        <v>8.0500000000000007</v>
      </c>
      <c r="K576" t="s">
        <v>14</v>
      </c>
      <c r="L576" t="s">
        <v>15</v>
      </c>
      <c r="M576" t="s">
        <v>37</v>
      </c>
      <c r="N576" t="b">
        <v>1</v>
      </c>
      <c r="O576" t="s">
        <v>16</v>
      </c>
      <c r="P576" t="s">
        <v>17</v>
      </c>
      <c r="Q576" t="s">
        <v>38</v>
      </c>
      <c r="R576" t="b">
        <v>1</v>
      </c>
    </row>
    <row r="577" spans="1:18" x14ac:dyDescent="0.3">
      <c r="A577">
        <v>0</v>
      </c>
      <c r="B577" t="s">
        <v>26</v>
      </c>
      <c r="C577">
        <v>3</v>
      </c>
      <c r="D577" t="s">
        <v>32</v>
      </c>
      <c r="E577" t="s">
        <v>13</v>
      </c>
      <c r="F577" t="s">
        <v>36</v>
      </c>
      <c r="G577">
        <v>19</v>
      </c>
      <c r="H577">
        <v>0</v>
      </c>
      <c r="I577">
        <v>0</v>
      </c>
      <c r="J577">
        <v>14.5</v>
      </c>
      <c r="K577" t="s">
        <v>14</v>
      </c>
      <c r="L577" t="s">
        <v>15</v>
      </c>
      <c r="M577" t="s">
        <v>37</v>
      </c>
      <c r="N577" t="b">
        <v>1</v>
      </c>
      <c r="O577" t="s">
        <v>16</v>
      </c>
      <c r="P577" t="s">
        <v>17</v>
      </c>
      <c r="Q577" t="s">
        <v>38</v>
      </c>
      <c r="R577" t="b">
        <v>1</v>
      </c>
    </row>
    <row r="578" spans="1:18" x14ac:dyDescent="0.3">
      <c r="A578">
        <v>1</v>
      </c>
      <c r="B578" t="s">
        <v>27</v>
      </c>
      <c r="C578">
        <v>2</v>
      </c>
      <c r="D578" t="s">
        <v>31</v>
      </c>
      <c r="E578" t="s">
        <v>18</v>
      </c>
      <c r="F578" t="s">
        <v>39</v>
      </c>
      <c r="G578">
        <v>34</v>
      </c>
      <c r="H578">
        <v>0</v>
      </c>
      <c r="I578">
        <v>0</v>
      </c>
      <c r="J578">
        <v>13</v>
      </c>
      <c r="K578" t="s">
        <v>25</v>
      </c>
      <c r="L578" t="s">
        <v>20</v>
      </c>
      <c r="M578" t="s">
        <v>40</v>
      </c>
      <c r="N578" t="b">
        <v>0</v>
      </c>
      <c r="O578" t="s">
        <v>16</v>
      </c>
      <c r="P578" t="s">
        <v>22</v>
      </c>
      <c r="Q578" t="s">
        <v>41</v>
      </c>
      <c r="R578" t="b">
        <v>1</v>
      </c>
    </row>
    <row r="579" spans="1:18" x14ac:dyDescent="0.3">
      <c r="A579">
        <v>1</v>
      </c>
      <c r="B579" t="s">
        <v>27</v>
      </c>
      <c r="C579">
        <v>1</v>
      </c>
      <c r="D579" t="s">
        <v>30</v>
      </c>
      <c r="E579" t="s">
        <v>18</v>
      </c>
      <c r="F579" t="s">
        <v>39</v>
      </c>
      <c r="G579">
        <v>39</v>
      </c>
      <c r="H579">
        <v>1</v>
      </c>
      <c r="I579">
        <v>0</v>
      </c>
      <c r="J579">
        <v>55.9</v>
      </c>
      <c r="K579" t="s">
        <v>19</v>
      </c>
      <c r="L579" t="s">
        <v>20</v>
      </c>
      <c r="M579" t="s">
        <v>40</v>
      </c>
      <c r="N579" t="b">
        <v>0</v>
      </c>
      <c r="O579" t="s">
        <v>16</v>
      </c>
      <c r="P579" t="s">
        <v>22</v>
      </c>
      <c r="Q579" t="s">
        <v>41</v>
      </c>
      <c r="R579" t="b">
        <v>0</v>
      </c>
    </row>
    <row r="580" spans="1:18" x14ac:dyDescent="0.3">
      <c r="A580">
        <v>0</v>
      </c>
      <c r="B580" t="s">
        <v>26</v>
      </c>
      <c r="C580">
        <v>3</v>
      </c>
      <c r="D580" t="s">
        <v>32</v>
      </c>
      <c r="E580" t="s">
        <v>18</v>
      </c>
      <c r="F580" t="s">
        <v>39</v>
      </c>
      <c r="G580">
        <v>30</v>
      </c>
      <c r="H580">
        <v>1</v>
      </c>
      <c r="I580">
        <v>0</v>
      </c>
      <c r="J580">
        <v>14.458299999999999</v>
      </c>
      <c r="K580" t="s">
        <v>14</v>
      </c>
      <c r="L580" t="s">
        <v>20</v>
      </c>
      <c r="M580" t="s">
        <v>40</v>
      </c>
      <c r="N580" t="b">
        <v>0</v>
      </c>
      <c r="O580" t="s">
        <v>21</v>
      </c>
      <c r="P580" t="s">
        <v>17</v>
      </c>
      <c r="Q580" t="s">
        <v>38</v>
      </c>
      <c r="R580" t="b">
        <v>0</v>
      </c>
    </row>
    <row r="581" spans="1:18" x14ac:dyDescent="0.3">
      <c r="A581">
        <v>1</v>
      </c>
      <c r="B581" t="s">
        <v>27</v>
      </c>
      <c r="C581">
        <v>3</v>
      </c>
      <c r="D581" t="s">
        <v>32</v>
      </c>
      <c r="E581" t="s">
        <v>13</v>
      </c>
      <c r="F581" t="s">
        <v>36</v>
      </c>
      <c r="G581">
        <v>32</v>
      </c>
      <c r="H581">
        <v>0</v>
      </c>
      <c r="I581">
        <v>0</v>
      </c>
      <c r="J581">
        <v>7.9249999999999998</v>
      </c>
      <c r="K581" t="s">
        <v>14</v>
      </c>
      <c r="L581" t="s">
        <v>15</v>
      </c>
      <c r="M581" t="s">
        <v>37</v>
      </c>
      <c r="N581" t="b">
        <v>1</v>
      </c>
      <c r="O581" t="s">
        <v>16</v>
      </c>
      <c r="P581" t="s">
        <v>22</v>
      </c>
      <c r="Q581" t="s">
        <v>41</v>
      </c>
      <c r="R581" t="b">
        <v>1</v>
      </c>
    </row>
    <row r="582" spans="1:18" x14ac:dyDescent="0.3">
      <c r="A582">
        <v>1</v>
      </c>
      <c r="B582" t="s">
        <v>27</v>
      </c>
      <c r="C582">
        <v>2</v>
      </c>
      <c r="D582" t="s">
        <v>31</v>
      </c>
      <c r="E582" t="s">
        <v>18</v>
      </c>
      <c r="F582" t="s">
        <v>39</v>
      </c>
      <c r="G582">
        <v>25</v>
      </c>
      <c r="H582">
        <v>1</v>
      </c>
      <c r="I582">
        <v>1</v>
      </c>
      <c r="J582">
        <v>30</v>
      </c>
      <c r="K582" t="s">
        <v>25</v>
      </c>
      <c r="L582" t="s">
        <v>20</v>
      </c>
      <c r="M582" t="s">
        <v>40</v>
      </c>
      <c r="N582" t="b">
        <v>0</v>
      </c>
      <c r="O582" t="s">
        <v>16</v>
      </c>
      <c r="P582" t="s">
        <v>22</v>
      </c>
      <c r="Q582" t="s">
        <v>41</v>
      </c>
      <c r="R582" t="b">
        <v>0</v>
      </c>
    </row>
    <row r="583" spans="1:18" x14ac:dyDescent="0.3">
      <c r="A583">
        <v>1</v>
      </c>
      <c r="B583" t="s">
        <v>27</v>
      </c>
      <c r="C583">
        <v>1</v>
      </c>
      <c r="D583" t="s">
        <v>30</v>
      </c>
      <c r="E583" t="s">
        <v>18</v>
      </c>
      <c r="F583" t="s">
        <v>39</v>
      </c>
      <c r="G583">
        <v>39</v>
      </c>
      <c r="H583">
        <v>1</v>
      </c>
      <c r="I583">
        <v>1</v>
      </c>
      <c r="J583">
        <v>110.88330000000001</v>
      </c>
      <c r="K583" t="s">
        <v>19</v>
      </c>
      <c r="L583" t="s">
        <v>20</v>
      </c>
      <c r="M583" t="s">
        <v>40</v>
      </c>
      <c r="N583" t="b">
        <v>0</v>
      </c>
      <c r="O583" t="s">
        <v>21</v>
      </c>
      <c r="P583" t="s">
        <v>22</v>
      </c>
      <c r="Q583" t="s">
        <v>41</v>
      </c>
      <c r="R583" t="b">
        <v>0</v>
      </c>
    </row>
    <row r="584" spans="1:18" x14ac:dyDescent="0.3">
      <c r="A584">
        <v>0</v>
      </c>
      <c r="B584" t="s">
        <v>26</v>
      </c>
      <c r="C584">
        <v>2</v>
      </c>
      <c r="D584" t="s">
        <v>31</v>
      </c>
      <c r="E584" t="s">
        <v>13</v>
      </c>
      <c r="F584" t="s">
        <v>36</v>
      </c>
      <c r="G584">
        <v>54</v>
      </c>
      <c r="H584">
        <v>0</v>
      </c>
      <c r="I584">
        <v>0</v>
      </c>
      <c r="J584">
        <v>26</v>
      </c>
      <c r="K584" t="s">
        <v>25</v>
      </c>
      <c r="L584" t="s">
        <v>15</v>
      </c>
      <c r="M584" t="s">
        <v>37</v>
      </c>
      <c r="N584" t="b">
        <v>1</v>
      </c>
      <c r="O584" t="s">
        <v>16</v>
      </c>
      <c r="P584" t="s">
        <v>17</v>
      </c>
      <c r="Q584" t="s">
        <v>38</v>
      </c>
      <c r="R584" t="b">
        <v>1</v>
      </c>
    </row>
    <row r="585" spans="1:18" x14ac:dyDescent="0.3">
      <c r="A585">
        <v>0</v>
      </c>
      <c r="B585" t="s">
        <v>26</v>
      </c>
      <c r="C585">
        <v>1</v>
      </c>
      <c r="D585" t="s">
        <v>30</v>
      </c>
      <c r="E585" t="s">
        <v>13</v>
      </c>
      <c r="F585" t="s">
        <v>36</v>
      </c>
      <c r="G585">
        <v>36</v>
      </c>
      <c r="H585">
        <v>0</v>
      </c>
      <c r="I585">
        <v>0</v>
      </c>
      <c r="J585">
        <v>40.125</v>
      </c>
      <c r="K585" t="s">
        <v>19</v>
      </c>
      <c r="L585" t="s">
        <v>15</v>
      </c>
      <c r="M585" t="s">
        <v>37</v>
      </c>
      <c r="N585" t="b">
        <v>1</v>
      </c>
      <c r="O585" t="s">
        <v>21</v>
      </c>
      <c r="P585" t="s">
        <v>17</v>
      </c>
      <c r="Q585" t="s">
        <v>38</v>
      </c>
      <c r="R585" t="b">
        <v>1</v>
      </c>
    </row>
    <row r="586" spans="1:18" x14ac:dyDescent="0.3">
      <c r="A586">
        <v>0</v>
      </c>
      <c r="B586" t="s">
        <v>26</v>
      </c>
      <c r="C586">
        <v>3</v>
      </c>
      <c r="D586" t="s">
        <v>32</v>
      </c>
      <c r="E586" t="s">
        <v>13</v>
      </c>
      <c r="F586" t="s">
        <v>36</v>
      </c>
      <c r="G586">
        <v>30</v>
      </c>
      <c r="H586">
        <v>0</v>
      </c>
      <c r="I586">
        <v>0</v>
      </c>
      <c r="J586">
        <v>8.7125000000000004</v>
      </c>
      <c r="K586" t="s">
        <v>14</v>
      </c>
      <c r="L586" t="s">
        <v>15</v>
      </c>
      <c r="M586" t="s">
        <v>37</v>
      </c>
      <c r="N586" t="b">
        <v>1</v>
      </c>
      <c r="O586" t="s">
        <v>21</v>
      </c>
      <c r="P586" t="s">
        <v>17</v>
      </c>
      <c r="Q586" t="s">
        <v>38</v>
      </c>
      <c r="R586" t="b">
        <v>1</v>
      </c>
    </row>
    <row r="587" spans="1:18" x14ac:dyDescent="0.3">
      <c r="A587">
        <v>1</v>
      </c>
      <c r="B587" t="s">
        <v>27</v>
      </c>
      <c r="C587">
        <v>1</v>
      </c>
      <c r="D587" t="s">
        <v>30</v>
      </c>
      <c r="E587" t="s">
        <v>18</v>
      </c>
      <c r="F587" t="s">
        <v>39</v>
      </c>
      <c r="G587">
        <v>18</v>
      </c>
      <c r="H587">
        <v>0</v>
      </c>
      <c r="I587">
        <v>2</v>
      </c>
      <c r="J587">
        <v>79.650000000000006</v>
      </c>
      <c r="K587" t="s">
        <v>19</v>
      </c>
      <c r="L587" t="s">
        <v>20</v>
      </c>
      <c r="M587" t="s">
        <v>40</v>
      </c>
      <c r="N587" t="b">
        <v>0</v>
      </c>
      <c r="O587" t="s">
        <v>16</v>
      </c>
      <c r="P587" t="s">
        <v>22</v>
      </c>
      <c r="Q587" t="s">
        <v>41</v>
      </c>
      <c r="R587" t="b">
        <v>0</v>
      </c>
    </row>
    <row r="588" spans="1:18" x14ac:dyDescent="0.3">
      <c r="A588">
        <v>0</v>
      </c>
      <c r="B588" t="s">
        <v>26</v>
      </c>
      <c r="C588">
        <v>2</v>
      </c>
      <c r="D588" t="s">
        <v>31</v>
      </c>
      <c r="E588" t="s">
        <v>13</v>
      </c>
      <c r="F588" t="s">
        <v>36</v>
      </c>
      <c r="G588">
        <v>47</v>
      </c>
      <c r="H588">
        <v>0</v>
      </c>
      <c r="I588">
        <v>0</v>
      </c>
      <c r="J588">
        <v>15</v>
      </c>
      <c r="K588" t="s">
        <v>25</v>
      </c>
      <c r="L588" t="s">
        <v>15</v>
      </c>
      <c r="M588" t="s">
        <v>37</v>
      </c>
      <c r="N588" t="b">
        <v>1</v>
      </c>
      <c r="O588" t="s">
        <v>16</v>
      </c>
      <c r="P588" t="s">
        <v>17</v>
      </c>
      <c r="Q588" t="s">
        <v>38</v>
      </c>
      <c r="R588" t="b">
        <v>1</v>
      </c>
    </row>
    <row r="589" spans="1:18" x14ac:dyDescent="0.3">
      <c r="A589">
        <v>1</v>
      </c>
      <c r="B589" t="s">
        <v>27</v>
      </c>
      <c r="C589">
        <v>1</v>
      </c>
      <c r="D589" t="s">
        <v>30</v>
      </c>
      <c r="E589" t="s">
        <v>13</v>
      </c>
      <c r="F589" t="s">
        <v>36</v>
      </c>
      <c r="G589">
        <v>60</v>
      </c>
      <c r="H589">
        <v>1</v>
      </c>
      <c r="I589">
        <v>1</v>
      </c>
      <c r="J589">
        <v>79.2</v>
      </c>
      <c r="K589" t="s">
        <v>19</v>
      </c>
      <c r="L589" t="s">
        <v>15</v>
      </c>
      <c r="M589" t="s">
        <v>37</v>
      </c>
      <c r="N589" t="b">
        <v>1</v>
      </c>
      <c r="O589" t="s">
        <v>21</v>
      </c>
      <c r="P589" t="s">
        <v>22</v>
      </c>
      <c r="Q589" t="s">
        <v>41</v>
      </c>
      <c r="R589" t="b">
        <v>0</v>
      </c>
    </row>
    <row r="590" spans="1:18" x14ac:dyDescent="0.3">
      <c r="A590">
        <v>0</v>
      </c>
      <c r="B590" t="s">
        <v>26</v>
      </c>
      <c r="C590">
        <v>3</v>
      </c>
      <c r="D590" t="s">
        <v>32</v>
      </c>
      <c r="E590" t="s">
        <v>13</v>
      </c>
      <c r="F590" t="s">
        <v>36</v>
      </c>
      <c r="G590">
        <v>22</v>
      </c>
      <c r="H590">
        <v>0</v>
      </c>
      <c r="I590">
        <v>0</v>
      </c>
      <c r="J590">
        <v>8.0500000000000007</v>
      </c>
      <c r="K590" t="s">
        <v>14</v>
      </c>
      <c r="L590" t="s">
        <v>15</v>
      </c>
      <c r="M590" t="s">
        <v>37</v>
      </c>
      <c r="N590" t="b">
        <v>1</v>
      </c>
      <c r="O590" t="s">
        <v>16</v>
      </c>
      <c r="P590" t="s">
        <v>17</v>
      </c>
      <c r="Q590" t="s">
        <v>38</v>
      </c>
      <c r="R590" t="b">
        <v>1</v>
      </c>
    </row>
    <row r="591" spans="1:18" x14ac:dyDescent="0.3">
      <c r="A591">
        <v>0</v>
      </c>
      <c r="B591" t="s">
        <v>26</v>
      </c>
      <c r="C591">
        <v>3</v>
      </c>
      <c r="D591" t="s">
        <v>32</v>
      </c>
      <c r="E591" t="s">
        <v>13</v>
      </c>
      <c r="F591" t="s">
        <v>36</v>
      </c>
      <c r="G591">
        <v>30</v>
      </c>
      <c r="H591">
        <v>0</v>
      </c>
      <c r="I591">
        <v>0</v>
      </c>
      <c r="J591">
        <v>8.0500000000000007</v>
      </c>
      <c r="K591" t="s">
        <v>14</v>
      </c>
      <c r="L591" t="s">
        <v>15</v>
      </c>
      <c r="M591" t="s">
        <v>37</v>
      </c>
      <c r="N591" t="b">
        <v>1</v>
      </c>
      <c r="O591" t="s">
        <v>16</v>
      </c>
      <c r="P591" t="s">
        <v>17</v>
      </c>
      <c r="Q591" t="s">
        <v>38</v>
      </c>
      <c r="R591" t="b">
        <v>1</v>
      </c>
    </row>
    <row r="592" spans="1:18" x14ac:dyDescent="0.3">
      <c r="A592">
        <v>0</v>
      </c>
      <c r="B592" t="s">
        <v>26</v>
      </c>
      <c r="C592">
        <v>3</v>
      </c>
      <c r="D592" t="s">
        <v>32</v>
      </c>
      <c r="E592" t="s">
        <v>13</v>
      </c>
      <c r="F592" t="s">
        <v>36</v>
      </c>
      <c r="G592">
        <v>35</v>
      </c>
      <c r="H592">
        <v>0</v>
      </c>
      <c r="I592">
        <v>0</v>
      </c>
      <c r="J592">
        <v>7.125</v>
      </c>
      <c r="K592" t="s">
        <v>14</v>
      </c>
      <c r="L592" t="s">
        <v>15</v>
      </c>
      <c r="M592" t="s">
        <v>37</v>
      </c>
      <c r="N592" t="b">
        <v>1</v>
      </c>
      <c r="O592" t="s">
        <v>16</v>
      </c>
      <c r="P592" t="s">
        <v>17</v>
      </c>
      <c r="Q592" t="s">
        <v>38</v>
      </c>
      <c r="R592" t="b">
        <v>1</v>
      </c>
    </row>
    <row r="593" spans="1:18" x14ac:dyDescent="0.3">
      <c r="A593">
        <v>1</v>
      </c>
      <c r="B593" t="s">
        <v>27</v>
      </c>
      <c r="C593">
        <v>1</v>
      </c>
      <c r="D593" t="s">
        <v>30</v>
      </c>
      <c r="E593" t="s">
        <v>18</v>
      </c>
      <c r="F593" t="s">
        <v>39</v>
      </c>
      <c r="G593">
        <v>52</v>
      </c>
      <c r="H593">
        <v>1</v>
      </c>
      <c r="I593">
        <v>0</v>
      </c>
      <c r="J593">
        <v>78.2667</v>
      </c>
      <c r="K593" t="s">
        <v>19</v>
      </c>
      <c r="L593" t="s">
        <v>20</v>
      </c>
      <c r="M593" t="s">
        <v>40</v>
      </c>
      <c r="N593" t="b">
        <v>0</v>
      </c>
      <c r="O593" t="s">
        <v>21</v>
      </c>
      <c r="P593" t="s">
        <v>22</v>
      </c>
      <c r="Q593" t="s">
        <v>41</v>
      </c>
      <c r="R593" t="b">
        <v>0</v>
      </c>
    </row>
    <row r="594" spans="1:18" x14ac:dyDescent="0.3">
      <c r="A594">
        <v>0</v>
      </c>
      <c r="B594" t="s">
        <v>26</v>
      </c>
      <c r="C594">
        <v>3</v>
      </c>
      <c r="D594" t="s">
        <v>32</v>
      </c>
      <c r="E594" t="s">
        <v>13</v>
      </c>
      <c r="F594" t="s">
        <v>36</v>
      </c>
      <c r="G594">
        <v>47</v>
      </c>
      <c r="H594">
        <v>0</v>
      </c>
      <c r="I594">
        <v>0</v>
      </c>
      <c r="J594">
        <v>7.25</v>
      </c>
      <c r="K594" t="s">
        <v>14</v>
      </c>
      <c r="L594" t="s">
        <v>15</v>
      </c>
      <c r="M594" t="s">
        <v>37</v>
      </c>
      <c r="N594" t="b">
        <v>1</v>
      </c>
      <c r="O594" t="s">
        <v>16</v>
      </c>
      <c r="P594" t="s">
        <v>17</v>
      </c>
      <c r="Q594" t="s">
        <v>38</v>
      </c>
      <c r="R594" t="b">
        <v>1</v>
      </c>
    </row>
    <row r="595" spans="1:18" x14ac:dyDescent="0.3">
      <c r="A595">
        <v>0</v>
      </c>
      <c r="B595" t="s">
        <v>26</v>
      </c>
      <c r="C595">
        <v>3</v>
      </c>
      <c r="D595" t="s">
        <v>32</v>
      </c>
      <c r="E595" t="s">
        <v>18</v>
      </c>
      <c r="F595" t="s">
        <v>39</v>
      </c>
      <c r="G595">
        <v>30</v>
      </c>
      <c r="H595">
        <v>0</v>
      </c>
      <c r="I595">
        <v>2</v>
      </c>
      <c r="J595">
        <v>7.75</v>
      </c>
      <c r="K595" t="s">
        <v>14</v>
      </c>
      <c r="L595" t="s">
        <v>20</v>
      </c>
      <c r="M595" t="s">
        <v>40</v>
      </c>
      <c r="N595" t="b">
        <v>0</v>
      </c>
      <c r="O595" t="s">
        <v>23</v>
      </c>
      <c r="P595" t="s">
        <v>17</v>
      </c>
      <c r="Q595" t="s">
        <v>38</v>
      </c>
      <c r="R595" t="b">
        <v>0</v>
      </c>
    </row>
    <row r="596" spans="1:18" x14ac:dyDescent="0.3">
      <c r="A596">
        <v>0</v>
      </c>
      <c r="B596" t="s">
        <v>26</v>
      </c>
      <c r="C596">
        <v>2</v>
      </c>
      <c r="D596" t="s">
        <v>31</v>
      </c>
      <c r="E596" t="s">
        <v>13</v>
      </c>
      <c r="F596" t="s">
        <v>36</v>
      </c>
      <c r="G596">
        <v>37</v>
      </c>
      <c r="H596">
        <v>1</v>
      </c>
      <c r="I596">
        <v>0</v>
      </c>
      <c r="J596">
        <v>26</v>
      </c>
      <c r="K596" t="s">
        <v>25</v>
      </c>
      <c r="L596" t="s">
        <v>15</v>
      </c>
      <c r="M596" t="s">
        <v>37</v>
      </c>
      <c r="N596" t="b">
        <v>1</v>
      </c>
      <c r="O596" t="s">
        <v>16</v>
      </c>
      <c r="P596" t="s">
        <v>17</v>
      </c>
      <c r="Q596" t="s">
        <v>38</v>
      </c>
      <c r="R596" t="b">
        <v>0</v>
      </c>
    </row>
    <row r="597" spans="1:18" x14ac:dyDescent="0.3">
      <c r="A597">
        <v>0</v>
      </c>
      <c r="B597" t="s">
        <v>26</v>
      </c>
      <c r="C597">
        <v>3</v>
      </c>
      <c r="D597" t="s">
        <v>32</v>
      </c>
      <c r="E597" t="s">
        <v>13</v>
      </c>
      <c r="F597" t="s">
        <v>36</v>
      </c>
      <c r="G597">
        <v>36</v>
      </c>
      <c r="H597">
        <v>1</v>
      </c>
      <c r="I597">
        <v>1</v>
      </c>
      <c r="J597">
        <v>24.15</v>
      </c>
      <c r="K597" t="s">
        <v>14</v>
      </c>
      <c r="L597" t="s">
        <v>15</v>
      </c>
      <c r="M597" t="s">
        <v>37</v>
      </c>
      <c r="N597" t="b">
        <v>1</v>
      </c>
      <c r="O597" t="s">
        <v>16</v>
      </c>
      <c r="P597" t="s">
        <v>17</v>
      </c>
      <c r="Q597" t="s">
        <v>38</v>
      </c>
      <c r="R597" t="b">
        <v>0</v>
      </c>
    </row>
    <row r="598" spans="1:18" x14ac:dyDescent="0.3">
      <c r="A598">
        <v>1</v>
      </c>
      <c r="B598" t="s">
        <v>27</v>
      </c>
      <c r="C598">
        <v>2</v>
      </c>
      <c r="D598" t="s">
        <v>31</v>
      </c>
      <c r="E598" t="s">
        <v>18</v>
      </c>
      <c r="F598" t="s">
        <v>39</v>
      </c>
      <c r="G598">
        <v>30</v>
      </c>
      <c r="H598">
        <v>0</v>
      </c>
      <c r="I598">
        <v>0</v>
      </c>
      <c r="J598">
        <v>33</v>
      </c>
      <c r="K598" t="s">
        <v>25</v>
      </c>
      <c r="L598" t="s">
        <v>20</v>
      </c>
      <c r="M598" t="s">
        <v>40</v>
      </c>
      <c r="N598" t="b">
        <v>0</v>
      </c>
      <c r="O598" t="s">
        <v>16</v>
      </c>
      <c r="P598" t="s">
        <v>22</v>
      </c>
      <c r="Q598" t="s">
        <v>41</v>
      </c>
      <c r="R598" t="b">
        <v>1</v>
      </c>
    </row>
    <row r="599" spans="1:18" x14ac:dyDescent="0.3">
      <c r="A599">
        <v>0</v>
      </c>
      <c r="B599" t="s">
        <v>26</v>
      </c>
      <c r="C599">
        <v>3</v>
      </c>
      <c r="D599" t="s">
        <v>32</v>
      </c>
      <c r="E599" t="s">
        <v>13</v>
      </c>
      <c r="F599" t="s">
        <v>36</v>
      </c>
      <c r="G599">
        <v>49</v>
      </c>
      <c r="H599">
        <v>0</v>
      </c>
      <c r="I599">
        <v>0</v>
      </c>
      <c r="J599">
        <v>0</v>
      </c>
      <c r="K599" t="s">
        <v>14</v>
      </c>
      <c r="L599" t="s">
        <v>15</v>
      </c>
      <c r="M599" t="s">
        <v>37</v>
      </c>
      <c r="N599" t="b">
        <v>1</v>
      </c>
      <c r="O599" t="s">
        <v>16</v>
      </c>
      <c r="P599" t="s">
        <v>17</v>
      </c>
      <c r="Q599" t="s">
        <v>38</v>
      </c>
      <c r="R599" t="b">
        <v>1</v>
      </c>
    </row>
    <row r="600" spans="1:18" x14ac:dyDescent="0.3">
      <c r="A600">
        <v>0</v>
      </c>
      <c r="B600" t="s">
        <v>26</v>
      </c>
      <c r="C600">
        <v>3</v>
      </c>
      <c r="D600" t="s">
        <v>32</v>
      </c>
      <c r="E600" t="s">
        <v>13</v>
      </c>
      <c r="F600" t="s">
        <v>36</v>
      </c>
      <c r="G600">
        <v>30</v>
      </c>
      <c r="H600">
        <v>0</v>
      </c>
      <c r="I600">
        <v>0</v>
      </c>
      <c r="J600">
        <v>7.2249999999999996</v>
      </c>
      <c r="K600" t="s">
        <v>14</v>
      </c>
      <c r="L600" t="s">
        <v>15</v>
      </c>
      <c r="M600" t="s">
        <v>37</v>
      </c>
      <c r="N600" t="b">
        <v>1</v>
      </c>
      <c r="O600" t="s">
        <v>21</v>
      </c>
      <c r="P600" t="s">
        <v>17</v>
      </c>
      <c r="Q600" t="s">
        <v>38</v>
      </c>
      <c r="R600" t="b">
        <v>1</v>
      </c>
    </row>
    <row r="601" spans="1:18" x14ac:dyDescent="0.3">
      <c r="A601">
        <v>1</v>
      </c>
      <c r="B601" t="s">
        <v>27</v>
      </c>
      <c r="C601">
        <v>1</v>
      </c>
      <c r="D601" t="s">
        <v>30</v>
      </c>
      <c r="E601" t="s">
        <v>13</v>
      </c>
      <c r="F601" t="s">
        <v>36</v>
      </c>
      <c r="G601">
        <v>49</v>
      </c>
      <c r="H601">
        <v>1</v>
      </c>
      <c r="I601">
        <v>0</v>
      </c>
      <c r="J601">
        <v>56.929200000000002</v>
      </c>
      <c r="K601" t="s">
        <v>19</v>
      </c>
      <c r="L601" t="s">
        <v>15</v>
      </c>
      <c r="M601" t="s">
        <v>37</v>
      </c>
      <c r="N601" t="b">
        <v>1</v>
      </c>
      <c r="O601" t="s">
        <v>21</v>
      </c>
      <c r="P601" t="s">
        <v>22</v>
      </c>
      <c r="Q601" t="s">
        <v>41</v>
      </c>
      <c r="R601" t="b">
        <v>0</v>
      </c>
    </row>
    <row r="602" spans="1:18" x14ac:dyDescent="0.3">
      <c r="A602">
        <v>1</v>
      </c>
      <c r="B602" t="s">
        <v>27</v>
      </c>
      <c r="C602">
        <v>2</v>
      </c>
      <c r="D602" t="s">
        <v>31</v>
      </c>
      <c r="E602" t="s">
        <v>18</v>
      </c>
      <c r="F602" t="s">
        <v>39</v>
      </c>
      <c r="G602">
        <v>24</v>
      </c>
      <c r="H602">
        <v>2</v>
      </c>
      <c r="I602">
        <v>1</v>
      </c>
      <c r="J602">
        <v>27</v>
      </c>
      <c r="K602" t="s">
        <v>25</v>
      </c>
      <c r="L602" t="s">
        <v>20</v>
      </c>
      <c r="M602" t="s">
        <v>40</v>
      </c>
      <c r="N602" t="b">
        <v>0</v>
      </c>
      <c r="O602" t="s">
        <v>16</v>
      </c>
      <c r="P602" t="s">
        <v>22</v>
      </c>
      <c r="Q602" t="s">
        <v>41</v>
      </c>
      <c r="R602" t="b">
        <v>0</v>
      </c>
    </row>
    <row r="603" spans="1:18" x14ac:dyDescent="0.3">
      <c r="A603">
        <v>0</v>
      </c>
      <c r="B603" t="s">
        <v>26</v>
      </c>
      <c r="C603">
        <v>3</v>
      </c>
      <c r="D603" t="s">
        <v>32</v>
      </c>
      <c r="E603" t="s">
        <v>13</v>
      </c>
      <c r="F603" t="s">
        <v>36</v>
      </c>
      <c r="G603">
        <v>30</v>
      </c>
      <c r="H603">
        <v>0</v>
      </c>
      <c r="I603">
        <v>0</v>
      </c>
      <c r="J603">
        <v>7.8958000000000004</v>
      </c>
      <c r="K603" t="s">
        <v>14</v>
      </c>
      <c r="L603" t="s">
        <v>15</v>
      </c>
      <c r="M603" t="s">
        <v>37</v>
      </c>
      <c r="N603" t="b">
        <v>1</v>
      </c>
      <c r="O603" t="s">
        <v>16</v>
      </c>
      <c r="P603" t="s">
        <v>17</v>
      </c>
      <c r="Q603" t="s">
        <v>38</v>
      </c>
      <c r="R603" t="b">
        <v>1</v>
      </c>
    </row>
    <row r="604" spans="1:18" x14ac:dyDescent="0.3">
      <c r="A604">
        <v>0</v>
      </c>
      <c r="B604" t="s">
        <v>26</v>
      </c>
      <c r="C604">
        <v>1</v>
      </c>
      <c r="D604" t="s">
        <v>30</v>
      </c>
      <c r="E604" t="s">
        <v>13</v>
      </c>
      <c r="F604" t="s">
        <v>36</v>
      </c>
      <c r="G604">
        <v>30</v>
      </c>
      <c r="H604">
        <v>0</v>
      </c>
      <c r="I604">
        <v>0</v>
      </c>
      <c r="J604">
        <v>42.4</v>
      </c>
      <c r="K604" t="s">
        <v>19</v>
      </c>
      <c r="L604" t="s">
        <v>15</v>
      </c>
      <c r="M604" t="s">
        <v>37</v>
      </c>
      <c r="N604" t="b">
        <v>1</v>
      </c>
      <c r="O604" t="s">
        <v>16</v>
      </c>
      <c r="P604" t="s">
        <v>17</v>
      </c>
      <c r="Q604" t="s">
        <v>38</v>
      </c>
      <c r="R604" t="b">
        <v>1</v>
      </c>
    </row>
    <row r="605" spans="1:18" x14ac:dyDescent="0.3">
      <c r="A605">
        <v>0</v>
      </c>
      <c r="B605" t="s">
        <v>26</v>
      </c>
      <c r="C605">
        <v>3</v>
      </c>
      <c r="D605" t="s">
        <v>32</v>
      </c>
      <c r="E605" t="s">
        <v>13</v>
      </c>
      <c r="F605" t="s">
        <v>36</v>
      </c>
      <c r="G605">
        <v>44</v>
      </c>
      <c r="H605">
        <v>0</v>
      </c>
      <c r="I605">
        <v>0</v>
      </c>
      <c r="J605">
        <v>8.0500000000000007</v>
      </c>
      <c r="K605" t="s">
        <v>14</v>
      </c>
      <c r="L605" t="s">
        <v>15</v>
      </c>
      <c r="M605" t="s">
        <v>37</v>
      </c>
      <c r="N605" t="b">
        <v>1</v>
      </c>
      <c r="O605" t="s">
        <v>16</v>
      </c>
      <c r="P605" t="s">
        <v>17</v>
      </c>
      <c r="Q605" t="s">
        <v>38</v>
      </c>
      <c r="R605" t="b">
        <v>1</v>
      </c>
    </row>
    <row r="606" spans="1:18" x14ac:dyDescent="0.3">
      <c r="A606">
        <v>1</v>
      </c>
      <c r="B606" t="s">
        <v>27</v>
      </c>
      <c r="C606">
        <v>1</v>
      </c>
      <c r="D606" t="s">
        <v>30</v>
      </c>
      <c r="E606" t="s">
        <v>13</v>
      </c>
      <c r="F606" t="s">
        <v>36</v>
      </c>
      <c r="G606">
        <v>35</v>
      </c>
      <c r="H606">
        <v>0</v>
      </c>
      <c r="I606">
        <v>0</v>
      </c>
      <c r="J606">
        <v>26.55</v>
      </c>
      <c r="K606" t="s">
        <v>19</v>
      </c>
      <c r="L606" t="s">
        <v>15</v>
      </c>
      <c r="M606" t="s">
        <v>37</v>
      </c>
      <c r="N606" t="b">
        <v>1</v>
      </c>
      <c r="O606" t="s">
        <v>21</v>
      </c>
      <c r="P606" t="s">
        <v>22</v>
      </c>
      <c r="Q606" t="s">
        <v>41</v>
      </c>
      <c r="R606" t="b">
        <v>1</v>
      </c>
    </row>
    <row r="607" spans="1:18" x14ac:dyDescent="0.3">
      <c r="A607">
        <v>0</v>
      </c>
      <c r="B607" t="s">
        <v>26</v>
      </c>
      <c r="C607">
        <v>3</v>
      </c>
      <c r="D607" t="s">
        <v>32</v>
      </c>
      <c r="E607" t="s">
        <v>13</v>
      </c>
      <c r="F607" t="s">
        <v>36</v>
      </c>
      <c r="G607">
        <v>36</v>
      </c>
      <c r="H607">
        <v>1</v>
      </c>
      <c r="I607">
        <v>0</v>
      </c>
      <c r="J607">
        <v>15.55</v>
      </c>
      <c r="K607" t="s">
        <v>14</v>
      </c>
      <c r="L607" t="s">
        <v>15</v>
      </c>
      <c r="M607" t="s">
        <v>37</v>
      </c>
      <c r="N607" t="b">
        <v>1</v>
      </c>
      <c r="O607" t="s">
        <v>16</v>
      </c>
      <c r="P607" t="s">
        <v>17</v>
      </c>
      <c r="Q607" t="s">
        <v>38</v>
      </c>
      <c r="R607" t="b">
        <v>0</v>
      </c>
    </row>
    <row r="608" spans="1:18" x14ac:dyDescent="0.3">
      <c r="A608">
        <v>0</v>
      </c>
      <c r="B608" t="s">
        <v>26</v>
      </c>
      <c r="C608">
        <v>3</v>
      </c>
      <c r="D608" t="s">
        <v>32</v>
      </c>
      <c r="E608" t="s">
        <v>13</v>
      </c>
      <c r="F608" t="s">
        <v>36</v>
      </c>
      <c r="G608">
        <v>30</v>
      </c>
      <c r="H608">
        <v>0</v>
      </c>
      <c r="I608">
        <v>0</v>
      </c>
      <c r="J608">
        <v>7.8958000000000004</v>
      </c>
      <c r="K608" t="s">
        <v>14</v>
      </c>
      <c r="L608" t="s">
        <v>15</v>
      </c>
      <c r="M608" t="s">
        <v>37</v>
      </c>
      <c r="N608" t="b">
        <v>1</v>
      </c>
      <c r="O608" t="s">
        <v>16</v>
      </c>
      <c r="P608" t="s">
        <v>17</v>
      </c>
      <c r="Q608" t="s">
        <v>38</v>
      </c>
      <c r="R608" t="b">
        <v>1</v>
      </c>
    </row>
    <row r="609" spans="1:18" x14ac:dyDescent="0.3">
      <c r="A609">
        <v>1</v>
      </c>
      <c r="B609" t="s">
        <v>27</v>
      </c>
      <c r="C609">
        <v>1</v>
      </c>
      <c r="D609" t="s">
        <v>30</v>
      </c>
      <c r="E609" t="s">
        <v>13</v>
      </c>
      <c r="F609" t="s">
        <v>36</v>
      </c>
      <c r="G609">
        <v>27</v>
      </c>
      <c r="H609">
        <v>0</v>
      </c>
      <c r="I609">
        <v>0</v>
      </c>
      <c r="J609">
        <v>30.5</v>
      </c>
      <c r="K609" t="s">
        <v>19</v>
      </c>
      <c r="L609" t="s">
        <v>15</v>
      </c>
      <c r="M609" t="s">
        <v>37</v>
      </c>
      <c r="N609" t="b">
        <v>1</v>
      </c>
      <c r="O609" t="s">
        <v>16</v>
      </c>
      <c r="P609" t="s">
        <v>22</v>
      </c>
      <c r="Q609" t="s">
        <v>41</v>
      </c>
      <c r="R609" t="b">
        <v>1</v>
      </c>
    </row>
    <row r="610" spans="1:18" x14ac:dyDescent="0.3">
      <c r="A610">
        <v>1</v>
      </c>
      <c r="B610" t="s">
        <v>27</v>
      </c>
      <c r="C610">
        <v>2</v>
      </c>
      <c r="D610" t="s">
        <v>31</v>
      </c>
      <c r="E610" t="s">
        <v>18</v>
      </c>
      <c r="F610" t="s">
        <v>39</v>
      </c>
      <c r="G610">
        <v>22</v>
      </c>
      <c r="H610">
        <v>1</v>
      </c>
      <c r="I610">
        <v>2</v>
      </c>
      <c r="J610">
        <v>41.5792</v>
      </c>
      <c r="K610" t="s">
        <v>25</v>
      </c>
      <c r="L610" t="s">
        <v>20</v>
      </c>
      <c r="M610" t="s">
        <v>40</v>
      </c>
      <c r="N610" t="b">
        <v>0</v>
      </c>
      <c r="O610" t="s">
        <v>21</v>
      </c>
      <c r="P610" t="s">
        <v>22</v>
      </c>
      <c r="Q610" t="s">
        <v>41</v>
      </c>
      <c r="R610" t="b">
        <v>0</v>
      </c>
    </row>
    <row r="611" spans="1:18" x14ac:dyDescent="0.3">
      <c r="A611">
        <v>1</v>
      </c>
      <c r="B611" t="s">
        <v>27</v>
      </c>
      <c r="C611">
        <v>1</v>
      </c>
      <c r="D611" t="s">
        <v>30</v>
      </c>
      <c r="E611" t="s">
        <v>18</v>
      </c>
      <c r="F611" t="s">
        <v>39</v>
      </c>
      <c r="G611">
        <v>40</v>
      </c>
      <c r="H611">
        <v>0</v>
      </c>
      <c r="I611">
        <v>0</v>
      </c>
      <c r="J611">
        <v>153.46250000000001</v>
      </c>
      <c r="K611" t="s">
        <v>19</v>
      </c>
      <c r="L611" t="s">
        <v>20</v>
      </c>
      <c r="M611" t="s">
        <v>40</v>
      </c>
      <c r="N611" t="b">
        <v>0</v>
      </c>
      <c r="O611" t="s">
        <v>16</v>
      </c>
      <c r="P611" t="s">
        <v>22</v>
      </c>
      <c r="Q611" t="s">
        <v>41</v>
      </c>
      <c r="R611" t="b">
        <v>1</v>
      </c>
    </row>
    <row r="612" spans="1:18" x14ac:dyDescent="0.3">
      <c r="A612">
        <v>0</v>
      </c>
      <c r="B612" t="s">
        <v>26</v>
      </c>
      <c r="C612">
        <v>3</v>
      </c>
      <c r="D612" t="s">
        <v>32</v>
      </c>
      <c r="E612" t="s">
        <v>18</v>
      </c>
      <c r="F612" t="s">
        <v>39</v>
      </c>
      <c r="G612">
        <v>39</v>
      </c>
      <c r="H612">
        <v>1</v>
      </c>
      <c r="I612">
        <v>5</v>
      </c>
      <c r="J612">
        <v>31.274999999999999</v>
      </c>
      <c r="K612" t="s">
        <v>14</v>
      </c>
      <c r="L612" t="s">
        <v>20</v>
      </c>
      <c r="M612" t="s">
        <v>40</v>
      </c>
      <c r="N612" t="b">
        <v>0</v>
      </c>
      <c r="O612" t="s">
        <v>16</v>
      </c>
      <c r="P612" t="s">
        <v>17</v>
      </c>
      <c r="Q612" t="s">
        <v>38</v>
      </c>
      <c r="R612" t="b">
        <v>0</v>
      </c>
    </row>
    <row r="613" spans="1:18" x14ac:dyDescent="0.3">
      <c r="A613">
        <v>0</v>
      </c>
      <c r="B613" t="s">
        <v>26</v>
      </c>
      <c r="C613">
        <v>3</v>
      </c>
      <c r="D613" t="s">
        <v>32</v>
      </c>
      <c r="E613" t="s">
        <v>13</v>
      </c>
      <c r="F613" t="s">
        <v>36</v>
      </c>
      <c r="G613">
        <v>30</v>
      </c>
      <c r="H613">
        <v>0</v>
      </c>
      <c r="I613">
        <v>0</v>
      </c>
      <c r="J613">
        <v>7.05</v>
      </c>
      <c r="K613" t="s">
        <v>14</v>
      </c>
      <c r="L613" t="s">
        <v>15</v>
      </c>
      <c r="M613" t="s">
        <v>37</v>
      </c>
      <c r="N613" t="b">
        <v>1</v>
      </c>
      <c r="O613" t="s">
        <v>16</v>
      </c>
      <c r="P613" t="s">
        <v>17</v>
      </c>
      <c r="Q613" t="s">
        <v>38</v>
      </c>
      <c r="R613" t="b">
        <v>1</v>
      </c>
    </row>
    <row r="614" spans="1:18" x14ac:dyDescent="0.3">
      <c r="A614">
        <v>1</v>
      </c>
      <c r="B614" t="s">
        <v>27</v>
      </c>
      <c r="C614">
        <v>3</v>
      </c>
      <c r="D614" t="s">
        <v>32</v>
      </c>
      <c r="E614" t="s">
        <v>18</v>
      </c>
      <c r="F614" t="s">
        <v>39</v>
      </c>
      <c r="G614">
        <v>30</v>
      </c>
      <c r="H614">
        <v>1</v>
      </c>
      <c r="I614">
        <v>0</v>
      </c>
      <c r="J614">
        <v>15.5</v>
      </c>
      <c r="K614" t="s">
        <v>14</v>
      </c>
      <c r="L614" t="s">
        <v>20</v>
      </c>
      <c r="M614" t="s">
        <v>40</v>
      </c>
      <c r="N614" t="b">
        <v>0</v>
      </c>
      <c r="O614" t="s">
        <v>23</v>
      </c>
      <c r="P614" t="s">
        <v>22</v>
      </c>
      <c r="Q614" t="s">
        <v>41</v>
      </c>
      <c r="R614" t="b">
        <v>0</v>
      </c>
    </row>
    <row r="615" spans="1:18" x14ac:dyDescent="0.3">
      <c r="A615">
        <v>0</v>
      </c>
      <c r="B615" t="s">
        <v>26</v>
      </c>
      <c r="C615">
        <v>3</v>
      </c>
      <c r="D615" t="s">
        <v>32</v>
      </c>
      <c r="E615" t="s">
        <v>13</v>
      </c>
      <c r="F615" t="s">
        <v>36</v>
      </c>
      <c r="G615">
        <v>30</v>
      </c>
      <c r="H615">
        <v>0</v>
      </c>
      <c r="I615">
        <v>0</v>
      </c>
      <c r="J615">
        <v>7.75</v>
      </c>
      <c r="K615" t="s">
        <v>14</v>
      </c>
      <c r="L615" t="s">
        <v>15</v>
      </c>
      <c r="M615" t="s">
        <v>37</v>
      </c>
      <c r="N615" t="b">
        <v>1</v>
      </c>
      <c r="O615" t="s">
        <v>23</v>
      </c>
      <c r="P615" t="s">
        <v>17</v>
      </c>
      <c r="Q615" t="s">
        <v>38</v>
      </c>
      <c r="R615" t="b">
        <v>1</v>
      </c>
    </row>
    <row r="616" spans="1:18" x14ac:dyDescent="0.3">
      <c r="A616">
        <v>0</v>
      </c>
      <c r="B616" t="s">
        <v>26</v>
      </c>
      <c r="C616">
        <v>3</v>
      </c>
      <c r="D616" t="s">
        <v>32</v>
      </c>
      <c r="E616" t="s">
        <v>13</v>
      </c>
      <c r="F616" t="s">
        <v>36</v>
      </c>
      <c r="G616">
        <v>35</v>
      </c>
      <c r="H616">
        <v>0</v>
      </c>
      <c r="I616">
        <v>0</v>
      </c>
      <c r="J616">
        <v>8.0500000000000007</v>
      </c>
      <c r="K616" t="s">
        <v>14</v>
      </c>
      <c r="L616" t="s">
        <v>15</v>
      </c>
      <c r="M616" t="s">
        <v>37</v>
      </c>
      <c r="N616" t="b">
        <v>1</v>
      </c>
      <c r="O616" t="s">
        <v>16</v>
      </c>
      <c r="P616" t="s">
        <v>17</v>
      </c>
      <c r="Q616" t="s">
        <v>38</v>
      </c>
      <c r="R616" t="b">
        <v>1</v>
      </c>
    </row>
    <row r="617" spans="1:18" x14ac:dyDescent="0.3">
      <c r="A617">
        <v>1</v>
      </c>
      <c r="B617" t="s">
        <v>27</v>
      </c>
      <c r="C617">
        <v>2</v>
      </c>
      <c r="D617" t="s">
        <v>31</v>
      </c>
      <c r="E617" t="s">
        <v>18</v>
      </c>
      <c r="F617" t="s">
        <v>39</v>
      </c>
      <c r="G617">
        <v>24</v>
      </c>
      <c r="H617">
        <v>1</v>
      </c>
      <c r="I617">
        <v>2</v>
      </c>
      <c r="J617">
        <v>65</v>
      </c>
      <c r="K617" t="s">
        <v>25</v>
      </c>
      <c r="L617" t="s">
        <v>20</v>
      </c>
      <c r="M617" t="s">
        <v>40</v>
      </c>
      <c r="N617" t="b">
        <v>0</v>
      </c>
      <c r="O617" t="s">
        <v>16</v>
      </c>
      <c r="P617" t="s">
        <v>22</v>
      </c>
      <c r="Q617" t="s">
        <v>41</v>
      </c>
      <c r="R617" t="b">
        <v>0</v>
      </c>
    </row>
    <row r="618" spans="1:18" x14ac:dyDescent="0.3">
      <c r="A618">
        <v>0</v>
      </c>
      <c r="B618" t="s">
        <v>26</v>
      </c>
      <c r="C618">
        <v>3</v>
      </c>
      <c r="D618" t="s">
        <v>32</v>
      </c>
      <c r="E618" t="s">
        <v>13</v>
      </c>
      <c r="F618" t="s">
        <v>36</v>
      </c>
      <c r="G618">
        <v>34</v>
      </c>
      <c r="H618">
        <v>1</v>
      </c>
      <c r="I618">
        <v>1</v>
      </c>
      <c r="J618">
        <v>14.4</v>
      </c>
      <c r="K618" t="s">
        <v>14</v>
      </c>
      <c r="L618" t="s">
        <v>15</v>
      </c>
      <c r="M618" t="s">
        <v>37</v>
      </c>
      <c r="N618" t="b">
        <v>1</v>
      </c>
      <c r="O618" t="s">
        <v>16</v>
      </c>
      <c r="P618" t="s">
        <v>17</v>
      </c>
      <c r="Q618" t="s">
        <v>38</v>
      </c>
      <c r="R618" t="b">
        <v>0</v>
      </c>
    </row>
    <row r="619" spans="1:18" x14ac:dyDescent="0.3">
      <c r="A619">
        <v>0</v>
      </c>
      <c r="B619" t="s">
        <v>26</v>
      </c>
      <c r="C619">
        <v>3</v>
      </c>
      <c r="D619" t="s">
        <v>32</v>
      </c>
      <c r="E619" t="s">
        <v>18</v>
      </c>
      <c r="F619" t="s">
        <v>39</v>
      </c>
      <c r="G619">
        <v>26</v>
      </c>
      <c r="H619">
        <v>1</v>
      </c>
      <c r="I619">
        <v>0</v>
      </c>
      <c r="J619">
        <v>16.100000000000001</v>
      </c>
      <c r="K619" t="s">
        <v>14</v>
      </c>
      <c r="L619" t="s">
        <v>20</v>
      </c>
      <c r="M619" t="s">
        <v>40</v>
      </c>
      <c r="N619" t="b">
        <v>0</v>
      </c>
      <c r="O619" t="s">
        <v>16</v>
      </c>
      <c r="P619" t="s">
        <v>17</v>
      </c>
      <c r="Q619" t="s">
        <v>38</v>
      </c>
      <c r="R619" t="b">
        <v>0</v>
      </c>
    </row>
    <row r="620" spans="1:18" x14ac:dyDescent="0.3">
      <c r="A620">
        <v>1</v>
      </c>
      <c r="B620" t="s">
        <v>27</v>
      </c>
      <c r="C620">
        <v>2</v>
      </c>
      <c r="D620" t="s">
        <v>31</v>
      </c>
      <c r="E620" t="s">
        <v>18</v>
      </c>
      <c r="F620" t="s">
        <v>39</v>
      </c>
      <c r="G620">
        <v>4</v>
      </c>
      <c r="H620">
        <v>2</v>
      </c>
      <c r="I620">
        <v>1</v>
      </c>
      <c r="J620">
        <v>39</v>
      </c>
      <c r="K620" t="s">
        <v>25</v>
      </c>
      <c r="L620" t="s">
        <v>24</v>
      </c>
      <c r="M620" t="s">
        <v>42</v>
      </c>
      <c r="N620" t="b">
        <v>0</v>
      </c>
      <c r="O620" t="s">
        <v>16</v>
      </c>
      <c r="P620" t="s">
        <v>22</v>
      </c>
      <c r="Q620" t="s">
        <v>41</v>
      </c>
      <c r="R620" t="b">
        <v>0</v>
      </c>
    </row>
    <row r="621" spans="1:18" x14ac:dyDescent="0.3">
      <c r="A621">
        <v>0</v>
      </c>
      <c r="B621" t="s">
        <v>26</v>
      </c>
      <c r="C621">
        <v>2</v>
      </c>
      <c r="D621" t="s">
        <v>31</v>
      </c>
      <c r="E621" t="s">
        <v>13</v>
      </c>
      <c r="F621" t="s">
        <v>36</v>
      </c>
      <c r="G621">
        <v>26</v>
      </c>
      <c r="H621">
        <v>0</v>
      </c>
      <c r="I621">
        <v>0</v>
      </c>
      <c r="J621">
        <v>10.5</v>
      </c>
      <c r="K621" t="s">
        <v>25</v>
      </c>
      <c r="L621" t="s">
        <v>15</v>
      </c>
      <c r="M621" t="s">
        <v>37</v>
      </c>
      <c r="N621" t="b">
        <v>1</v>
      </c>
      <c r="O621" t="s">
        <v>16</v>
      </c>
      <c r="P621" t="s">
        <v>17</v>
      </c>
      <c r="Q621" t="s">
        <v>38</v>
      </c>
      <c r="R621" t="b">
        <v>1</v>
      </c>
    </row>
    <row r="622" spans="1:18" x14ac:dyDescent="0.3">
      <c r="A622">
        <v>0</v>
      </c>
      <c r="B622" t="s">
        <v>26</v>
      </c>
      <c r="C622">
        <v>3</v>
      </c>
      <c r="D622" t="s">
        <v>32</v>
      </c>
      <c r="E622" t="s">
        <v>13</v>
      </c>
      <c r="F622" t="s">
        <v>36</v>
      </c>
      <c r="G622">
        <v>27</v>
      </c>
      <c r="H622">
        <v>1</v>
      </c>
      <c r="I622">
        <v>0</v>
      </c>
      <c r="J622">
        <v>14.4542</v>
      </c>
      <c r="K622" t="s">
        <v>14</v>
      </c>
      <c r="L622" t="s">
        <v>15</v>
      </c>
      <c r="M622" t="s">
        <v>37</v>
      </c>
      <c r="N622" t="b">
        <v>1</v>
      </c>
      <c r="O622" t="s">
        <v>21</v>
      </c>
      <c r="P622" t="s">
        <v>17</v>
      </c>
      <c r="Q622" t="s">
        <v>38</v>
      </c>
      <c r="R622" t="b">
        <v>0</v>
      </c>
    </row>
    <row r="623" spans="1:18" x14ac:dyDescent="0.3">
      <c r="A623">
        <v>1</v>
      </c>
      <c r="B623" t="s">
        <v>27</v>
      </c>
      <c r="C623">
        <v>1</v>
      </c>
      <c r="D623" t="s">
        <v>30</v>
      </c>
      <c r="E623" t="s">
        <v>13</v>
      </c>
      <c r="F623" t="s">
        <v>36</v>
      </c>
      <c r="G623">
        <v>42</v>
      </c>
      <c r="H623">
        <v>1</v>
      </c>
      <c r="I623">
        <v>0</v>
      </c>
      <c r="J623">
        <v>52.554200000000002</v>
      </c>
      <c r="K623" t="s">
        <v>19</v>
      </c>
      <c r="L623" t="s">
        <v>15</v>
      </c>
      <c r="M623" t="s">
        <v>37</v>
      </c>
      <c r="N623" t="b">
        <v>1</v>
      </c>
      <c r="O623" t="s">
        <v>16</v>
      </c>
      <c r="P623" t="s">
        <v>22</v>
      </c>
      <c r="Q623" t="s">
        <v>41</v>
      </c>
      <c r="R623" t="b">
        <v>0</v>
      </c>
    </row>
    <row r="624" spans="1:18" x14ac:dyDescent="0.3">
      <c r="A624">
        <v>1</v>
      </c>
      <c r="B624" t="s">
        <v>27</v>
      </c>
      <c r="C624">
        <v>3</v>
      </c>
      <c r="D624" t="s">
        <v>32</v>
      </c>
      <c r="E624" t="s">
        <v>13</v>
      </c>
      <c r="F624" t="s">
        <v>36</v>
      </c>
      <c r="G624">
        <v>20</v>
      </c>
      <c r="H624">
        <v>1</v>
      </c>
      <c r="I624">
        <v>1</v>
      </c>
      <c r="J624">
        <v>15.7417</v>
      </c>
      <c r="K624" t="s">
        <v>14</v>
      </c>
      <c r="L624" t="s">
        <v>15</v>
      </c>
      <c r="M624" t="s">
        <v>37</v>
      </c>
      <c r="N624" t="b">
        <v>1</v>
      </c>
      <c r="O624" t="s">
        <v>21</v>
      </c>
      <c r="P624" t="s">
        <v>22</v>
      </c>
      <c r="Q624" t="s">
        <v>41</v>
      </c>
      <c r="R624" t="b">
        <v>0</v>
      </c>
    </row>
    <row r="625" spans="1:18" x14ac:dyDescent="0.3">
      <c r="A625">
        <v>0</v>
      </c>
      <c r="B625" t="s">
        <v>26</v>
      </c>
      <c r="C625">
        <v>3</v>
      </c>
      <c r="D625" t="s">
        <v>32</v>
      </c>
      <c r="E625" t="s">
        <v>13</v>
      </c>
      <c r="F625" t="s">
        <v>36</v>
      </c>
      <c r="G625">
        <v>21</v>
      </c>
      <c r="H625">
        <v>0</v>
      </c>
      <c r="I625">
        <v>0</v>
      </c>
      <c r="J625">
        <v>7.8541999999999996</v>
      </c>
      <c r="K625" t="s">
        <v>14</v>
      </c>
      <c r="L625" t="s">
        <v>15</v>
      </c>
      <c r="M625" t="s">
        <v>37</v>
      </c>
      <c r="N625" t="b">
        <v>1</v>
      </c>
      <c r="O625" t="s">
        <v>16</v>
      </c>
      <c r="P625" t="s">
        <v>17</v>
      </c>
      <c r="Q625" t="s">
        <v>38</v>
      </c>
      <c r="R625" t="b">
        <v>1</v>
      </c>
    </row>
    <row r="626" spans="1:18" x14ac:dyDescent="0.3">
      <c r="A626">
        <v>0</v>
      </c>
      <c r="B626" t="s">
        <v>26</v>
      </c>
      <c r="C626">
        <v>3</v>
      </c>
      <c r="D626" t="s">
        <v>32</v>
      </c>
      <c r="E626" t="s">
        <v>13</v>
      </c>
      <c r="F626" t="s">
        <v>36</v>
      </c>
      <c r="G626">
        <v>21</v>
      </c>
      <c r="H626">
        <v>0</v>
      </c>
      <c r="I626">
        <v>0</v>
      </c>
      <c r="J626">
        <v>16.100000000000001</v>
      </c>
      <c r="K626" t="s">
        <v>14</v>
      </c>
      <c r="L626" t="s">
        <v>15</v>
      </c>
      <c r="M626" t="s">
        <v>37</v>
      </c>
      <c r="N626" t="b">
        <v>1</v>
      </c>
      <c r="O626" t="s">
        <v>16</v>
      </c>
      <c r="P626" t="s">
        <v>17</v>
      </c>
      <c r="Q626" t="s">
        <v>38</v>
      </c>
      <c r="R626" t="b">
        <v>1</v>
      </c>
    </row>
    <row r="627" spans="1:18" x14ac:dyDescent="0.3">
      <c r="A627">
        <v>0</v>
      </c>
      <c r="B627" t="s">
        <v>26</v>
      </c>
      <c r="C627">
        <v>1</v>
      </c>
      <c r="D627" t="s">
        <v>30</v>
      </c>
      <c r="E627" t="s">
        <v>13</v>
      </c>
      <c r="F627" t="s">
        <v>36</v>
      </c>
      <c r="G627">
        <v>61</v>
      </c>
      <c r="H627">
        <v>0</v>
      </c>
      <c r="I627">
        <v>0</v>
      </c>
      <c r="J627">
        <v>32.320799999999998</v>
      </c>
      <c r="K627" t="s">
        <v>19</v>
      </c>
      <c r="L627" t="s">
        <v>15</v>
      </c>
      <c r="M627" t="s">
        <v>37</v>
      </c>
      <c r="N627" t="b">
        <v>1</v>
      </c>
      <c r="O627" t="s">
        <v>16</v>
      </c>
      <c r="P627" t="s">
        <v>17</v>
      </c>
      <c r="Q627" t="s">
        <v>38</v>
      </c>
      <c r="R627" t="b">
        <v>1</v>
      </c>
    </row>
    <row r="628" spans="1:18" x14ac:dyDescent="0.3">
      <c r="A628">
        <v>0</v>
      </c>
      <c r="B628" t="s">
        <v>26</v>
      </c>
      <c r="C628">
        <v>2</v>
      </c>
      <c r="D628" t="s">
        <v>31</v>
      </c>
      <c r="E628" t="s">
        <v>13</v>
      </c>
      <c r="F628" t="s">
        <v>36</v>
      </c>
      <c r="G628">
        <v>57</v>
      </c>
      <c r="H628">
        <v>0</v>
      </c>
      <c r="I628">
        <v>0</v>
      </c>
      <c r="J628">
        <v>12.35</v>
      </c>
      <c r="K628" t="s">
        <v>25</v>
      </c>
      <c r="L628" t="s">
        <v>15</v>
      </c>
      <c r="M628" t="s">
        <v>37</v>
      </c>
      <c r="N628" t="b">
        <v>1</v>
      </c>
      <c r="O628" t="s">
        <v>23</v>
      </c>
      <c r="P628" t="s">
        <v>17</v>
      </c>
      <c r="Q628" t="s">
        <v>38</v>
      </c>
      <c r="R628" t="b">
        <v>1</v>
      </c>
    </row>
    <row r="629" spans="1:18" x14ac:dyDescent="0.3">
      <c r="A629">
        <v>1</v>
      </c>
      <c r="B629" t="s">
        <v>27</v>
      </c>
      <c r="C629">
        <v>1</v>
      </c>
      <c r="D629" t="s">
        <v>30</v>
      </c>
      <c r="E629" t="s">
        <v>18</v>
      </c>
      <c r="F629" t="s">
        <v>39</v>
      </c>
      <c r="G629">
        <v>21</v>
      </c>
      <c r="H629">
        <v>0</v>
      </c>
      <c r="I629">
        <v>0</v>
      </c>
      <c r="J629">
        <v>77.958299999999994</v>
      </c>
      <c r="K629" t="s">
        <v>19</v>
      </c>
      <c r="L629" t="s">
        <v>20</v>
      </c>
      <c r="M629" t="s">
        <v>40</v>
      </c>
      <c r="N629" t="b">
        <v>0</v>
      </c>
      <c r="O629" t="s">
        <v>16</v>
      </c>
      <c r="P629" t="s">
        <v>22</v>
      </c>
      <c r="Q629" t="s">
        <v>41</v>
      </c>
      <c r="R629" t="b">
        <v>1</v>
      </c>
    </row>
    <row r="630" spans="1:18" x14ac:dyDescent="0.3">
      <c r="A630">
        <v>0</v>
      </c>
      <c r="B630" t="s">
        <v>26</v>
      </c>
      <c r="C630">
        <v>3</v>
      </c>
      <c r="D630" t="s">
        <v>32</v>
      </c>
      <c r="E630" t="s">
        <v>13</v>
      </c>
      <c r="F630" t="s">
        <v>36</v>
      </c>
      <c r="G630">
        <v>26</v>
      </c>
      <c r="H630">
        <v>0</v>
      </c>
      <c r="I630">
        <v>0</v>
      </c>
      <c r="J630">
        <v>7.8958000000000004</v>
      </c>
      <c r="K630" t="s">
        <v>14</v>
      </c>
      <c r="L630" t="s">
        <v>15</v>
      </c>
      <c r="M630" t="s">
        <v>37</v>
      </c>
      <c r="N630" t="b">
        <v>1</v>
      </c>
      <c r="O630" t="s">
        <v>16</v>
      </c>
      <c r="P630" t="s">
        <v>17</v>
      </c>
      <c r="Q630" t="s">
        <v>38</v>
      </c>
      <c r="R630" t="b">
        <v>1</v>
      </c>
    </row>
    <row r="631" spans="1:18" x14ac:dyDescent="0.3">
      <c r="A631">
        <v>0</v>
      </c>
      <c r="B631" t="s">
        <v>26</v>
      </c>
      <c r="C631">
        <v>3</v>
      </c>
      <c r="D631" t="s">
        <v>32</v>
      </c>
      <c r="E631" t="s">
        <v>13</v>
      </c>
      <c r="F631" t="s">
        <v>36</v>
      </c>
      <c r="G631">
        <v>30</v>
      </c>
      <c r="H631">
        <v>0</v>
      </c>
      <c r="I631">
        <v>0</v>
      </c>
      <c r="J631">
        <v>7.7332999999999998</v>
      </c>
      <c r="K631" t="s">
        <v>14</v>
      </c>
      <c r="L631" t="s">
        <v>15</v>
      </c>
      <c r="M631" t="s">
        <v>37</v>
      </c>
      <c r="N631" t="b">
        <v>1</v>
      </c>
      <c r="O631" t="s">
        <v>23</v>
      </c>
      <c r="P631" t="s">
        <v>17</v>
      </c>
      <c r="Q631" t="s">
        <v>38</v>
      </c>
      <c r="R631" t="b">
        <v>1</v>
      </c>
    </row>
    <row r="632" spans="1:18" x14ac:dyDescent="0.3">
      <c r="A632">
        <v>1</v>
      </c>
      <c r="B632" t="s">
        <v>27</v>
      </c>
      <c r="C632">
        <v>1</v>
      </c>
      <c r="D632" t="s">
        <v>30</v>
      </c>
      <c r="E632" t="s">
        <v>13</v>
      </c>
      <c r="F632" t="s">
        <v>36</v>
      </c>
      <c r="G632">
        <v>80</v>
      </c>
      <c r="H632">
        <v>0</v>
      </c>
      <c r="I632">
        <v>0</v>
      </c>
      <c r="J632">
        <v>30</v>
      </c>
      <c r="K632" t="s">
        <v>19</v>
      </c>
      <c r="L632" t="s">
        <v>15</v>
      </c>
      <c r="M632" t="s">
        <v>37</v>
      </c>
      <c r="N632" t="b">
        <v>1</v>
      </c>
      <c r="O632" t="s">
        <v>16</v>
      </c>
      <c r="P632" t="s">
        <v>22</v>
      </c>
      <c r="Q632" t="s">
        <v>41</v>
      </c>
      <c r="R632" t="b">
        <v>1</v>
      </c>
    </row>
    <row r="633" spans="1:18" x14ac:dyDescent="0.3">
      <c r="A633">
        <v>0</v>
      </c>
      <c r="B633" t="s">
        <v>26</v>
      </c>
      <c r="C633">
        <v>3</v>
      </c>
      <c r="D633" t="s">
        <v>32</v>
      </c>
      <c r="E633" t="s">
        <v>13</v>
      </c>
      <c r="F633" t="s">
        <v>36</v>
      </c>
      <c r="G633">
        <v>51</v>
      </c>
      <c r="H633">
        <v>0</v>
      </c>
      <c r="I633">
        <v>0</v>
      </c>
      <c r="J633">
        <v>7.0541999999999998</v>
      </c>
      <c r="K633" t="s">
        <v>14</v>
      </c>
      <c r="L633" t="s">
        <v>15</v>
      </c>
      <c r="M633" t="s">
        <v>37</v>
      </c>
      <c r="N633" t="b">
        <v>1</v>
      </c>
      <c r="O633" t="s">
        <v>16</v>
      </c>
      <c r="P633" t="s">
        <v>17</v>
      </c>
      <c r="Q633" t="s">
        <v>38</v>
      </c>
      <c r="R633" t="b">
        <v>1</v>
      </c>
    </row>
    <row r="634" spans="1:18" x14ac:dyDescent="0.3">
      <c r="A634">
        <v>1</v>
      </c>
      <c r="B634" t="s">
        <v>27</v>
      </c>
      <c r="C634">
        <v>1</v>
      </c>
      <c r="D634" t="s">
        <v>30</v>
      </c>
      <c r="E634" t="s">
        <v>13</v>
      </c>
      <c r="F634" t="s">
        <v>36</v>
      </c>
      <c r="G634">
        <v>32</v>
      </c>
      <c r="H634">
        <v>0</v>
      </c>
      <c r="I634">
        <v>0</v>
      </c>
      <c r="J634">
        <v>30.5</v>
      </c>
      <c r="K634" t="s">
        <v>19</v>
      </c>
      <c r="L634" t="s">
        <v>15</v>
      </c>
      <c r="M634" t="s">
        <v>37</v>
      </c>
      <c r="N634" t="b">
        <v>1</v>
      </c>
      <c r="O634" t="s">
        <v>21</v>
      </c>
      <c r="P634" t="s">
        <v>22</v>
      </c>
      <c r="Q634" t="s">
        <v>41</v>
      </c>
      <c r="R634" t="b">
        <v>1</v>
      </c>
    </row>
    <row r="635" spans="1:18" x14ac:dyDescent="0.3">
      <c r="A635">
        <v>0</v>
      </c>
      <c r="B635" t="s">
        <v>26</v>
      </c>
      <c r="C635">
        <v>1</v>
      </c>
      <c r="D635" t="s">
        <v>30</v>
      </c>
      <c r="E635" t="s">
        <v>13</v>
      </c>
      <c r="F635" t="s">
        <v>36</v>
      </c>
      <c r="G635">
        <v>30</v>
      </c>
      <c r="H635">
        <v>0</v>
      </c>
      <c r="I635">
        <v>0</v>
      </c>
      <c r="J635">
        <v>0</v>
      </c>
      <c r="K635" t="s">
        <v>19</v>
      </c>
      <c r="L635" t="s">
        <v>15</v>
      </c>
      <c r="M635" t="s">
        <v>37</v>
      </c>
      <c r="N635" t="b">
        <v>1</v>
      </c>
      <c r="O635" t="s">
        <v>16</v>
      </c>
      <c r="P635" t="s">
        <v>17</v>
      </c>
      <c r="Q635" t="s">
        <v>38</v>
      </c>
      <c r="R635" t="b">
        <v>1</v>
      </c>
    </row>
    <row r="636" spans="1:18" x14ac:dyDescent="0.3">
      <c r="A636">
        <v>0</v>
      </c>
      <c r="B636" t="s">
        <v>26</v>
      </c>
      <c r="C636">
        <v>3</v>
      </c>
      <c r="D636" t="s">
        <v>32</v>
      </c>
      <c r="E636" t="s">
        <v>18</v>
      </c>
      <c r="F636" t="s">
        <v>39</v>
      </c>
      <c r="G636">
        <v>9</v>
      </c>
      <c r="H636">
        <v>3</v>
      </c>
      <c r="I636">
        <v>2</v>
      </c>
      <c r="J636">
        <v>27.9</v>
      </c>
      <c r="K636" t="s">
        <v>14</v>
      </c>
      <c r="L636" t="s">
        <v>24</v>
      </c>
      <c r="M636" t="s">
        <v>42</v>
      </c>
      <c r="N636" t="b">
        <v>0</v>
      </c>
      <c r="O636" t="s">
        <v>16</v>
      </c>
      <c r="P636" t="s">
        <v>17</v>
      </c>
      <c r="Q636" t="s">
        <v>38</v>
      </c>
      <c r="R636" t="b">
        <v>0</v>
      </c>
    </row>
    <row r="637" spans="1:18" x14ac:dyDescent="0.3">
      <c r="A637">
        <v>1</v>
      </c>
      <c r="B637" t="s">
        <v>27</v>
      </c>
      <c r="C637">
        <v>2</v>
      </c>
      <c r="D637" t="s">
        <v>31</v>
      </c>
      <c r="E637" t="s">
        <v>18</v>
      </c>
      <c r="F637" t="s">
        <v>39</v>
      </c>
      <c r="G637">
        <v>28</v>
      </c>
      <c r="H637">
        <v>0</v>
      </c>
      <c r="I637">
        <v>0</v>
      </c>
      <c r="J637">
        <v>13</v>
      </c>
      <c r="K637" t="s">
        <v>25</v>
      </c>
      <c r="L637" t="s">
        <v>20</v>
      </c>
      <c r="M637" t="s">
        <v>40</v>
      </c>
      <c r="N637" t="b">
        <v>0</v>
      </c>
      <c r="O637" t="s">
        <v>16</v>
      </c>
      <c r="P637" t="s">
        <v>22</v>
      </c>
      <c r="Q637" t="s">
        <v>41</v>
      </c>
      <c r="R637" t="b">
        <v>1</v>
      </c>
    </row>
    <row r="638" spans="1:18" x14ac:dyDescent="0.3">
      <c r="A638">
        <v>0</v>
      </c>
      <c r="B638" t="s">
        <v>26</v>
      </c>
      <c r="C638">
        <v>3</v>
      </c>
      <c r="D638" t="s">
        <v>32</v>
      </c>
      <c r="E638" t="s">
        <v>13</v>
      </c>
      <c r="F638" t="s">
        <v>36</v>
      </c>
      <c r="G638">
        <v>32</v>
      </c>
      <c r="H638">
        <v>0</v>
      </c>
      <c r="I638">
        <v>0</v>
      </c>
      <c r="J638">
        <v>7.9249999999999998</v>
      </c>
      <c r="K638" t="s">
        <v>14</v>
      </c>
      <c r="L638" t="s">
        <v>15</v>
      </c>
      <c r="M638" t="s">
        <v>37</v>
      </c>
      <c r="N638" t="b">
        <v>1</v>
      </c>
      <c r="O638" t="s">
        <v>16</v>
      </c>
      <c r="P638" t="s">
        <v>17</v>
      </c>
      <c r="Q638" t="s">
        <v>38</v>
      </c>
      <c r="R638" t="b">
        <v>1</v>
      </c>
    </row>
    <row r="639" spans="1:18" x14ac:dyDescent="0.3">
      <c r="A639">
        <v>0</v>
      </c>
      <c r="B639" t="s">
        <v>26</v>
      </c>
      <c r="C639">
        <v>2</v>
      </c>
      <c r="D639" t="s">
        <v>31</v>
      </c>
      <c r="E639" t="s">
        <v>13</v>
      </c>
      <c r="F639" t="s">
        <v>36</v>
      </c>
      <c r="G639">
        <v>31</v>
      </c>
      <c r="H639">
        <v>1</v>
      </c>
      <c r="I639">
        <v>1</v>
      </c>
      <c r="J639">
        <v>26.25</v>
      </c>
      <c r="K639" t="s">
        <v>25</v>
      </c>
      <c r="L639" t="s">
        <v>15</v>
      </c>
      <c r="M639" t="s">
        <v>37</v>
      </c>
      <c r="N639" t="b">
        <v>1</v>
      </c>
      <c r="O639" t="s">
        <v>16</v>
      </c>
      <c r="P639" t="s">
        <v>17</v>
      </c>
      <c r="Q639" t="s">
        <v>38</v>
      </c>
      <c r="R639" t="b">
        <v>0</v>
      </c>
    </row>
    <row r="640" spans="1:18" x14ac:dyDescent="0.3">
      <c r="A640">
        <v>0</v>
      </c>
      <c r="B640" t="s">
        <v>26</v>
      </c>
      <c r="C640">
        <v>3</v>
      </c>
      <c r="D640" t="s">
        <v>32</v>
      </c>
      <c r="E640" t="s">
        <v>18</v>
      </c>
      <c r="F640" t="s">
        <v>39</v>
      </c>
      <c r="G640">
        <v>41</v>
      </c>
      <c r="H640">
        <v>0</v>
      </c>
      <c r="I640">
        <v>5</v>
      </c>
      <c r="J640">
        <v>39.6875</v>
      </c>
      <c r="K640" t="s">
        <v>14</v>
      </c>
      <c r="L640" t="s">
        <v>20</v>
      </c>
      <c r="M640" t="s">
        <v>40</v>
      </c>
      <c r="N640" t="b">
        <v>0</v>
      </c>
      <c r="O640" t="s">
        <v>16</v>
      </c>
      <c r="P640" t="s">
        <v>17</v>
      </c>
      <c r="Q640" t="s">
        <v>38</v>
      </c>
      <c r="R640" t="b">
        <v>0</v>
      </c>
    </row>
    <row r="641" spans="1:18" x14ac:dyDescent="0.3">
      <c r="A641">
        <v>0</v>
      </c>
      <c r="B641" t="s">
        <v>26</v>
      </c>
      <c r="C641">
        <v>3</v>
      </c>
      <c r="D641" t="s">
        <v>32</v>
      </c>
      <c r="E641" t="s">
        <v>13</v>
      </c>
      <c r="F641" t="s">
        <v>36</v>
      </c>
      <c r="G641">
        <v>30</v>
      </c>
      <c r="H641">
        <v>1</v>
      </c>
      <c r="I641">
        <v>0</v>
      </c>
      <c r="J641">
        <v>16.100000000000001</v>
      </c>
      <c r="K641" t="s">
        <v>14</v>
      </c>
      <c r="L641" t="s">
        <v>15</v>
      </c>
      <c r="M641" t="s">
        <v>37</v>
      </c>
      <c r="N641" t="b">
        <v>1</v>
      </c>
      <c r="O641" t="s">
        <v>16</v>
      </c>
      <c r="P641" t="s">
        <v>17</v>
      </c>
      <c r="Q641" t="s">
        <v>38</v>
      </c>
      <c r="R641" t="b">
        <v>0</v>
      </c>
    </row>
    <row r="642" spans="1:18" x14ac:dyDescent="0.3">
      <c r="A642">
        <v>0</v>
      </c>
      <c r="B642" t="s">
        <v>26</v>
      </c>
      <c r="C642">
        <v>3</v>
      </c>
      <c r="D642" t="s">
        <v>32</v>
      </c>
      <c r="E642" t="s">
        <v>13</v>
      </c>
      <c r="F642" t="s">
        <v>36</v>
      </c>
      <c r="G642">
        <v>20</v>
      </c>
      <c r="H642">
        <v>0</v>
      </c>
      <c r="I642">
        <v>0</v>
      </c>
      <c r="J642">
        <v>7.8541999999999996</v>
      </c>
      <c r="K642" t="s">
        <v>14</v>
      </c>
      <c r="L642" t="s">
        <v>15</v>
      </c>
      <c r="M642" t="s">
        <v>37</v>
      </c>
      <c r="N642" t="b">
        <v>1</v>
      </c>
      <c r="O642" t="s">
        <v>16</v>
      </c>
      <c r="P642" t="s">
        <v>17</v>
      </c>
      <c r="Q642" t="s">
        <v>38</v>
      </c>
      <c r="R642" t="b">
        <v>1</v>
      </c>
    </row>
    <row r="643" spans="1:18" x14ac:dyDescent="0.3">
      <c r="A643">
        <v>1</v>
      </c>
      <c r="B643" t="s">
        <v>27</v>
      </c>
      <c r="C643">
        <v>1</v>
      </c>
      <c r="D643" t="s">
        <v>30</v>
      </c>
      <c r="E643" t="s">
        <v>18</v>
      </c>
      <c r="F643" t="s">
        <v>39</v>
      </c>
      <c r="G643">
        <v>24</v>
      </c>
      <c r="H643">
        <v>0</v>
      </c>
      <c r="I643">
        <v>0</v>
      </c>
      <c r="J643">
        <v>69.3</v>
      </c>
      <c r="K643" t="s">
        <v>19</v>
      </c>
      <c r="L643" t="s">
        <v>20</v>
      </c>
      <c r="M643" t="s">
        <v>40</v>
      </c>
      <c r="N643" t="b">
        <v>0</v>
      </c>
      <c r="O643" t="s">
        <v>21</v>
      </c>
      <c r="P643" t="s">
        <v>22</v>
      </c>
      <c r="Q643" t="s">
        <v>41</v>
      </c>
      <c r="R643" t="b">
        <v>1</v>
      </c>
    </row>
    <row r="644" spans="1:18" x14ac:dyDescent="0.3">
      <c r="A644">
        <v>0</v>
      </c>
      <c r="B644" t="s">
        <v>26</v>
      </c>
      <c r="C644">
        <v>3</v>
      </c>
      <c r="D644" t="s">
        <v>32</v>
      </c>
      <c r="E644" t="s">
        <v>18</v>
      </c>
      <c r="F644" t="s">
        <v>39</v>
      </c>
      <c r="G644">
        <v>2</v>
      </c>
      <c r="H644">
        <v>3</v>
      </c>
      <c r="I644">
        <v>2</v>
      </c>
      <c r="J644">
        <v>27.9</v>
      </c>
      <c r="K644" t="s">
        <v>14</v>
      </c>
      <c r="L644" t="s">
        <v>24</v>
      </c>
      <c r="M644" t="s">
        <v>42</v>
      </c>
      <c r="N644" t="b">
        <v>0</v>
      </c>
      <c r="O644" t="s">
        <v>16</v>
      </c>
      <c r="P644" t="s">
        <v>17</v>
      </c>
      <c r="Q644" t="s">
        <v>38</v>
      </c>
      <c r="R644" t="b">
        <v>0</v>
      </c>
    </row>
    <row r="645" spans="1:18" x14ac:dyDescent="0.3">
      <c r="A645">
        <v>1</v>
      </c>
      <c r="B645" t="s">
        <v>27</v>
      </c>
      <c r="C645">
        <v>3</v>
      </c>
      <c r="D645" t="s">
        <v>32</v>
      </c>
      <c r="E645" t="s">
        <v>13</v>
      </c>
      <c r="F645" t="s">
        <v>36</v>
      </c>
      <c r="G645">
        <v>30</v>
      </c>
      <c r="H645">
        <v>0</v>
      </c>
      <c r="I645">
        <v>0</v>
      </c>
      <c r="J645">
        <v>56.495800000000003</v>
      </c>
      <c r="K645" t="s">
        <v>14</v>
      </c>
      <c r="L645" t="s">
        <v>15</v>
      </c>
      <c r="M645" t="s">
        <v>37</v>
      </c>
      <c r="N645" t="b">
        <v>1</v>
      </c>
      <c r="O645" t="s">
        <v>16</v>
      </c>
      <c r="P645" t="s">
        <v>22</v>
      </c>
      <c r="Q645" t="s">
        <v>41</v>
      </c>
      <c r="R645" t="b">
        <v>1</v>
      </c>
    </row>
    <row r="646" spans="1:18" x14ac:dyDescent="0.3">
      <c r="A646">
        <v>1</v>
      </c>
      <c r="B646" t="s">
        <v>27</v>
      </c>
      <c r="C646">
        <v>3</v>
      </c>
      <c r="D646" t="s">
        <v>32</v>
      </c>
      <c r="E646" t="s">
        <v>18</v>
      </c>
      <c r="F646" t="s">
        <v>39</v>
      </c>
      <c r="G646">
        <v>0.75</v>
      </c>
      <c r="H646">
        <v>2</v>
      </c>
      <c r="I646">
        <v>1</v>
      </c>
      <c r="J646">
        <v>19.258299999999998</v>
      </c>
      <c r="K646" t="s">
        <v>14</v>
      </c>
      <c r="L646" t="s">
        <v>24</v>
      </c>
      <c r="M646" t="s">
        <v>42</v>
      </c>
      <c r="N646" t="b">
        <v>0</v>
      </c>
      <c r="O646" t="s">
        <v>21</v>
      </c>
      <c r="P646" t="s">
        <v>22</v>
      </c>
      <c r="Q646" t="s">
        <v>41</v>
      </c>
      <c r="R646" t="b">
        <v>0</v>
      </c>
    </row>
    <row r="647" spans="1:18" x14ac:dyDescent="0.3">
      <c r="A647">
        <v>1</v>
      </c>
      <c r="B647" t="s">
        <v>27</v>
      </c>
      <c r="C647">
        <v>1</v>
      </c>
      <c r="D647" t="s">
        <v>30</v>
      </c>
      <c r="E647" t="s">
        <v>13</v>
      </c>
      <c r="F647" t="s">
        <v>36</v>
      </c>
      <c r="G647">
        <v>48</v>
      </c>
      <c r="H647">
        <v>1</v>
      </c>
      <c r="I647">
        <v>0</v>
      </c>
      <c r="J647">
        <v>76.729200000000006</v>
      </c>
      <c r="K647" t="s">
        <v>19</v>
      </c>
      <c r="L647" t="s">
        <v>15</v>
      </c>
      <c r="M647" t="s">
        <v>37</v>
      </c>
      <c r="N647" t="b">
        <v>1</v>
      </c>
      <c r="O647" t="s">
        <v>21</v>
      </c>
      <c r="P647" t="s">
        <v>22</v>
      </c>
      <c r="Q647" t="s">
        <v>41</v>
      </c>
      <c r="R647" t="b">
        <v>0</v>
      </c>
    </row>
    <row r="648" spans="1:18" x14ac:dyDescent="0.3">
      <c r="A648">
        <v>0</v>
      </c>
      <c r="B648" t="s">
        <v>26</v>
      </c>
      <c r="C648">
        <v>3</v>
      </c>
      <c r="D648" t="s">
        <v>32</v>
      </c>
      <c r="E648" t="s">
        <v>13</v>
      </c>
      <c r="F648" t="s">
        <v>36</v>
      </c>
      <c r="G648">
        <v>19</v>
      </c>
      <c r="H648">
        <v>0</v>
      </c>
      <c r="I648">
        <v>0</v>
      </c>
      <c r="J648">
        <v>7.8958000000000004</v>
      </c>
      <c r="K648" t="s">
        <v>14</v>
      </c>
      <c r="L648" t="s">
        <v>15</v>
      </c>
      <c r="M648" t="s">
        <v>37</v>
      </c>
      <c r="N648" t="b">
        <v>1</v>
      </c>
      <c r="O648" t="s">
        <v>16</v>
      </c>
      <c r="P648" t="s">
        <v>17</v>
      </c>
      <c r="Q648" t="s">
        <v>38</v>
      </c>
      <c r="R648" t="b">
        <v>1</v>
      </c>
    </row>
    <row r="649" spans="1:18" x14ac:dyDescent="0.3">
      <c r="A649">
        <v>1</v>
      </c>
      <c r="B649" t="s">
        <v>27</v>
      </c>
      <c r="C649">
        <v>1</v>
      </c>
      <c r="D649" t="s">
        <v>30</v>
      </c>
      <c r="E649" t="s">
        <v>13</v>
      </c>
      <c r="F649" t="s">
        <v>36</v>
      </c>
      <c r="G649">
        <v>56</v>
      </c>
      <c r="H649">
        <v>0</v>
      </c>
      <c r="I649">
        <v>0</v>
      </c>
      <c r="J649">
        <v>35.5</v>
      </c>
      <c r="K649" t="s">
        <v>19</v>
      </c>
      <c r="L649" t="s">
        <v>15</v>
      </c>
      <c r="M649" t="s">
        <v>37</v>
      </c>
      <c r="N649" t="b">
        <v>1</v>
      </c>
      <c r="O649" t="s">
        <v>21</v>
      </c>
      <c r="P649" t="s">
        <v>22</v>
      </c>
      <c r="Q649" t="s">
        <v>41</v>
      </c>
      <c r="R649" t="b">
        <v>1</v>
      </c>
    </row>
    <row r="650" spans="1:18" x14ac:dyDescent="0.3">
      <c r="A650">
        <v>0</v>
      </c>
      <c r="B650" t="s">
        <v>26</v>
      </c>
      <c r="C650">
        <v>3</v>
      </c>
      <c r="D650" t="s">
        <v>32</v>
      </c>
      <c r="E650" t="s">
        <v>13</v>
      </c>
      <c r="F650" t="s">
        <v>36</v>
      </c>
      <c r="G650">
        <v>30</v>
      </c>
      <c r="H650">
        <v>0</v>
      </c>
      <c r="I650">
        <v>0</v>
      </c>
      <c r="J650">
        <v>7.55</v>
      </c>
      <c r="K650" t="s">
        <v>14</v>
      </c>
      <c r="L650" t="s">
        <v>15</v>
      </c>
      <c r="M650" t="s">
        <v>37</v>
      </c>
      <c r="N650" t="b">
        <v>1</v>
      </c>
      <c r="O650" t="s">
        <v>16</v>
      </c>
      <c r="P650" t="s">
        <v>17</v>
      </c>
      <c r="Q650" t="s">
        <v>38</v>
      </c>
      <c r="R650" t="b">
        <v>1</v>
      </c>
    </row>
    <row r="651" spans="1:18" x14ac:dyDescent="0.3">
      <c r="A651">
        <v>1</v>
      </c>
      <c r="B651" t="s">
        <v>27</v>
      </c>
      <c r="C651">
        <v>3</v>
      </c>
      <c r="D651" t="s">
        <v>32</v>
      </c>
      <c r="E651" t="s">
        <v>18</v>
      </c>
      <c r="F651" t="s">
        <v>39</v>
      </c>
      <c r="G651">
        <v>23</v>
      </c>
      <c r="H651">
        <v>0</v>
      </c>
      <c r="I651">
        <v>0</v>
      </c>
      <c r="J651">
        <v>7.55</v>
      </c>
      <c r="K651" t="s">
        <v>14</v>
      </c>
      <c r="L651" t="s">
        <v>20</v>
      </c>
      <c r="M651" t="s">
        <v>40</v>
      </c>
      <c r="N651" t="b">
        <v>0</v>
      </c>
      <c r="O651" t="s">
        <v>16</v>
      </c>
      <c r="P651" t="s">
        <v>22</v>
      </c>
      <c r="Q651" t="s">
        <v>41</v>
      </c>
      <c r="R651" t="b">
        <v>1</v>
      </c>
    </row>
    <row r="652" spans="1:18" x14ac:dyDescent="0.3">
      <c r="A652">
        <v>0</v>
      </c>
      <c r="B652" t="s">
        <v>26</v>
      </c>
      <c r="C652">
        <v>3</v>
      </c>
      <c r="D652" t="s">
        <v>32</v>
      </c>
      <c r="E652" t="s">
        <v>13</v>
      </c>
      <c r="F652" t="s">
        <v>36</v>
      </c>
      <c r="G652">
        <v>30</v>
      </c>
      <c r="H652">
        <v>0</v>
      </c>
      <c r="I652">
        <v>0</v>
      </c>
      <c r="J652">
        <v>7.8958000000000004</v>
      </c>
      <c r="K652" t="s">
        <v>14</v>
      </c>
      <c r="L652" t="s">
        <v>15</v>
      </c>
      <c r="M652" t="s">
        <v>37</v>
      </c>
      <c r="N652" t="b">
        <v>1</v>
      </c>
      <c r="O652" t="s">
        <v>16</v>
      </c>
      <c r="P652" t="s">
        <v>17</v>
      </c>
      <c r="Q652" t="s">
        <v>38</v>
      </c>
      <c r="R652" t="b">
        <v>1</v>
      </c>
    </row>
    <row r="653" spans="1:18" x14ac:dyDescent="0.3">
      <c r="A653">
        <v>1</v>
      </c>
      <c r="B653" t="s">
        <v>27</v>
      </c>
      <c r="C653">
        <v>2</v>
      </c>
      <c r="D653" t="s">
        <v>31</v>
      </c>
      <c r="E653" t="s">
        <v>18</v>
      </c>
      <c r="F653" t="s">
        <v>39</v>
      </c>
      <c r="G653">
        <v>18</v>
      </c>
      <c r="H653">
        <v>0</v>
      </c>
      <c r="I653">
        <v>1</v>
      </c>
      <c r="J653">
        <v>23</v>
      </c>
      <c r="K653" t="s">
        <v>25</v>
      </c>
      <c r="L653" t="s">
        <v>20</v>
      </c>
      <c r="M653" t="s">
        <v>40</v>
      </c>
      <c r="N653" t="b">
        <v>0</v>
      </c>
      <c r="O653" t="s">
        <v>16</v>
      </c>
      <c r="P653" t="s">
        <v>22</v>
      </c>
      <c r="Q653" t="s">
        <v>41</v>
      </c>
      <c r="R653" t="b">
        <v>0</v>
      </c>
    </row>
    <row r="654" spans="1:18" x14ac:dyDescent="0.3">
      <c r="A654">
        <v>0</v>
      </c>
      <c r="B654" t="s">
        <v>26</v>
      </c>
      <c r="C654">
        <v>3</v>
      </c>
      <c r="D654" t="s">
        <v>32</v>
      </c>
      <c r="E654" t="s">
        <v>13</v>
      </c>
      <c r="F654" t="s">
        <v>36</v>
      </c>
      <c r="G654">
        <v>21</v>
      </c>
      <c r="H654">
        <v>0</v>
      </c>
      <c r="I654">
        <v>0</v>
      </c>
      <c r="J654">
        <v>8.4332999999999991</v>
      </c>
      <c r="K654" t="s">
        <v>14</v>
      </c>
      <c r="L654" t="s">
        <v>15</v>
      </c>
      <c r="M654" t="s">
        <v>37</v>
      </c>
      <c r="N654" t="b">
        <v>1</v>
      </c>
      <c r="O654" t="s">
        <v>16</v>
      </c>
      <c r="P654" t="s">
        <v>17</v>
      </c>
      <c r="Q654" t="s">
        <v>38</v>
      </c>
      <c r="R654" t="b">
        <v>1</v>
      </c>
    </row>
    <row r="655" spans="1:18" x14ac:dyDescent="0.3">
      <c r="A655">
        <v>1</v>
      </c>
      <c r="B655" t="s">
        <v>27</v>
      </c>
      <c r="C655">
        <v>3</v>
      </c>
      <c r="D655" t="s">
        <v>32</v>
      </c>
      <c r="E655" t="s">
        <v>18</v>
      </c>
      <c r="F655" t="s">
        <v>39</v>
      </c>
      <c r="G655">
        <v>30</v>
      </c>
      <c r="H655">
        <v>0</v>
      </c>
      <c r="I655">
        <v>0</v>
      </c>
      <c r="J655">
        <v>7.8292000000000002</v>
      </c>
      <c r="K655" t="s">
        <v>14</v>
      </c>
      <c r="L655" t="s">
        <v>20</v>
      </c>
      <c r="M655" t="s">
        <v>40</v>
      </c>
      <c r="N655" t="b">
        <v>0</v>
      </c>
      <c r="O655" t="s">
        <v>23</v>
      </c>
      <c r="P655" t="s">
        <v>22</v>
      </c>
      <c r="Q655" t="s">
        <v>41</v>
      </c>
      <c r="R655" t="b">
        <v>1</v>
      </c>
    </row>
    <row r="656" spans="1:18" x14ac:dyDescent="0.3">
      <c r="A656">
        <v>0</v>
      </c>
      <c r="B656" t="s">
        <v>26</v>
      </c>
      <c r="C656">
        <v>3</v>
      </c>
      <c r="D656" t="s">
        <v>32</v>
      </c>
      <c r="E656" t="s">
        <v>18</v>
      </c>
      <c r="F656" t="s">
        <v>39</v>
      </c>
      <c r="G656">
        <v>18</v>
      </c>
      <c r="H656">
        <v>0</v>
      </c>
      <c r="I656">
        <v>0</v>
      </c>
      <c r="J656">
        <v>6.75</v>
      </c>
      <c r="K656" t="s">
        <v>14</v>
      </c>
      <c r="L656" t="s">
        <v>20</v>
      </c>
      <c r="M656" t="s">
        <v>40</v>
      </c>
      <c r="N656" t="b">
        <v>0</v>
      </c>
      <c r="O656" t="s">
        <v>23</v>
      </c>
      <c r="P656" t="s">
        <v>17</v>
      </c>
      <c r="Q656" t="s">
        <v>38</v>
      </c>
      <c r="R656" t="b">
        <v>1</v>
      </c>
    </row>
    <row r="657" spans="1:18" x14ac:dyDescent="0.3">
      <c r="A657">
        <v>0</v>
      </c>
      <c r="B657" t="s">
        <v>26</v>
      </c>
      <c r="C657">
        <v>2</v>
      </c>
      <c r="D657" t="s">
        <v>31</v>
      </c>
      <c r="E657" t="s">
        <v>13</v>
      </c>
      <c r="F657" t="s">
        <v>36</v>
      </c>
      <c r="G657">
        <v>24</v>
      </c>
      <c r="H657">
        <v>2</v>
      </c>
      <c r="I657">
        <v>0</v>
      </c>
      <c r="J657">
        <v>73.5</v>
      </c>
      <c r="K657" t="s">
        <v>25</v>
      </c>
      <c r="L657" t="s">
        <v>15</v>
      </c>
      <c r="M657" t="s">
        <v>37</v>
      </c>
      <c r="N657" t="b">
        <v>1</v>
      </c>
      <c r="O657" t="s">
        <v>16</v>
      </c>
      <c r="P657" t="s">
        <v>17</v>
      </c>
      <c r="Q657" t="s">
        <v>38</v>
      </c>
      <c r="R657" t="b">
        <v>0</v>
      </c>
    </row>
    <row r="658" spans="1:18" x14ac:dyDescent="0.3">
      <c r="A658">
        <v>0</v>
      </c>
      <c r="B658" t="s">
        <v>26</v>
      </c>
      <c r="C658">
        <v>3</v>
      </c>
      <c r="D658" t="s">
        <v>32</v>
      </c>
      <c r="E658" t="s">
        <v>13</v>
      </c>
      <c r="F658" t="s">
        <v>36</v>
      </c>
      <c r="G658">
        <v>30</v>
      </c>
      <c r="H658">
        <v>0</v>
      </c>
      <c r="I658">
        <v>0</v>
      </c>
      <c r="J658">
        <v>7.8958000000000004</v>
      </c>
      <c r="K658" t="s">
        <v>14</v>
      </c>
      <c r="L658" t="s">
        <v>15</v>
      </c>
      <c r="M658" t="s">
        <v>37</v>
      </c>
      <c r="N658" t="b">
        <v>1</v>
      </c>
      <c r="O658" t="s">
        <v>16</v>
      </c>
      <c r="P658" t="s">
        <v>17</v>
      </c>
      <c r="Q658" t="s">
        <v>38</v>
      </c>
      <c r="R658" t="b">
        <v>1</v>
      </c>
    </row>
    <row r="659" spans="1:18" x14ac:dyDescent="0.3">
      <c r="A659">
        <v>0</v>
      </c>
      <c r="B659" t="s">
        <v>26</v>
      </c>
      <c r="C659">
        <v>3</v>
      </c>
      <c r="D659" t="s">
        <v>32</v>
      </c>
      <c r="E659" t="s">
        <v>18</v>
      </c>
      <c r="F659" t="s">
        <v>39</v>
      </c>
      <c r="G659">
        <v>32</v>
      </c>
      <c r="H659">
        <v>1</v>
      </c>
      <c r="I659">
        <v>1</v>
      </c>
      <c r="J659">
        <v>15.5</v>
      </c>
      <c r="K659" t="s">
        <v>14</v>
      </c>
      <c r="L659" t="s">
        <v>20</v>
      </c>
      <c r="M659" t="s">
        <v>40</v>
      </c>
      <c r="N659" t="b">
        <v>0</v>
      </c>
      <c r="O659" t="s">
        <v>23</v>
      </c>
      <c r="P659" t="s">
        <v>17</v>
      </c>
      <c r="Q659" t="s">
        <v>38</v>
      </c>
      <c r="R659" t="b">
        <v>0</v>
      </c>
    </row>
    <row r="660" spans="1:18" x14ac:dyDescent="0.3">
      <c r="A660">
        <v>0</v>
      </c>
      <c r="B660" t="s">
        <v>26</v>
      </c>
      <c r="C660">
        <v>2</v>
      </c>
      <c r="D660" t="s">
        <v>31</v>
      </c>
      <c r="E660" t="s">
        <v>13</v>
      </c>
      <c r="F660" t="s">
        <v>36</v>
      </c>
      <c r="G660">
        <v>23</v>
      </c>
      <c r="H660">
        <v>0</v>
      </c>
      <c r="I660">
        <v>0</v>
      </c>
      <c r="J660">
        <v>13</v>
      </c>
      <c r="K660" t="s">
        <v>25</v>
      </c>
      <c r="L660" t="s">
        <v>15</v>
      </c>
      <c r="M660" t="s">
        <v>37</v>
      </c>
      <c r="N660" t="b">
        <v>1</v>
      </c>
      <c r="O660" t="s">
        <v>16</v>
      </c>
      <c r="P660" t="s">
        <v>17</v>
      </c>
      <c r="Q660" t="s">
        <v>38</v>
      </c>
      <c r="R660" t="b">
        <v>1</v>
      </c>
    </row>
    <row r="661" spans="1:18" x14ac:dyDescent="0.3">
      <c r="A661">
        <v>0</v>
      </c>
      <c r="B661" t="s">
        <v>26</v>
      </c>
      <c r="C661">
        <v>1</v>
      </c>
      <c r="D661" t="s">
        <v>30</v>
      </c>
      <c r="E661" t="s">
        <v>13</v>
      </c>
      <c r="F661" t="s">
        <v>36</v>
      </c>
      <c r="G661">
        <v>58</v>
      </c>
      <c r="H661">
        <v>0</v>
      </c>
      <c r="I661">
        <v>2</v>
      </c>
      <c r="J661">
        <v>113.27500000000001</v>
      </c>
      <c r="K661" t="s">
        <v>19</v>
      </c>
      <c r="L661" t="s">
        <v>15</v>
      </c>
      <c r="M661" t="s">
        <v>37</v>
      </c>
      <c r="N661" t="b">
        <v>1</v>
      </c>
      <c r="O661" t="s">
        <v>21</v>
      </c>
      <c r="P661" t="s">
        <v>17</v>
      </c>
      <c r="Q661" t="s">
        <v>38</v>
      </c>
      <c r="R661" t="b">
        <v>0</v>
      </c>
    </row>
    <row r="662" spans="1:18" x14ac:dyDescent="0.3">
      <c r="A662">
        <v>1</v>
      </c>
      <c r="B662" t="s">
        <v>27</v>
      </c>
      <c r="C662">
        <v>1</v>
      </c>
      <c r="D662" t="s">
        <v>30</v>
      </c>
      <c r="E662" t="s">
        <v>13</v>
      </c>
      <c r="F662" t="s">
        <v>36</v>
      </c>
      <c r="G662">
        <v>50</v>
      </c>
      <c r="H662">
        <v>2</v>
      </c>
      <c r="I662">
        <v>0</v>
      </c>
      <c r="J662">
        <v>133.65</v>
      </c>
      <c r="K662" t="s">
        <v>19</v>
      </c>
      <c r="L662" t="s">
        <v>15</v>
      </c>
      <c r="M662" t="s">
        <v>37</v>
      </c>
      <c r="N662" t="b">
        <v>1</v>
      </c>
      <c r="O662" t="s">
        <v>16</v>
      </c>
      <c r="P662" t="s">
        <v>22</v>
      </c>
      <c r="Q662" t="s">
        <v>41</v>
      </c>
      <c r="R662" t="b">
        <v>0</v>
      </c>
    </row>
    <row r="663" spans="1:18" x14ac:dyDescent="0.3">
      <c r="A663">
        <v>0</v>
      </c>
      <c r="B663" t="s">
        <v>26</v>
      </c>
      <c r="C663">
        <v>3</v>
      </c>
      <c r="D663" t="s">
        <v>32</v>
      </c>
      <c r="E663" t="s">
        <v>13</v>
      </c>
      <c r="F663" t="s">
        <v>36</v>
      </c>
      <c r="G663">
        <v>40</v>
      </c>
      <c r="H663">
        <v>0</v>
      </c>
      <c r="I663">
        <v>0</v>
      </c>
      <c r="J663">
        <v>7.2249999999999996</v>
      </c>
      <c r="K663" t="s">
        <v>14</v>
      </c>
      <c r="L663" t="s">
        <v>15</v>
      </c>
      <c r="M663" t="s">
        <v>37</v>
      </c>
      <c r="N663" t="b">
        <v>1</v>
      </c>
      <c r="O663" t="s">
        <v>21</v>
      </c>
      <c r="P663" t="s">
        <v>17</v>
      </c>
      <c r="Q663" t="s">
        <v>38</v>
      </c>
      <c r="R663" t="b">
        <v>1</v>
      </c>
    </row>
    <row r="664" spans="1:18" x14ac:dyDescent="0.3">
      <c r="A664">
        <v>0</v>
      </c>
      <c r="B664" t="s">
        <v>26</v>
      </c>
      <c r="C664">
        <v>1</v>
      </c>
      <c r="D664" t="s">
        <v>30</v>
      </c>
      <c r="E664" t="s">
        <v>13</v>
      </c>
      <c r="F664" t="s">
        <v>36</v>
      </c>
      <c r="G664">
        <v>47</v>
      </c>
      <c r="H664">
        <v>0</v>
      </c>
      <c r="I664">
        <v>0</v>
      </c>
      <c r="J664">
        <v>25.587499999999999</v>
      </c>
      <c r="K664" t="s">
        <v>19</v>
      </c>
      <c r="L664" t="s">
        <v>15</v>
      </c>
      <c r="M664" t="s">
        <v>37</v>
      </c>
      <c r="N664" t="b">
        <v>1</v>
      </c>
      <c r="O664" t="s">
        <v>16</v>
      </c>
      <c r="P664" t="s">
        <v>17</v>
      </c>
      <c r="Q664" t="s">
        <v>38</v>
      </c>
      <c r="R664" t="b">
        <v>1</v>
      </c>
    </row>
    <row r="665" spans="1:18" x14ac:dyDescent="0.3">
      <c r="A665">
        <v>0</v>
      </c>
      <c r="B665" t="s">
        <v>26</v>
      </c>
      <c r="C665">
        <v>3</v>
      </c>
      <c r="D665" t="s">
        <v>32</v>
      </c>
      <c r="E665" t="s">
        <v>13</v>
      </c>
      <c r="F665" t="s">
        <v>36</v>
      </c>
      <c r="G665">
        <v>36</v>
      </c>
      <c r="H665">
        <v>0</v>
      </c>
      <c r="I665">
        <v>0</v>
      </c>
      <c r="J665">
        <v>7.4958</v>
      </c>
      <c r="K665" t="s">
        <v>14</v>
      </c>
      <c r="L665" t="s">
        <v>15</v>
      </c>
      <c r="M665" t="s">
        <v>37</v>
      </c>
      <c r="N665" t="b">
        <v>1</v>
      </c>
      <c r="O665" t="s">
        <v>16</v>
      </c>
      <c r="P665" t="s">
        <v>17</v>
      </c>
      <c r="Q665" t="s">
        <v>38</v>
      </c>
      <c r="R665" t="b">
        <v>1</v>
      </c>
    </row>
    <row r="666" spans="1:18" x14ac:dyDescent="0.3">
      <c r="A666">
        <v>1</v>
      </c>
      <c r="B666" t="s">
        <v>27</v>
      </c>
      <c r="C666">
        <v>3</v>
      </c>
      <c r="D666" t="s">
        <v>32</v>
      </c>
      <c r="E666" t="s">
        <v>13</v>
      </c>
      <c r="F666" t="s">
        <v>36</v>
      </c>
      <c r="G666">
        <v>20</v>
      </c>
      <c r="H666">
        <v>1</v>
      </c>
      <c r="I666">
        <v>0</v>
      </c>
      <c r="J666">
        <v>7.9249999999999998</v>
      </c>
      <c r="K666" t="s">
        <v>14</v>
      </c>
      <c r="L666" t="s">
        <v>15</v>
      </c>
      <c r="M666" t="s">
        <v>37</v>
      </c>
      <c r="N666" t="b">
        <v>1</v>
      </c>
      <c r="O666" t="s">
        <v>16</v>
      </c>
      <c r="P666" t="s">
        <v>22</v>
      </c>
      <c r="Q666" t="s">
        <v>41</v>
      </c>
      <c r="R666" t="b">
        <v>0</v>
      </c>
    </row>
    <row r="667" spans="1:18" x14ac:dyDescent="0.3">
      <c r="A667">
        <v>0</v>
      </c>
      <c r="B667" t="s">
        <v>26</v>
      </c>
      <c r="C667">
        <v>2</v>
      </c>
      <c r="D667" t="s">
        <v>31</v>
      </c>
      <c r="E667" t="s">
        <v>13</v>
      </c>
      <c r="F667" t="s">
        <v>36</v>
      </c>
      <c r="G667">
        <v>32</v>
      </c>
      <c r="H667">
        <v>2</v>
      </c>
      <c r="I667">
        <v>0</v>
      </c>
      <c r="J667">
        <v>73.5</v>
      </c>
      <c r="K667" t="s">
        <v>25</v>
      </c>
      <c r="L667" t="s">
        <v>15</v>
      </c>
      <c r="M667" t="s">
        <v>37</v>
      </c>
      <c r="N667" t="b">
        <v>1</v>
      </c>
      <c r="O667" t="s">
        <v>16</v>
      </c>
      <c r="P667" t="s">
        <v>17</v>
      </c>
      <c r="Q667" t="s">
        <v>38</v>
      </c>
      <c r="R667" t="b">
        <v>0</v>
      </c>
    </row>
    <row r="668" spans="1:18" x14ac:dyDescent="0.3">
      <c r="A668">
        <v>0</v>
      </c>
      <c r="B668" t="s">
        <v>26</v>
      </c>
      <c r="C668">
        <v>2</v>
      </c>
      <c r="D668" t="s">
        <v>31</v>
      </c>
      <c r="E668" t="s">
        <v>13</v>
      </c>
      <c r="F668" t="s">
        <v>36</v>
      </c>
      <c r="G668">
        <v>25</v>
      </c>
      <c r="H668">
        <v>0</v>
      </c>
      <c r="I668">
        <v>0</v>
      </c>
      <c r="J668">
        <v>13</v>
      </c>
      <c r="K668" t="s">
        <v>25</v>
      </c>
      <c r="L668" t="s">
        <v>15</v>
      </c>
      <c r="M668" t="s">
        <v>37</v>
      </c>
      <c r="N668" t="b">
        <v>1</v>
      </c>
      <c r="O668" t="s">
        <v>16</v>
      </c>
      <c r="P668" t="s">
        <v>17</v>
      </c>
      <c r="Q668" t="s">
        <v>38</v>
      </c>
      <c r="R668" t="b">
        <v>1</v>
      </c>
    </row>
    <row r="669" spans="1:18" x14ac:dyDescent="0.3">
      <c r="A669">
        <v>0</v>
      </c>
      <c r="B669" t="s">
        <v>26</v>
      </c>
      <c r="C669">
        <v>3</v>
      </c>
      <c r="D669" t="s">
        <v>32</v>
      </c>
      <c r="E669" t="s">
        <v>13</v>
      </c>
      <c r="F669" t="s">
        <v>36</v>
      </c>
      <c r="G669">
        <v>30</v>
      </c>
      <c r="H669">
        <v>0</v>
      </c>
      <c r="I669">
        <v>0</v>
      </c>
      <c r="J669">
        <v>7.7750000000000004</v>
      </c>
      <c r="K669" t="s">
        <v>14</v>
      </c>
      <c r="L669" t="s">
        <v>15</v>
      </c>
      <c r="M669" t="s">
        <v>37</v>
      </c>
      <c r="N669" t="b">
        <v>1</v>
      </c>
      <c r="O669" t="s">
        <v>16</v>
      </c>
      <c r="P669" t="s">
        <v>17</v>
      </c>
      <c r="Q669" t="s">
        <v>38</v>
      </c>
      <c r="R669" t="b">
        <v>1</v>
      </c>
    </row>
    <row r="670" spans="1:18" x14ac:dyDescent="0.3">
      <c r="A670">
        <v>0</v>
      </c>
      <c r="B670" t="s">
        <v>26</v>
      </c>
      <c r="C670">
        <v>3</v>
      </c>
      <c r="D670" t="s">
        <v>32</v>
      </c>
      <c r="E670" t="s">
        <v>13</v>
      </c>
      <c r="F670" t="s">
        <v>36</v>
      </c>
      <c r="G670">
        <v>43</v>
      </c>
      <c r="H670">
        <v>0</v>
      </c>
      <c r="I670">
        <v>0</v>
      </c>
      <c r="J670">
        <v>8.0500000000000007</v>
      </c>
      <c r="K670" t="s">
        <v>14</v>
      </c>
      <c r="L670" t="s">
        <v>15</v>
      </c>
      <c r="M670" t="s">
        <v>37</v>
      </c>
      <c r="N670" t="b">
        <v>1</v>
      </c>
      <c r="O670" t="s">
        <v>16</v>
      </c>
      <c r="P670" t="s">
        <v>17</v>
      </c>
      <c r="Q670" t="s">
        <v>38</v>
      </c>
      <c r="R670" t="b">
        <v>1</v>
      </c>
    </row>
    <row r="671" spans="1:18" x14ac:dyDescent="0.3">
      <c r="A671">
        <v>1</v>
      </c>
      <c r="B671" t="s">
        <v>27</v>
      </c>
      <c r="C671">
        <v>1</v>
      </c>
      <c r="D671" t="s">
        <v>30</v>
      </c>
      <c r="E671" t="s">
        <v>18</v>
      </c>
      <c r="F671" t="s">
        <v>39</v>
      </c>
      <c r="G671">
        <v>30</v>
      </c>
      <c r="H671">
        <v>1</v>
      </c>
      <c r="I671">
        <v>0</v>
      </c>
      <c r="J671">
        <v>52</v>
      </c>
      <c r="K671" t="s">
        <v>19</v>
      </c>
      <c r="L671" t="s">
        <v>20</v>
      </c>
      <c r="M671" t="s">
        <v>40</v>
      </c>
      <c r="N671" t="b">
        <v>0</v>
      </c>
      <c r="O671" t="s">
        <v>16</v>
      </c>
      <c r="P671" t="s">
        <v>22</v>
      </c>
      <c r="Q671" t="s">
        <v>41</v>
      </c>
      <c r="R671" t="b">
        <v>0</v>
      </c>
    </row>
    <row r="672" spans="1:18" x14ac:dyDescent="0.3">
      <c r="A672">
        <v>1</v>
      </c>
      <c r="B672" t="s">
        <v>27</v>
      </c>
      <c r="C672">
        <v>2</v>
      </c>
      <c r="D672" t="s">
        <v>31</v>
      </c>
      <c r="E672" t="s">
        <v>18</v>
      </c>
      <c r="F672" t="s">
        <v>39</v>
      </c>
      <c r="G672">
        <v>40</v>
      </c>
      <c r="H672">
        <v>1</v>
      </c>
      <c r="I672">
        <v>1</v>
      </c>
      <c r="J672">
        <v>39</v>
      </c>
      <c r="K672" t="s">
        <v>25</v>
      </c>
      <c r="L672" t="s">
        <v>20</v>
      </c>
      <c r="M672" t="s">
        <v>40</v>
      </c>
      <c r="N672" t="b">
        <v>0</v>
      </c>
      <c r="O672" t="s">
        <v>16</v>
      </c>
      <c r="P672" t="s">
        <v>22</v>
      </c>
      <c r="Q672" t="s">
        <v>41</v>
      </c>
      <c r="R672" t="b">
        <v>0</v>
      </c>
    </row>
    <row r="673" spans="1:18" x14ac:dyDescent="0.3">
      <c r="A673">
        <v>0</v>
      </c>
      <c r="B673" t="s">
        <v>26</v>
      </c>
      <c r="C673">
        <v>1</v>
      </c>
      <c r="D673" t="s">
        <v>30</v>
      </c>
      <c r="E673" t="s">
        <v>13</v>
      </c>
      <c r="F673" t="s">
        <v>36</v>
      </c>
      <c r="G673">
        <v>31</v>
      </c>
      <c r="H673">
        <v>1</v>
      </c>
      <c r="I673">
        <v>0</v>
      </c>
      <c r="J673">
        <v>52</v>
      </c>
      <c r="K673" t="s">
        <v>19</v>
      </c>
      <c r="L673" t="s">
        <v>15</v>
      </c>
      <c r="M673" t="s">
        <v>37</v>
      </c>
      <c r="N673" t="b">
        <v>1</v>
      </c>
      <c r="O673" t="s">
        <v>16</v>
      </c>
      <c r="P673" t="s">
        <v>17</v>
      </c>
      <c r="Q673" t="s">
        <v>38</v>
      </c>
      <c r="R673" t="b">
        <v>0</v>
      </c>
    </row>
    <row r="674" spans="1:18" x14ac:dyDescent="0.3">
      <c r="A674">
        <v>0</v>
      </c>
      <c r="B674" t="s">
        <v>26</v>
      </c>
      <c r="C674">
        <v>2</v>
      </c>
      <c r="D674" t="s">
        <v>31</v>
      </c>
      <c r="E674" t="s">
        <v>13</v>
      </c>
      <c r="F674" t="s">
        <v>36</v>
      </c>
      <c r="G674">
        <v>70</v>
      </c>
      <c r="H674">
        <v>0</v>
      </c>
      <c r="I674">
        <v>0</v>
      </c>
      <c r="J674">
        <v>10.5</v>
      </c>
      <c r="K674" t="s">
        <v>25</v>
      </c>
      <c r="L674" t="s">
        <v>15</v>
      </c>
      <c r="M674" t="s">
        <v>37</v>
      </c>
      <c r="N674" t="b">
        <v>1</v>
      </c>
      <c r="O674" t="s">
        <v>16</v>
      </c>
      <c r="P674" t="s">
        <v>17</v>
      </c>
      <c r="Q674" t="s">
        <v>38</v>
      </c>
      <c r="R674" t="b">
        <v>1</v>
      </c>
    </row>
    <row r="675" spans="1:18" x14ac:dyDescent="0.3">
      <c r="A675">
        <v>1</v>
      </c>
      <c r="B675" t="s">
        <v>27</v>
      </c>
      <c r="C675">
        <v>2</v>
      </c>
      <c r="D675" t="s">
        <v>31</v>
      </c>
      <c r="E675" t="s">
        <v>13</v>
      </c>
      <c r="F675" t="s">
        <v>36</v>
      </c>
      <c r="G675">
        <v>31</v>
      </c>
      <c r="H675">
        <v>0</v>
      </c>
      <c r="I675">
        <v>0</v>
      </c>
      <c r="J675">
        <v>13</v>
      </c>
      <c r="K675" t="s">
        <v>25</v>
      </c>
      <c r="L675" t="s">
        <v>15</v>
      </c>
      <c r="M675" t="s">
        <v>37</v>
      </c>
      <c r="N675" t="b">
        <v>1</v>
      </c>
      <c r="O675" t="s">
        <v>16</v>
      </c>
      <c r="P675" t="s">
        <v>22</v>
      </c>
      <c r="Q675" t="s">
        <v>41</v>
      </c>
      <c r="R675" t="b">
        <v>1</v>
      </c>
    </row>
    <row r="676" spans="1:18" x14ac:dyDescent="0.3">
      <c r="A676">
        <v>0</v>
      </c>
      <c r="B676" t="s">
        <v>26</v>
      </c>
      <c r="C676">
        <v>2</v>
      </c>
      <c r="D676" t="s">
        <v>31</v>
      </c>
      <c r="E676" t="s">
        <v>13</v>
      </c>
      <c r="F676" t="s">
        <v>36</v>
      </c>
      <c r="G676">
        <v>30</v>
      </c>
      <c r="H676">
        <v>0</v>
      </c>
      <c r="I676">
        <v>0</v>
      </c>
      <c r="J676">
        <v>0</v>
      </c>
      <c r="K676" t="s">
        <v>25</v>
      </c>
      <c r="L676" t="s">
        <v>15</v>
      </c>
      <c r="M676" t="s">
        <v>37</v>
      </c>
      <c r="N676" t="b">
        <v>1</v>
      </c>
      <c r="O676" t="s">
        <v>16</v>
      </c>
      <c r="P676" t="s">
        <v>17</v>
      </c>
      <c r="Q676" t="s">
        <v>38</v>
      </c>
      <c r="R676" t="b">
        <v>1</v>
      </c>
    </row>
    <row r="677" spans="1:18" x14ac:dyDescent="0.3">
      <c r="A677">
        <v>0</v>
      </c>
      <c r="B677" t="s">
        <v>26</v>
      </c>
      <c r="C677">
        <v>3</v>
      </c>
      <c r="D677" t="s">
        <v>32</v>
      </c>
      <c r="E677" t="s">
        <v>13</v>
      </c>
      <c r="F677" t="s">
        <v>36</v>
      </c>
      <c r="G677">
        <v>18</v>
      </c>
      <c r="H677">
        <v>0</v>
      </c>
      <c r="I677">
        <v>0</v>
      </c>
      <c r="J677">
        <v>7.7750000000000004</v>
      </c>
      <c r="K677" t="s">
        <v>14</v>
      </c>
      <c r="L677" t="s">
        <v>15</v>
      </c>
      <c r="M677" t="s">
        <v>37</v>
      </c>
      <c r="N677" t="b">
        <v>1</v>
      </c>
      <c r="O677" t="s">
        <v>16</v>
      </c>
      <c r="P677" t="s">
        <v>17</v>
      </c>
      <c r="Q677" t="s">
        <v>38</v>
      </c>
      <c r="R677" t="b">
        <v>1</v>
      </c>
    </row>
    <row r="678" spans="1:18" x14ac:dyDescent="0.3">
      <c r="A678">
        <v>0</v>
      </c>
      <c r="B678" t="s">
        <v>26</v>
      </c>
      <c r="C678">
        <v>3</v>
      </c>
      <c r="D678" t="s">
        <v>32</v>
      </c>
      <c r="E678" t="s">
        <v>13</v>
      </c>
      <c r="F678" t="s">
        <v>36</v>
      </c>
      <c r="G678">
        <v>24.5</v>
      </c>
      <c r="H678">
        <v>0</v>
      </c>
      <c r="I678">
        <v>0</v>
      </c>
      <c r="J678">
        <v>8.0500000000000007</v>
      </c>
      <c r="K678" t="s">
        <v>14</v>
      </c>
      <c r="L678" t="s">
        <v>15</v>
      </c>
      <c r="M678" t="s">
        <v>37</v>
      </c>
      <c r="N678" t="b">
        <v>1</v>
      </c>
      <c r="O678" t="s">
        <v>16</v>
      </c>
      <c r="P678" t="s">
        <v>17</v>
      </c>
      <c r="Q678" t="s">
        <v>38</v>
      </c>
      <c r="R678" t="b">
        <v>1</v>
      </c>
    </row>
    <row r="679" spans="1:18" x14ac:dyDescent="0.3">
      <c r="A679">
        <v>1</v>
      </c>
      <c r="B679" t="s">
        <v>27</v>
      </c>
      <c r="C679">
        <v>3</v>
      </c>
      <c r="D679" t="s">
        <v>32</v>
      </c>
      <c r="E679" t="s">
        <v>18</v>
      </c>
      <c r="F679" t="s">
        <v>39</v>
      </c>
      <c r="G679">
        <v>18</v>
      </c>
      <c r="H679">
        <v>0</v>
      </c>
      <c r="I679">
        <v>0</v>
      </c>
      <c r="J679">
        <v>9.8416999999999994</v>
      </c>
      <c r="K679" t="s">
        <v>14</v>
      </c>
      <c r="L679" t="s">
        <v>20</v>
      </c>
      <c r="M679" t="s">
        <v>40</v>
      </c>
      <c r="N679" t="b">
        <v>0</v>
      </c>
      <c r="O679" t="s">
        <v>16</v>
      </c>
      <c r="P679" t="s">
        <v>22</v>
      </c>
      <c r="Q679" t="s">
        <v>41</v>
      </c>
      <c r="R679" t="b">
        <v>1</v>
      </c>
    </row>
    <row r="680" spans="1:18" x14ac:dyDescent="0.3">
      <c r="A680">
        <v>0</v>
      </c>
      <c r="B680" t="s">
        <v>26</v>
      </c>
      <c r="C680">
        <v>3</v>
      </c>
      <c r="D680" t="s">
        <v>32</v>
      </c>
      <c r="E680" t="s">
        <v>18</v>
      </c>
      <c r="F680" t="s">
        <v>39</v>
      </c>
      <c r="G680">
        <v>43</v>
      </c>
      <c r="H680">
        <v>1</v>
      </c>
      <c r="I680">
        <v>6</v>
      </c>
      <c r="J680">
        <v>46.9</v>
      </c>
      <c r="K680" t="s">
        <v>14</v>
      </c>
      <c r="L680" t="s">
        <v>20</v>
      </c>
      <c r="M680" t="s">
        <v>40</v>
      </c>
      <c r="N680" t="b">
        <v>0</v>
      </c>
      <c r="O680" t="s">
        <v>16</v>
      </c>
      <c r="P680" t="s">
        <v>17</v>
      </c>
      <c r="Q680" t="s">
        <v>38</v>
      </c>
      <c r="R680" t="b">
        <v>0</v>
      </c>
    </row>
    <row r="681" spans="1:18" x14ac:dyDescent="0.3">
      <c r="A681">
        <v>1</v>
      </c>
      <c r="B681" t="s">
        <v>27</v>
      </c>
      <c r="C681">
        <v>1</v>
      </c>
      <c r="D681" t="s">
        <v>30</v>
      </c>
      <c r="E681" t="s">
        <v>13</v>
      </c>
      <c r="F681" t="s">
        <v>36</v>
      </c>
      <c r="G681">
        <v>36</v>
      </c>
      <c r="H681">
        <v>0</v>
      </c>
      <c r="I681">
        <v>1</v>
      </c>
      <c r="J681">
        <v>512.32920000000001</v>
      </c>
      <c r="K681" t="s">
        <v>19</v>
      </c>
      <c r="L681" t="s">
        <v>15</v>
      </c>
      <c r="M681" t="s">
        <v>37</v>
      </c>
      <c r="N681" t="b">
        <v>1</v>
      </c>
      <c r="O681" t="s">
        <v>21</v>
      </c>
      <c r="P681" t="s">
        <v>22</v>
      </c>
      <c r="Q681" t="s">
        <v>41</v>
      </c>
      <c r="R681" t="b">
        <v>0</v>
      </c>
    </row>
    <row r="682" spans="1:18" x14ac:dyDescent="0.3">
      <c r="A682">
        <v>0</v>
      </c>
      <c r="B682" t="s">
        <v>26</v>
      </c>
      <c r="C682">
        <v>3</v>
      </c>
      <c r="D682" t="s">
        <v>32</v>
      </c>
      <c r="E682" t="s">
        <v>18</v>
      </c>
      <c r="F682" t="s">
        <v>39</v>
      </c>
      <c r="G682">
        <v>30</v>
      </c>
      <c r="H682">
        <v>0</v>
      </c>
      <c r="I682">
        <v>0</v>
      </c>
      <c r="J682">
        <v>8.1374999999999993</v>
      </c>
      <c r="K682" t="s">
        <v>14</v>
      </c>
      <c r="L682" t="s">
        <v>20</v>
      </c>
      <c r="M682" t="s">
        <v>40</v>
      </c>
      <c r="N682" t="b">
        <v>0</v>
      </c>
      <c r="O682" t="s">
        <v>23</v>
      </c>
      <c r="P682" t="s">
        <v>17</v>
      </c>
      <c r="Q682" t="s">
        <v>38</v>
      </c>
      <c r="R682" t="b">
        <v>1</v>
      </c>
    </row>
    <row r="683" spans="1:18" x14ac:dyDescent="0.3">
      <c r="A683">
        <v>1</v>
      </c>
      <c r="B683" t="s">
        <v>27</v>
      </c>
      <c r="C683">
        <v>1</v>
      </c>
      <c r="D683" t="s">
        <v>30</v>
      </c>
      <c r="E683" t="s">
        <v>13</v>
      </c>
      <c r="F683" t="s">
        <v>36</v>
      </c>
      <c r="G683">
        <v>27</v>
      </c>
      <c r="H683">
        <v>0</v>
      </c>
      <c r="I683">
        <v>0</v>
      </c>
      <c r="J683">
        <v>76.729200000000006</v>
      </c>
      <c r="K683" t="s">
        <v>19</v>
      </c>
      <c r="L683" t="s">
        <v>15</v>
      </c>
      <c r="M683" t="s">
        <v>37</v>
      </c>
      <c r="N683" t="b">
        <v>1</v>
      </c>
      <c r="O683" t="s">
        <v>21</v>
      </c>
      <c r="P683" t="s">
        <v>22</v>
      </c>
      <c r="Q683" t="s">
        <v>41</v>
      </c>
      <c r="R683" t="b">
        <v>1</v>
      </c>
    </row>
    <row r="684" spans="1:18" x14ac:dyDescent="0.3">
      <c r="A684">
        <v>0</v>
      </c>
      <c r="B684" t="s">
        <v>26</v>
      </c>
      <c r="C684">
        <v>3</v>
      </c>
      <c r="D684" t="s">
        <v>32</v>
      </c>
      <c r="E684" t="s">
        <v>13</v>
      </c>
      <c r="F684" t="s">
        <v>36</v>
      </c>
      <c r="G684">
        <v>20</v>
      </c>
      <c r="H684">
        <v>0</v>
      </c>
      <c r="I684">
        <v>0</v>
      </c>
      <c r="J684">
        <v>9.2249999999999996</v>
      </c>
      <c r="K684" t="s">
        <v>14</v>
      </c>
      <c r="L684" t="s">
        <v>15</v>
      </c>
      <c r="M684" t="s">
        <v>37</v>
      </c>
      <c r="N684" t="b">
        <v>1</v>
      </c>
      <c r="O684" t="s">
        <v>16</v>
      </c>
      <c r="P684" t="s">
        <v>17</v>
      </c>
      <c r="Q684" t="s">
        <v>38</v>
      </c>
      <c r="R684" t="b">
        <v>1</v>
      </c>
    </row>
    <row r="685" spans="1:18" x14ac:dyDescent="0.3">
      <c r="A685">
        <v>0</v>
      </c>
      <c r="B685" t="s">
        <v>26</v>
      </c>
      <c r="C685">
        <v>3</v>
      </c>
      <c r="D685" t="s">
        <v>32</v>
      </c>
      <c r="E685" t="s">
        <v>13</v>
      </c>
      <c r="F685" t="s">
        <v>36</v>
      </c>
      <c r="G685">
        <v>14</v>
      </c>
      <c r="H685">
        <v>5</v>
      </c>
      <c r="I685">
        <v>2</v>
      </c>
      <c r="J685">
        <v>46.9</v>
      </c>
      <c r="K685" t="s">
        <v>14</v>
      </c>
      <c r="L685" t="s">
        <v>24</v>
      </c>
      <c r="M685" t="s">
        <v>42</v>
      </c>
      <c r="N685" t="b">
        <v>0</v>
      </c>
      <c r="O685" t="s">
        <v>16</v>
      </c>
      <c r="P685" t="s">
        <v>17</v>
      </c>
      <c r="Q685" t="s">
        <v>38</v>
      </c>
      <c r="R685" t="b">
        <v>0</v>
      </c>
    </row>
    <row r="686" spans="1:18" x14ac:dyDescent="0.3">
      <c r="A686">
        <v>0</v>
      </c>
      <c r="B686" t="s">
        <v>26</v>
      </c>
      <c r="C686">
        <v>2</v>
      </c>
      <c r="D686" t="s">
        <v>31</v>
      </c>
      <c r="E686" t="s">
        <v>13</v>
      </c>
      <c r="F686" t="s">
        <v>36</v>
      </c>
      <c r="G686">
        <v>60</v>
      </c>
      <c r="H686">
        <v>1</v>
      </c>
      <c r="I686">
        <v>1</v>
      </c>
      <c r="J686">
        <v>39</v>
      </c>
      <c r="K686" t="s">
        <v>25</v>
      </c>
      <c r="L686" t="s">
        <v>15</v>
      </c>
      <c r="M686" t="s">
        <v>37</v>
      </c>
      <c r="N686" t="b">
        <v>1</v>
      </c>
      <c r="O686" t="s">
        <v>16</v>
      </c>
      <c r="P686" t="s">
        <v>17</v>
      </c>
      <c r="Q686" t="s">
        <v>38</v>
      </c>
      <c r="R686" t="b">
        <v>0</v>
      </c>
    </row>
    <row r="687" spans="1:18" x14ac:dyDescent="0.3">
      <c r="A687">
        <v>0</v>
      </c>
      <c r="B687" t="s">
        <v>26</v>
      </c>
      <c r="C687">
        <v>2</v>
      </c>
      <c r="D687" t="s">
        <v>31</v>
      </c>
      <c r="E687" t="s">
        <v>13</v>
      </c>
      <c r="F687" t="s">
        <v>36</v>
      </c>
      <c r="G687">
        <v>25</v>
      </c>
      <c r="H687">
        <v>1</v>
      </c>
      <c r="I687">
        <v>2</v>
      </c>
      <c r="J687">
        <v>41.5792</v>
      </c>
      <c r="K687" t="s">
        <v>25</v>
      </c>
      <c r="L687" t="s">
        <v>15</v>
      </c>
      <c r="M687" t="s">
        <v>37</v>
      </c>
      <c r="N687" t="b">
        <v>1</v>
      </c>
      <c r="O687" t="s">
        <v>21</v>
      </c>
      <c r="P687" t="s">
        <v>17</v>
      </c>
      <c r="Q687" t="s">
        <v>38</v>
      </c>
      <c r="R687" t="b">
        <v>0</v>
      </c>
    </row>
    <row r="688" spans="1:18" x14ac:dyDescent="0.3">
      <c r="A688">
        <v>0</v>
      </c>
      <c r="B688" t="s">
        <v>26</v>
      </c>
      <c r="C688">
        <v>3</v>
      </c>
      <c r="D688" t="s">
        <v>32</v>
      </c>
      <c r="E688" t="s">
        <v>13</v>
      </c>
      <c r="F688" t="s">
        <v>36</v>
      </c>
      <c r="G688">
        <v>14</v>
      </c>
      <c r="H688">
        <v>4</v>
      </c>
      <c r="I688">
        <v>1</v>
      </c>
      <c r="J688">
        <v>39.6875</v>
      </c>
      <c r="K688" t="s">
        <v>14</v>
      </c>
      <c r="L688" t="s">
        <v>24</v>
      </c>
      <c r="M688" t="s">
        <v>42</v>
      </c>
      <c r="N688" t="b">
        <v>0</v>
      </c>
      <c r="O688" t="s">
        <v>16</v>
      </c>
      <c r="P688" t="s">
        <v>17</v>
      </c>
      <c r="Q688" t="s">
        <v>38</v>
      </c>
      <c r="R688" t="b">
        <v>0</v>
      </c>
    </row>
    <row r="689" spans="1:18" x14ac:dyDescent="0.3">
      <c r="A689">
        <v>0</v>
      </c>
      <c r="B689" t="s">
        <v>26</v>
      </c>
      <c r="C689">
        <v>3</v>
      </c>
      <c r="D689" t="s">
        <v>32</v>
      </c>
      <c r="E689" t="s">
        <v>13</v>
      </c>
      <c r="F689" t="s">
        <v>36</v>
      </c>
      <c r="G689">
        <v>19</v>
      </c>
      <c r="H689">
        <v>0</v>
      </c>
      <c r="I689">
        <v>0</v>
      </c>
      <c r="J689">
        <v>10.1708</v>
      </c>
      <c r="K689" t="s">
        <v>14</v>
      </c>
      <c r="L689" t="s">
        <v>15</v>
      </c>
      <c r="M689" t="s">
        <v>37</v>
      </c>
      <c r="N689" t="b">
        <v>1</v>
      </c>
      <c r="O689" t="s">
        <v>16</v>
      </c>
      <c r="P689" t="s">
        <v>17</v>
      </c>
      <c r="Q689" t="s">
        <v>38</v>
      </c>
      <c r="R689" t="b">
        <v>1</v>
      </c>
    </row>
    <row r="690" spans="1:18" x14ac:dyDescent="0.3">
      <c r="A690">
        <v>0</v>
      </c>
      <c r="B690" t="s">
        <v>26</v>
      </c>
      <c r="C690">
        <v>3</v>
      </c>
      <c r="D690" t="s">
        <v>32</v>
      </c>
      <c r="E690" t="s">
        <v>13</v>
      </c>
      <c r="F690" t="s">
        <v>36</v>
      </c>
      <c r="G690">
        <v>18</v>
      </c>
      <c r="H690">
        <v>0</v>
      </c>
      <c r="I690">
        <v>0</v>
      </c>
      <c r="J690">
        <v>7.7957999999999998</v>
      </c>
      <c r="K690" t="s">
        <v>14</v>
      </c>
      <c r="L690" t="s">
        <v>15</v>
      </c>
      <c r="M690" t="s">
        <v>37</v>
      </c>
      <c r="N690" t="b">
        <v>1</v>
      </c>
      <c r="O690" t="s">
        <v>16</v>
      </c>
      <c r="P690" t="s">
        <v>17</v>
      </c>
      <c r="Q690" t="s">
        <v>38</v>
      </c>
      <c r="R690" t="b">
        <v>1</v>
      </c>
    </row>
    <row r="691" spans="1:18" x14ac:dyDescent="0.3">
      <c r="A691">
        <v>1</v>
      </c>
      <c r="B691" t="s">
        <v>27</v>
      </c>
      <c r="C691">
        <v>1</v>
      </c>
      <c r="D691" t="s">
        <v>30</v>
      </c>
      <c r="E691" t="s">
        <v>18</v>
      </c>
      <c r="F691" t="s">
        <v>39</v>
      </c>
      <c r="G691">
        <v>15</v>
      </c>
      <c r="H691">
        <v>0</v>
      </c>
      <c r="I691">
        <v>1</v>
      </c>
      <c r="J691">
        <v>211.33750000000001</v>
      </c>
      <c r="K691" t="s">
        <v>19</v>
      </c>
      <c r="L691" t="s">
        <v>24</v>
      </c>
      <c r="M691" t="s">
        <v>42</v>
      </c>
      <c r="N691" t="b">
        <v>0</v>
      </c>
      <c r="O691" t="s">
        <v>16</v>
      </c>
      <c r="P691" t="s">
        <v>22</v>
      </c>
      <c r="Q691" t="s">
        <v>41</v>
      </c>
      <c r="R691" t="b">
        <v>0</v>
      </c>
    </row>
    <row r="692" spans="1:18" x14ac:dyDescent="0.3">
      <c r="A692">
        <v>1</v>
      </c>
      <c r="B692" t="s">
        <v>27</v>
      </c>
      <c r="C692">
        <v>1</v>
      </c>
      <c r="D692" t="s">
        <v>30</v>
      </c>
      <c r="E692" t="s">
        <v>13</v>
      </c>
      <c r="F692" t="s">
        <v>36</v>
      </c>
      <c r="G692">
        <v>31</v>
      </c>
      <c r="H692">
        <v>1</v>
      </c>
      <c r="I692">
        <v>0</v>
      </c>
      <c r="J692">
        <v>57</v>
      </c>
      <c r="K692" t="s">
        <v>19</v>
      </c>
      <c r="L692" t="s">
        <v>15</v>
      </c>
      <c r="M692" t="s">
        <v>37</v>
      </c>
      <c r="N692" t="b">
        <v>1</v>
      </c>
      <c r="O692" t="s">
        <v>16</v>
      </c>
      <c r="P692" t="s">
        <v>22</v>
      </c>
      <c r="Q692" t="s">
        <v>41</v>
      </c>
      <c r="R692" t="b">
        <v>0</v>
      </c>
    </row>
    <row r="693" spans="1:18" x14ac:dyDescent="0.3">
      <c r="A693">
        <v>1</v>
      </c>
      <c r="B693" t="s">
        <v>27</v>
      </c>
      <c r="C693">
        <v>3</v>
      </c>
      <c r="D693" t="s">
        <v>32</v>
      </c>
      <c r="E693" t="s">
        <v>18</v>
      </c>
      <c r="F693" t="s">
        <v>39</v>
      </c>
      <c r="G693">
        <v>4</v>
      </c>
      <c r="H693">
        <v>0</v>
      </c>
      <c r="I693">
        <v>1</v>
      </c>
      <c r="J693">
        <v>13.416700000000001</v>
      </c>
      <c r="K693" t="s">
        <v>14</v>
      </c>
      <c r="L693" t="s">
        <v>24</v>
      </c>
      <c r="M693" t="s">
        <v>42</v>
      </c>
      <c r="N693" t="b">
        <v>0</v>
      </c>
      <c r="O693" t="s">
        <v>21</v>
      </c>
      <c r="P693" t="s">
        <v>22</v>
      </c>
      <c r="Q693" t="s">
        <v>41</v>
      </c>
      <c r="R693" t="b">
        <v>0</v>
      </c>
    </row>
    <row r="694" spans="1:18" x14ac:dyDescent="0.3">
      <c r="A694">
        <v>1</v>
      </c>
      <c r="B694" t="s">
        <v>27</v>
      </c>
      <c r="C694">
        <v>3</v>
      </c>
      <c r="D694" t="s">
        <v>32</v>
      </c>
      <c r="E694" t="s">
        <v>13</v>
      </c>
      <c r="F694" t="s">
        <v>36</v>
      </c>
      <c r="G694">
        <v>30</v>
      </c>
      <c r="H694">
        <v>0</v>
      </c>
      <c r="I694">
        <v>0</v>
      </c>
      <c r="J694">
        <v>56.495800000000003</v>
      </c>
      <c r="K694" t="s">
        <v>14</v>
      </c>
      <c r="L694" t="s">
        <v>15</v>
      </c>
      <c r="M694" t="s">
        <v>37</v>
      </c>
      <c r="N694" t="b">
        <v>1</v>
      </c>
      <c r="O694" t="s">
        <v>16</v>
      </c>
      <c r="P694" t="s">
        <v>22</v>
      </c>
      <c r="Q694" t="s">
        <v>41</v>
      </c>
      <c r="R694" t="b">
        <v>1</v>
      </c>
    </row>
    <row r="695" spans="1:18" x14ac:dyDescent="0.3">
      <c r="A695">
        <v>0</v>
      </c>
      <c r="B695" t="s">
        <v>26</v>
      </c>
      <c r="C695">
        <v>3</v>
      </c>
      <c r="D695" t="s">
        <v>32</v>
      </c>
      <c r="E695" t="s">
        <v>13</v>
      </c>
      <c r="F695" t="s">
        <v>36</v>
      </c>
      <c r="G695">
        <v>25</v>
      </c>
      <c r="H695">
        <v>0</v>
      </c>
      <c r="I695">
        <v>0</v>
      </c>
      <c r="J695">
        <v>7.2249999999999996</v>
      </c>
      <c r="K695" t="s">
        <v>14</v>
      </c>
      <c r="L695" t="s">
        <v>15</v>
      </c>
      <c r="M695" t="s">
        <v>37</v>
      </c>
      <c r="N695" t="b">
        <v>1</v>
      </c>
      <c r="O695" t="s">
        <v>21</v>
      </c>
      <c r="P695" t="s">
        <v>17</v>
      </c>
      <c r="Q695" t="s">
        <v>38</v>
      </c>
      <c r="R695" t="b">
        <v>1</v>
      </c>
    </row>
    <row r="696" spans="1:18" x14ac:dyDescent="0.3">
      <c r="A696">
        <v>0</v>
      </c>
      <c r="B696" t="s">
        <v>26</v>
      </c>
      <c r="C696">
        <v>1</v>
      </c>
      <c r="D696" t="s">
        <v>30</v>
      </c>
      <c r="E696" t="s">
        <v>13</v>
      </c>
      <c r="F696" t="s">
        <v>36</v>
      </c>
      <c r="G696">
        <v>60</v>
      </c>
      <c r="H696">
        <v>0</v>
      </c>
      <c r="I696">
        <v>0</v>
      </c>
      <c r="J696">
        <v>26.55</v>
      </c>
      <c r="K696" t="s">
        <v>19</v>
      </c>
      <c r="L696" t="s">
        <v>15</v>
      </c>
      <c r="M696" t="s">
        <v>37</v>
      </c>
      <c r="N696" t="b">
        <v>1</v>
      </c>
      <c r="O696" t="s">
        <v>16</v>
      </c>
      <c r="P696" t="s">
        <v>17</v>
      </c>
      <c r="Q696" t="s">
        <v>38</v>
      </c>
      <c r="R696" t="b">
        <v>1</v>
      </c>
    </row>
    <row r="697" spans="1:18" x14ac:dyDescent="0.3">
      <c r="A697">
        <v>0</v>
      </c>
      <c r="B697" t="s">
        <v>26</v>
      </c>
      <c r="C697">
        <v>2</v>
      </c>
      <c r="D697" t="s">
        <v>31</v>
      </c>
      <c r="E697" t="s">
        <v>13</v>
      </c>
      <c r="F697" t="s">
        <v>36</v>
      </c>
      <c r="G697">
        <v>52</v>
      </c>
      <c r="H697">
        <v>0</v>
      </c>
      <c r="I697">
        <v>0</v>
      </c>
      <c r="J697">
        <v>13.5</v>
      </c>
      <c r="K697" t="s">
        <v>25</v>
      </c>
      <c r="L697" t="s">
        <v>15</v>
      </c>
      <c r="M697" t="s">
        <v>37</v>
      </c>
      <c r="N697" t="b">
        <v>1</v>
      </c>
      <c r="O697" t="s">
        <v>16</v>
      </c>
      <c r="P697" t="s">
        <v>17</v>
      </c>
      <c r="Q697" t="s">
        <v>38</v>
      </c>
      <c r="R697" t="b">
        <v>1</v>
      </c>
    </row>
    <row r="698" spans="1:18" x14ac:dyDescent="0.3">
      <c r="A698">
        <v>0</v>
      </c>
      <c r="B698" t="s">
        <v>26</v>
      </c>
      <c r="C698">
        <v>3</v>
      </c>
      <c r="D698" t="s">
        <v>32</v>
      </c>
      <c r="E698" t="s">
        <v>13</v>
      </c>
      <c r="F698" t="s">
        <v>36</v>
      </c>
      <c r="G698">
        <v>44</v>
      </c>
      <c r="H698">
        <v>0</v>
      </c>
      <c r="I698">
        <v>0</v>
      </c>
      <c r="J698">
        <v>8.0500000000000007</v>
      </c>
      <c r="K698" t="s">
        <v>14</v>
      </c>
      <c r="L698" t="s">
        <v>15</v>
      </c>
      <c r="M698" t="s">
        <v>37</v>
      </c>
      <c r="N698" t="b">
        <v>1</v>
      </c>
      <c r="O698" t="s">
        <v>16</v>
      </c>
      <c r="P698" t="s">
        <v>17</v>
      </c>
      <c r="Q698" t="s">
        <v>38</v>
      </c>
      <c r="R698" t="b">
        <v>1</v>
      </c>
    </row>
    <row r="699" spans="1:18" x14ac:dyDescent="0.3">
      <c r="A699">
        <v>1</v>
      </c>
      <c r="B699" t="s">
        <v>27</v>
      </c>
      <c r="C699">
        <v>3</v>
      </c>
      <c r="D699" t="s">
        <v>32</v>
      </c>
      <c r="E699" t="s">
        <v>18</v>
      </c>
      <c r="F699" t="s">
        <v>39</v>
      </c>
      <c r="G699">
        <v>30</v>
      </c>
      <c r="H699">
        <v>0</v>
      </c>
      <c r="I699">
        <v>0</v>
      </c>
      <c r="J699">
        <v>7.7332999999999998</v>
      </c>
      <c r="K699" t="s">
        <v>14</v>
      </c>
      <c r="L699" t="s">
        <v>20</v>
      </c>
      <c r="M699" t="s">
        <v>40</v>
      </c>
      <c r="N699" t="b">
        <v>0</v>
      </c>
      <c r="O699" t="s">
        <v>23</v>
      </c>
      <c r="P699" t="s">
        <v>22</v>
      </c>
      <c r="Q699" t="s">
        <v>41</v>
      </c>
      <c r="R699" t="b">
        <v>1</v>
      </c>
    </row>
    <row r="700" spans="1:18" x14ac:dyDescent="0.3">
      <c r="A700">
        <v>0</v>
      </c>
      <c r="B700" t="s">
        <v>26</v>
      </c>
      <c r="C700">
        <v>1</v>
      </c>
      <c r="D700" t="s">
        <v>30</v>
      </c>
      <c r="E700" t="s">
        <v>13</v>
      </c>
      <c r="F700" t="s">
        <v>36</v>
      </c>
      <c r="G700">
        <v>49</v>
      </c>
      <c r="H700">
        <v>1</v>
      </c>
      <c r="I700">
        <v>1</v>
      </c>
      <c r="J700">
        <v>110.88330000000001</v>
      </c>
      <c r="K700" t="s">
        <v>19</v>
      </c>
      <c r="L700" t="s">
        <v>15</v>
      </c>
      <c r="M700" t="s">
        <v>37</v>
      </c>
      <c r="N700" t="b">
        <v>1</v>
      </c>
      <c r="O700" t="s">
        <v>21</v>
      </c>
      <c r="P700" t="s">
        <v>17</v>
      </c>
      <c r="Q700" t="s">
        <v>38</v>
      </c>
      <c r="R700" t="b">
        <v>0</v>
      </c>
    </row>
    <row r="701" spans="1:18" x14ac:dyDescent="0.3">
      <c r="A701">
        <v>0</v>
      </c>
      <c r="B701" t="s">
        <v>26</v>
      </c>
      <c r="C701">
        <v>3</v>
      </c>
      <c r="D701" t="s">
        <v>32</v>
      </c>
      <c r="E701" t="s">
        <v>13</v>
      </c>
      <c r="F701" t="s">
        <v>36</v>
      </c>
      <c r="G701">
        <v>42</v>
      </c>
      <c r="H701">
        <v>0</v>
      </c>
      <c r="I701">
        <v>0</v>
      </c>
      <c r="J701">
        <v>7.65</v>
      </c>
      <c r="K701" t="s">
        <v>14</v>
      </c>
      <c r="L701" t="s">
        <v>15</v>
      </c>
      <c r="M701" t="s">
        <v>37</v>
      </c>
      <c r="N701" t="b">
        <v>1</v>
      </c>
      <c r="O701" t="s">
        <v>16</v>
      </c>
      <c r="P701" t="s">
        <v>17</v>
      </c>
      <c r="Q701" t="s">
        <v>38</v>
      </c>
      <c r="R701" t="b">
        <v>1</v>
      </c>
    </row>
    <row r="702" spans="1:18" x14ac:dyDescent="0.3">
      <c r="A702">
        <v>1</v>
      </c>
      <c r="B702" t="s">
        <v>27</v>
      </c>
      <c r="C702">
        <v>1</v>
      </c>
      <c r="D702" t="s">
        <v>30</v>
      </c>
      <c r="E702" t="s">
        <v>18</v>
      </c>
      <c r="F702" t="s">
        <v>39</v>
      </c>
      <c r="G702">
        <v>18</v>
      </c>
      <c r="H702">
        <v>1</v>
      </c>
      <c r="I702">
        <v>0</v>
      </c>
      <c r="J702">
        <v>227.52500000000001</v>
      </c>
      <c r="K702" t="s">
        <v>19</v>
      </c>
      <c r="L702" t="s">
        <v>20</v>
      </c>
      <c r="M702" t="s">
        <v>40</v>
      </c>
      <c r="N702" t="b">
        <v>0</v>
      </c>
      <c r="O702" t="s">
        <v>21</v>
      </c>
      <c r="P702" t="s">
        <v>22</v>
      </c>
      <c r="Q702" t="s">
        <v>41</v>
      </c>
      <c r="R702" t="b">
        <v>0</v>
      </c>
    </row>
    <row r="703" spans="1:18" x14ac:dyDescent="0.3">
      <c r="A703">
        <v>1</v>
      </c>
      <c r="B703" t="s">
        <v>27</v>
      </c>
      <c r="C703">
        <v>1</v>
      </c>
      <c r="D703" t="s">
        <v>30</v>
      </c>
      <c r="E703" t="s">
        <v>13</v>
      </c>
      <c r="F703" t="s">
        <v>36</v>
      </c>
      <c r="G703">
        <v>35</v>
      </c>
      <c r="H703">
        <v>0</v>
      </c>
      <c r="I703">
        <v>0</v>
      </c>
      <c r="J703">
        <v>26.287500000000001</v>
      </c>
      <c r="K703" t="s">
        <v>19</v>
      </c>
      <c r="L703" t="s">
        <v>15</v>
      </c>
      <c r="M703" t="s">
        <v>37</v>
      </c>
      <c r="N703" t="b">
        <v>1</v>
      </c>
      <c r="O703" t="s">
        <v>16</v>
      </c>
      <c r="P703" t="s">
        <v>22</v>
      </c>
      <c r="Q703" t="s">
        <v>41</v>
      </c>
      <c r="R703" t="b">
        <v>1</v>
      </c>
    </row>
    <row r="704" spans="1:18" x14ac:dyDescent="0.3">
      <c r="A704">
        <v>0</v>
      </c>
      <c r="B704" t="s">
        <v>26</v>
      </c>
      <c r="C704">
        <v>3</v>
      </c>
      <c r="D704" t="s">
        <v>32</v>
      </c>
      <c r="E704" t="s">
        <v>18</v>
      </c>
      <c r="F704" t="s">
        <v>39</v>
      </c>
      <c r="G704">
        <v>18</v>
      </c>
      <c r="H704">
        <v>0</v>
      </c>
      <c r="I704">
        <v>1</v>
      </c>
      <c r="J704">
        <v>14.4542</v>
      </c>
      <c r="K704" t="s">
        <v>14</v>
      </c>
      <c r="L704" t="s">
        <v>20</v>
      </c>
      <c r="M704" t="s">
        <v>40</v>
      </c>
      <c r="N704" t="b">
        <v>0</v>
      </c>
      <c r="O704" t="s">
        <v>21</v>
      </c>
      <c r="P704" t="s">
        <v>17</v>
      </c>
      <c r="Q704" t="s">
        <v>38</v>
      </c>
      <c r="R704" t="b">
        <v>0</v>
      </c>
    </row>
    <row r="705" spans="1:18" x14ac:dyDescent="0.3">
      <c r="A705">
        <v>0</v>
      </c>
      <c r="B705" t="s">
        <v>26</v>
      </c>
      <c r="C705">
        <v>3</v>
      </c>
      <c r="D705" t="s">
        <v>32</v>
      </c>
      <c r="E705" t="s">
        <v>13</v>
      </c>
      <c r="F705" t="s">
        <v>36</v>
      </c>
      <c r="G705">
        <v>25</v>
      </c>
      <c r="H705">
        <v>0</v>
      </c>
      <c r="I705">
        <v>0</v>
      </c>
      <c r="J705">
        <v>7.7416999999999998</v>
      </c>
      <c r="K705" t="s">
        <v>14</v>
      </c>
      <c r="L705" t="s">
        <v>15</v>
      </c>
      <c r="M705" t="s">
        <v>37</v>
      </c>
      <c r="N705" t="b">
        <v>1</v>
      </c>
      <c r="O705" t="s">
        <v>23</v>
      </c>
      <c r="P705" t="s">
        <v>17</v>
      </c>
      <c r="Q705" t="s">
        <v>38</v>
      </c>
      <c r="R705" t="b">
        <v>1</v>
      </c>
    </row>
    <row r="706" spans="1:18" x14ac:dyDescent="0.3">
      <c r="A706">
        <v>0</v>
      </c>
      <c r="B706" t="s">
        <v>26</v>
      </c>
      <c r="C706">
        <v>3</v>
      </c>
      <c r="D706" t="s">
        <v>32</v>
      </c>
      <c r="E706" t="s">
        <v>13</v>
      </c>
      <c r="F706" t="s">
        <v>36</v>
      </c>
      <c r="G706">
        <v>26</v>
      </c>
      <c r="H706">
        <v>1</v>
      </c>
      <c r="I706">
        <v>0</v>
      </c>
      <c r="J706">
        <v>7.8541999999999996</v>
      </c>
      <c r="K706" t="s">
        <v>14</v>
      </c>
      <c r="L706" t="s">
        <v>15</v>
      </c>
      <c r="M706" t="s">
        <v>37</v>
      </c>
      <c r="N706" t="b">
        <v>1</v>
      </c>
      <c r="O706" t="s">
        <v>16</v>
      </c>
      <c r="P706" t="s">
        <v>17</v>
      </c>
      <c r="Q706" t="s">
        <v>38</v>
      </c>
      <c r="R706" t="b">
        <v>0</v>
      </c>
    </row>
    <row r="707" spans="1:18" x14ac:dyDescent="0.3">
      <c r="A707">
        <v>0</v>
      </c>
      <c r="B707" t="s">
        <v>26</v>
      </c>
      <c r="C707">
        <v>2</v>
      </c>
      <c r="D707" t="s">
        <v>31</v>
      </c>
      <c r="E707" t="s">
        <v>13</v>
      </c>
      <c r="F707" t="s">
        <v>36</v>
      </c>
      <c r="G707">
        <v>39</v>
      </c>
      <c r="H707">
        <v>0</v>
      </c>
      <c r="I707">
        <v>0</v>
      </c>
      <c r="J707">
        <v>26</v>
      </c>
      <c r="K707" t="s">
        <v>25</v>
      </c>
      <c r="L707" t="s">
        <v>15</v>
      </c>
      <c r="M707" t="s">
        <v>37</v>
      </c>
      <c r="N707" t="b">
        <v>1</v>
      </c>
      <c r="O707" t="s">
        <v>16</v>
      </c>
      <c r="P707" t="s">
        <v>17</v>
      </c>
      <c r="Q707" t="s">
        <v>38</v>
      </c>
      <c r="R707" t="b">
        <v>1</v>
      </c>
    </row>
    <row r="708" spans="1:18" x14ac:dyDescent="0.3">
      <c r="A708">
        <v>1</v>
      </c>
      <c r="B708" t="s">
        <v>27</v>
      </c>
      <c r="C708">
        <v>2</v>
      </c>
      <c r="D708" t="s">
        <v>31</v>
      </c>
      <c r="E708" t="s">
        <v>18</v>
      </c>
      <c r="F708" t="s">
        <v>39</v>
      </c>
      <c r="G708">
        <v>45</v>
      </c>
      <c r="H708">
        <v>0</v>
      </c>
      <c r="I708">
        <v>0</v>
      </c>
      <c r="J708">
        <v>13.5</v>
      </c>
      <c r="K708" t="s">
        <v>25</v>
      </c>
      <c r="L708" t="s">
        <v>20</v>
      </c>
      <c r="M708" t="s">
        <v>40</v>
      </c>
      <c r="N708" t="b">
        <v>0</v>
      </c>
      <c r="O708" t="s">
        <v>16</v>
      </c>
      <c r="P708" t="s">
        <v>22</v>
      </c>
      <c r="Q708" t="s">
        <v>41</v>
      </c>
      <c r="R708" t="b">
        <v>1</v>
      </c>
    </row>
    <row r="709" spans="1:18" x14ac:dyDescent="0.3">
      <c r="A709">
        <v>1</v>
      </c>
      <c r="B709" t="s">
        <v>27</v>
      </c>
      <c r="C709">
        <v>1</v>
      </c>
      <c r="D709" t="s">
        <v>30</v>
      </c>
      <c r="E709" t="s">
        <v>13</v>
      </c>
      <c r="F709" t="s">
        <v>36</v>
      </c>
      <c r="G709">
        <v>42</v>
      </c>
      <c r="H709">
        <v>0</v>
      </c>
      <c r="I709">
        <v>0</v>
      </c>
      <c r="J709">
        <v>26.287500000000001</v>
      </c>
      <c r="K709" t="s">
        <v>19</v>
      </c>
      <c r="L709" t="s">
        <v>15</v>
      </c>
      <c r="M709" t="s">
        <v>37</v>
      </c>
      <c r="N709" t="b">
        <v>1</v>
      </c>
      <c r="O709" t="s">
        <v>16</v>
      </c>
      <c r="P709" t="s">
        <v>22</v>
      </c>
      <c r="Q709" t="s">
        <v>41</v>
      </c>
      <c r="R709" t="b">
        <v>1</v>
      </c>
    </row>
    <row r="710" spans="1:18" x14ac:dyDescent="0.3">
      <c r="A710">
        <v>1</v>
      </c>
      <c r="B710" t="s">
        <v>27</v>
      </c>
      <c r="C710">
        <v>1</v>
      </c>
      <c r="D710" t="s">
        <v>30</v>
      </c>
      <c r="E710" t="s">
        <v>18</v>
      </c>
      <c r="F710" t="s">
        <v>39</v>
      </c>
      <c r="G710">
        <v>22</v>
      </c>
      <c r="H710">
        <v>0</v>
      </c>
      <c r="I710">
        <v>0</v>
      </c>
      <c r="J710">
        <v>151.55000000000001</v>
      </c>
      <c r="K710" t="s">
        <v>19</v>
      </c>
      <c r="L710" t="s">
        <v>20</v>
      </c>
      <c r="M710" t="s">
        <v>40</v>
      </c>
      <c r="N710" t="b">
        <v>0</v>
      </c>
      <c r="O710" t="s">
        <v>16</v>
      </c>
      <c r="P710" t="s">
        <v>22</v>
      </c>
      <c r="Q710" t="s">
        <v>41</v>
      </c>
      <c r="R710" t="b">
        <v>1</v>
      </c>
    </row>
    <row r="711" spans="1:18" x14ac:dyDescent="0.3">
      <c r="A711">
        <v>1</v>
      </c>
      <c r="B711" t="s">
        <v>27</v>
      </c>
      <c r="C711">
        <v>3</v>
      </c>
      <c r="D711" t="s">
        <v>32</v>
      </c>
      <c r="E711" t="s">
        <v>13</v>
      </c>
      <c r="F711" t="s">
        <v>36</v>
      </c>
      <c r="G711">
        <v>30</v>
      </c>
      <c r="H711">
        <v>1</v>
      </c>
      <c r="I711">
        <v>1</v>
      </c>
      <c r="J711">
        <v>15.245799999999999</v>
      </c>
      <c r="K711" t="s">
        <v>14</v>
      </c>
      <c r="L711" t="s">
        <v>15</v>
      </c>
      <c r="M711" t="s">
        <v>37</v>
      </c>
      <c r="N711" t="b">
        <v>1</v>
      </c>
      <c r="O711" t="s">
        <v>21</v>
      </c>
      <c r="P711" t="s">
        <v>22</v>
      </c>
      <c r="Q711" t="s">
        <v>41</v>
      </c>
      <c r="R711" t="b">
        <v>0</v>
      </c>
    </row>
    <row r="712" spans="1:18" x14ac:dyDescent="0.3">
      <c r="A712">
        <v>1</v>
      </c>
      <c r="B712" t="s">
        <v>27</v>
      </c>
      <c r="C712">
        <v>1</v>
      </c>
      <c r="D712" t="s">
        <v>30</v>
      </c>
      <c r="E712" t="s">
        <v>18</v>
      </c>
      <c r="F712" t="s">
        <v>39</v>
      </c>
      <c r="G712">
        <v>24</v>
      </c>
      <c r="H712">
        <v>0</v>
      </c>
      <c r="I712">
        <v>0</v>
      </c>
      <c r="J712">
        <v>49.504199999999997</v>
      </c>
      <c r="K712" t="s">
        <v>19</v>
      </c>
      <c r="L712" t="s">
        <v>20</v>
      </c>
      <c r="M712" t="s">
        <v>40</v>
      </c>
      <c r="N712" t="b">
        <v>0</v>
      </c>
      <c r="O712" t="s">
        <v>21</v>
      </c>
      <c r="P712" t="s">
        <v>22</v>
      </c>
      <c r="Q712" t="s">
        <v>41</v>
      </c>
      <c r="R712" t="b">
        <v>1</v>
      </c>
    </row>
    <row r="713" spans="1:18" x14ac:dyDescent="0.3">
      <c r="A713">
        <v>0</v>
      </c>
      <c r="B713" t="s">
        <v>26</v>
      </c>
      <c r="C713">
        <v>1</v>
      </c>
      <c r="D713" t="s">
        <v>30</v>
      </c>
      <c r="E713" t="s">
        <v>13</v>
      </c>
      <c r="F713" t="s">
        <v>36</v>
      </c>
      <c r="G713">
        <v>30</v>
      </c>
      <c r="H713">
        <v>0</v>
      </c>
      <c r="I713">
        <v>0</v>
      </c>
      <c r="J713">
        <v>26.55</v>
      </c>
      <c r="K713" t="s">
        <v>19</v>
      </c>
      <c r="L713" t="s">
        <v>15</v>
      </c>
      <c r="M713" t="s">
        <v>37</v>
      </c>
      <c r="N713" t="b">
        <v>1</v>
      </c>
      <c r="O713" t="s">
        <v>16</v>
      </c>
      <c r="P713" t="s">
        <v>17</v>
      </c>
      <c r="Q713" t="s">
        <v>38</v>
      </c>
      <c r="R713" t="b">
        <v>1</v>
      </c>
    </row>
    <row r="714" spans="1:18" x14ac:dyDescent="0.3">
      <c r="A714">
        <v>1</v>
      </c>
      <c r="B714" t="s">
        <v>27</v>
      </c>
      <c r="C714">
        <v>1</v>
      </c>
      <c r="D714" t="s">
        <v>30</v>
      </c>
      <c r="E714" t="s">
        <v>13</v>
      </c>
      <c r="F714" t="s">
        <v>36</v>
      </c>
      <c r="G714">
        <v>48</v>
      </c>
      <c r="H714">
        <v>1</v>
      </c>
      <c r="I714">
        <v>0</v>
      </c>
      <c r="J714">
        <v>52</v>
      </c>
      <c r="K714" t="s">
        <v>19</v>
      </c>
      <c r="L714" t="s">
        <v>15</v>
      </c>
      <c r="M714" t="s">
        <v>37</v>
      </c>
      <c r="N714" t="b">
        <v>1</v>
      </c>
      <c r="O714" t="s">
        <v>16</v>
      </c>
      <c r="P714" t="s">
        <v>22</v>
      </c>
      <c r="Q714" t="s">
        <v>41</v>
      </c>
      <c r="R714" t="b">
        <v>0</v>
      </c>
    </row>
    <row r="715" spans="1:18" x14ac:dyDescent="0.3">
      <c r="A715">
        <v>0</v>
      </c>
      <c r="B715" t="s">
        <v>26</v>
      </c>
      <c r="C715">
        <v>3</v>
      </c>
      <c r="D715" t="s">
        <v>32</v>
      </c>
      <c r="E715" t="s">
        <v>13</v>
      </c>
      <c r="F715" t="s">
        <v>36</v>
      </c>
      <c r="G715">
        <v>29</v>
      </c>
      <c r="H715">
        <v>0</v>
      </c>
      <c r="I715">
        <v>0</v>
      </c>
      <c r="J715">
        <v>9.4832999999999998</v>
      </c>
      <c r="K715" t="s">
        <v>14</v>
      </c>
      <c r="L715" t="s">
        <v>15</v>
      </c>
      <c r="M715" t="s">
        <v>37</v>
      </c>
      <c r="N715" t="b">
        <v>1</v>
      </c>
      <c r="O715" t="s">
        <v>16</v>
      </c>
      <c r="P715" t="s">
        <v>17</v>
      </c>
      <c r="Q715" t="s">
        <v>38</v>
      </c>
      <c r="R715" t="b">
        <v>1</v>
      </c>
    </row>
    <row r="716" spans="1:18" x14ac:dyDescent="0.3">
      <c r="A716">
        <v>0</v>
      </c>
      <c r="B716" t="s">
        <v>26</v>
      </c>
      <c r="C716">
        <v>2</v>
      </c>
      <c r="D716" t="s">
        <v>31</v>
      </c>
      <c r="E716" t="s">
        <v>13</v>
      </c>
      <c r="F716" t="s">
        <v>36</v>
      </c>
      <c r="G716">
        <v>52</v>
      </c>
      <c r="H716">
        <v>0</v>
      </c>
      <c r="I716">
        <v>0</v>
      </c>
      <c r="J716">
        <v>13</v>
      </c>
      <c r="K716" t="s">
        <v>25</v>
      </c>
      <c r="L716" t="s">
        <v>15</v>
      </c>
      <c r="M716" t="s">
        <v>37</v>
      </c>
      <c r="N716" t="b">
        <v>1</v>
      </c>
      <c r="O716" t="s">
        <v>16</v>
      </c>
      <c r="P716" t="s">
        <v>17</v>
      </c>
      <c r="Q716" t="s">
        <v>38</v>
      </c>
      <c r="R716" t="b">
        <v>1</v>
      </c>
    </row>
    <row r="717" spans="1:18" x14ac:dyDescent="0.3">
      <c r="A717">
        <v>0</v>
      </c>
      <c r="B717" t="s">
        <v>26</v>
      </c>
      <c r="C717">
        <v>3</v>
      </c>
      <c r="D717" t="s">
        <v>32</v>
      </c>
      <c r="E717" t="s">
        <v>13</v>
      </c>
      <c r="F717" t="s">
        <v>36</v>
      </c>
      <c r="G717">
        <v>19</v>
      </c>
      <c r="H717">
        <v>0</v>
      </c>
      <c r="I717">
        <v>0</v>
      </c>
      <c r="J717">
        <v>7.65</v>
      </c>
      <c r="K717" t="s">
        <v>14</v>
      </c>
      <c r="L717" t="s">
        <v>15</v>
      </c>
      <c r="M717" t="s">
        <v>37</v>
      </c>
      <c r="N717" t="b">
        <v>1</v>
      </c>
      <c r="O717" t="s">
        <v>16</v>
      </c>
      <c r="P717" t="s">
        <v>17</v>
      </c>
      <c r="Q717" t="s">
        <v>38</v>
      </c>
      <c r="R717" t="b">
        <v>1</v>
      </c>
    </row>
    <row r="718" spans="1:18" x14ac:dyDescent="0.3">
      <c r="A718">
        <v>1</v>
      </c>
      <c r="B718" t="s">
        <v>27</v>
      </c>
      <c r="C718">
        <v>1</v>
      </c>
      <c r="D718" t="s">
        <v>30</v>
      </c>
      <c r="E718" t="s">
        <v>18</v>
      </c>
      <c r="F718" t="s">
        <v>39</v>
      </c>
      <c r="G718">
        <v>38</v>
      </c>
      <c r="H718">
        <v>0</v>
      </c>
      <c r="I718">
        <v>0</v>
      </c>
      <c r="J718">
        <v>227.52500000000001</v>
      </c>
      <c r="K718" t="s">
        <v>19</v>
      </c>
      <c r="L718" t="s">
        <v>20</v>
      </c>
      <c r="M718" t="s">
        <v>40</v>
      </c>
      <c r="N718" t="b">
        <v>0</v>
      </c>
      <c r="O718" t="s">
        <v>21</v>
      </c>
      <c r="P718" t="s">
        <v>22</v>
      </c>
      <c r="Q718" t="s">
        <v>41</v>
      </c>
      <c r="R718" t="b">
        <v>1</v>
      </c>
    </row>
    <row r="719" spans="1:18" x14ac:dyDescent="0.3">
      <c r="A719">
        <v>1</v>
      </c>
      <c r="B719" t="s">
        <v>27</v>
      </c>
      <c r="C719">
        <v>2</v>
      </c>
      <c r="D719" t="s">
        <v>31</v>
      </c>
      <c r="E719" t="s">
        <v>18</v>
      </c>
      <c r="F719" t="s">
        <v>39</v>
      </c>
      <c r="G719">
        <v>27</v>
      </c>
      <c r="H719">
        <v>0</v>
      </c>
      <c r="I719">
        <v>0</v>
      </c>
      <c r="J719">
        <v>10.5</v>
      </c>
      <c r="K719" t="s">
        <v>25</v>
      </c>
      <c r="L719" t="s">
        <v>20</v>
      </c>
      <c r="M719" t="s">
        <v>40</v>
      </c>
      <c r="N719" t="b">
        <v>0</v>
      </c>
      <c r="O719" t="s">
        <v>16</v>
      </c>
      <c r="P719" t="s">
        <v>22</v>
      </c>
      <c r="Q719" t="s">
        <v>41</v>
      </c>
      <c r="R719" t="b">
        <v>1</v>
      </c>
    </row>
    <row r="720" spans="1:18" x14ac:dyDescent="0.3">
      <c r="A720">
        <v>0</v>
      </c>
      <c r="B720" t="s">
        <v>26</v>
      </c>
      <c r="C720">
        <v>3</v>
      </c>
      <c r="D720" t="s">
        <v>32</v>
      </c>
      <c r="E720" t="s">
        <v>13</v>
      </c>
      <c r="F720" t="s">
        <v>36</v>
      </c>
      <c r="G720">
        <v>30</v>
      </c>
      <c r="H720">
        <v>0</v>
      </c>
      <c r="I720">
        <v>0</v>
      </c>
      <c r="J720">
        <v>15.5</v>
      </c>
      <c r="K720" t="s">
        <v>14</v>
      </c>
      <c r="L720" t="s">
        <v>15</v>
      </c>
      <c r="M720" t="s">
        <v>37</v>
      </c>
      <c r="N720" t="b">
        <v>1</v>
      </c>
      <c r="O720" t="s">
        <v>23</v>
      </c>
      <c r="P720" t="s">
        <v>17</v>
      </c>
      <c r="Q720" t="s">
        <v>38</v>
      </c>
      <c r="R720" t="b">
        <v>1</v>
      </c>
    </row>
    <row r="721" spans="1:18" x14ac:dyDescent="0.3">
      <c r="A721">
        <v>0</v>
      </c>
      <c r="B721" t="s">
        <v>26</v>
      </c>
      <c r="C721">
        <v>3</v>
      </c>
      <c r="D721" t="s">
        <v>32</v>
      </c>
      <c r="E721" t="s">
        <v>13</v>
      </c>
      <c r="F721" t="s">
        <v>36</v>
      </c>
      <c r="G721">
        <v>33</v>
      </c>
      <c r="H721">
        <v>0</v>
      </c>
      <c r="I721">
        <v>0</v>
      </c>
      <c r="J721">
        <v>7.7750000000000004</v>
      </c>
      <c r="K721" t="s">
        <v>14</v>
      </c>
      <c r="L721" t="s">
        <v>15</v>
      </c>
      <c r="M721" t="s">
        <v>37</v>
      </c>
      <c r="N721" t="b">
        <v>1</v>
      </c>
      <c r="O721" t="s">
        <v>16</v>
      </c>
      <c r="P721" t="s">
        <v>17</v>
      </c>
      <c r="Q721" t="s">
        <v>38</v>
      </c>
      <c r="R721" t="b">
        <v>1</v>
      </c>
    </row>
    <row r="722" spans="1:18" x14ac:dyDescent="0.3">
      <c r="A722">
        <v>1</v>
      </c>
      <c r="B722" t="s">
        <v>27</v>
      </c>
      <c r="C722">
        <v>2</v>
      </c>
      <c r="D722" t="s">
        <v>31</v>
      </c>
      <c r="E722" t="s">
        <v>18</v>
      </c>
      <c r="F722" t="s">
        <v>39</v>
      </c>
      <c r="G722">
        <v>6</v>
      </c>
      <c r="H722">
        <v>0</v>
      </c>
      <c r="I722">
        <v>1</v>
      </c>
      <c r="J722">
        <v>33</v>
      </c>
      <c r="K722" t="s">
        <v>25</v>
      </c>
      <c r="L722" t="s">
        <v>24</v>
      </c>
      <c r="M722" t="s">
        <v>42</v>
      </c>
      <c r="N722" t="b">
        <v>0</v>
      </c>
      <c r="O722" t="s">
        <v>16</v>
      </c>
      <c r="P722" t="s">
        <v>22</v>
      </c>
      <c r="Q722" t="s">
        <v>41</v>
      </c>
      <c r="R722" t="b">
        <v>0</v>
      </c>
    </row>
    <row r="723" spans="1:18" x14ac:dyDescent="0.3">
      <c r="A723">
        <v>0</v>
      </c>
      <c r="B723" t="s">
        <v>26</v>
      </c>
      <c r="C723">
        <v>3</v>
      </c>
      <c r="D723" t="s">
        <v>32</v>
      </c>
      <c r="E723" t="s">
        <v>13</v>
      </c>
      <c r="F723" t="s">
        <v>36</v>
      </c>
      <c r="G723">
        <v>17</v>
      </c>
      <c r="H723">
        <v>1</v>
      </c>
      <c r="I723">
        <v>0</v>
      </c>
      <c r="J723">
        <v>7.0541999999999998</v>
      </c>
      <c r="K723" t="s">
        <v>14</v>
      </c>
      <c r="L723" t="s">
        <v>15</v>
      </c>
      <c r="M723" t="s">
        <v>37</v>
      </c>
      <c r="N723" t="b">
        <v>1</v>
      </c>
      <c r="O723" t="s">
        <v>16</v>
      </c>
      <c r="P723" t="s">
        <v>17</v>
      </c>
      <c r="Q723" t="s">
        <v>38</v>
      </c>
      <c r="R723" t="b">
        <v>0</v>
      </c>
    </row>
    <row r="724" spans="1:18" x14ac:dyDescent="0.3">
      <c r="A724">
        <v>0</v>
      </c>
      <c r="B724" t="s">
        <v>26</v>
      </c>
      <c r="C724">
        <v>2</v>
      </c>
      <c r="D724" t="s">
        <v>31</v>
      </c>
      <c r="E724" t="s">
        <v>13</v>
      </c>
      <c r="F724" t="s">
        <v>36</v>
      </c>
      <c r="G724">
        <v>34</v>
      </c>
      <c r="H724">
        <v>0</v>
      </c>
      <c r="I724">
        <v>0</v>
      </c>
      <c r="J724">
        <v>13</v>
      </c>
      <c r="K724" t="s">
        <v>25</v>
      </c>
      <c r="L724" t="s">
        <v>15</v>
      </c>
      <c r="M724" t="s">
        <v>37</v>
      </c>
      <c r="N724" t="b">
        <v>1</v>
      </c>
      <c r="O724" t="s">
        <v>16</v>
      </c>
      <c r="P724" t="s">
        <v>17</v>
      </c>
      <c r="Q724" t="s">
        <v>38</v>
      </c>
      <c r="R724" t="b">
        <v>1</v>
      </c>
    </row>
    <row r="725" spans="1:18" x14ac:dyDescent="0.3">
      <c r="A725">
        <v>0</v>
      </c>
      <c r="B725" t="s">
        <v>26</v>
      </c>
      <c r="C725">
        <v>2</v>
      </c>
      <c r="D725" t="s">
        <v>31</v>
      </c>
      <c r="E725" t="s">
        <v>13</v>
      </c>
      <c r="F725" t="s">
        <v>36</v>
      </c>
      <c r="G725">
        <v>50</v>
      </c>
      <c r="H725">
        <v>0</v>
      </c>
      <c r="I725">
        <v>0</v>
      </c>
      <c r="J725">
        <v>13</v>
      </c>
      <c r="K725" t="s">
        <v>25</v>
      </c>
      <c r="L725" t="s">
        <v>15</v>
      </c>
      <c r="M725" t="s">
        <v>37</v>
      </c>
      <c r="N725" t="b">
        <v>1</v>
      </c>
      <c r="O725" t="s">
        <v>16</v>
      </c>
      <c r="P725" t="s">
        <v>17</v>
      </c>
      <c r="Q725" t="s">
        <v>38</v>
      </c>
      <c r="R725" t="b">
        <v>1</v>
      </c>
    </row>
    <row r="726" spans="1:18" x14ac:dyDescent="0.3">
      <c r="A726">
        <v>1</v>
      </c>
      <c r="B726" t="s">
        <v>27</v>
      </c>
      <c r="C726">
        <v>1</v>
      </c>
      <c r="D726" t="s">
        <v>30</v>
      </c>
      <c r="E726" t="s">
        <v>13</v>
      </c>
      <c r="F726" t="s">
        <v>36</v>
      </c>
      <c r="G726">
        <v>27</v>
      </c>
      <c r="H726">
        <v>1</v>
      </c>
      <c r="I726">
        <v>0</v>
      </c>
      <c r="J726">
        <v>53.1</v>
      </c>
      <c r="K726" t="s">
        <v>19</v>
      </c>
      <c r="L726" t="s">
        <v>15</v>
      </c>
      <c r="M726" t="s">
        <v>37</v>
      </c>
      <c r="N726" t="b">
        <v>1</v>
      </c>
      <c r="O726" t="s">
        <v>16</v>
      </c>
      <c r="P726" t="s">
        <v>22</v>
      </c>
      <c r="Q726" t="s">
        <v>41</v>
      </c>
      <c r="R726" t="b">
        <v>0</v>
      </c>
    </row>
    <row r="727" spans="1:18" x14ac:dyDescent="0.3">
      <c r="A727">
        <v>0</v>
      </c>
      <c r="B727" t="s">
        <v>26</v>
      </c>
      <c r="C727">
        <v>3</v>
      </c>
      <c r="D727" t="s">
        <v>32</v>
      </c>
      <c r="E727" t="s">
        <v>13</v>
      </c>
      <c r="F727" t="s">
        <v>36</v>
      </c>
      <c r="G727">
        <v>20</v>
      </c>
      <c r="H727">
        <v>0</v>
      </c>
      <c r="I727">
        <v>0</v>
      </c>
      <c r="J727">
        <v>8.6624999999999996</v>
      </c>
      <c r="K727" t="s">
        <v>14</v>
      </c>
      <c r="L727" t="s">
        <v>15</v>
      </c>
      <c r="M727" t="s">
        <v>37</v>
      </c>
      <c r="N727" t="b">
        <v>1</v>
      </c>
      <c r="O727" t="s">
        <v>16</v>
      </c>
      <c r="P727" t="s">
        <v>17</v>
      </c>
      <c r="Q727" t="s">
        <v>38</v>
      </c>
      <c r="R727" t="b">
        <v>1</v>
      </c>
    </row>
    <row r="728" spans="1:18" x14ac:dyDescent="0.3">
      <c r="A728">
        <v>1</v>
      </c>
      <c r="B728" t="s">
        <v>27</v>
      </c>
      <c r="C728">
        <v>2</v>
      </c>
      <c r="D728" t="s">
        <v>31</v>
      </c>
      <c r="E728" t="s">
        <v>18</v>
      </c>
      <c r="F728" t="s">
        <v>39</v>
      </c>
      <c r="G728">
        <v>30</v>
      </c>
      <c r="H728">
        <v>3</v>
      </c>
      <c r="I728">
        <v>0</v>
      </c>
      <c r="J728">
        <v>21</v>
      </c>
      <c r="K728" t="s">
        <v>25</v>
      </c>
      <c r="L728" t="s">
        <v>20</v>
      </c>
      <c r="M728" t="s">
        <v>40</v>
      </c>
      <c r="N728" t="b">
        <v>0</v>
      </c>
      <c r="O728" t="s">
        <v>16</v>
      </c>
      <c r="P728" t="s">
        <v>22</v>
      </c>
      <c r="Q728" t="s">
        <v>41</v>
      </c>
      <c r="R728" t="b">
        <v>0</v>
      </c>
    </row>
    <row r="729" spans="1:18" x14ac:dyDescent="0.3">
      <c r="A729">
        <v>1</v>
      </c>
      <c r="B729" t="s">
        <v>27</v>
      </c>
      <c r="C729">
        <v>3</v>
      </c>
      <c r="D729" t="s">
        <v>32</v>
      </c>
      <c r="E729" t="s">
        <v>18</v>
      </c>
      <c r="F729" t="s">
        <v>39</v>
      </c>
      <c r="G729">
        <v>30</v>
      </c>
      <c r="H729">
        <v>0</v>
      </c>
      <c r="I729">
        <v>0</v>
      </c>
      <c r="J729">
        <v>7.7374999999999998</v>
      </c>
      <c r="K729" t="s">
        <v>14</v>
      </c>
      <c r="L729" t="s">
        <v>20</v>
      </c>
      <c r="M729" t="s">
        <v>40</v>
      </c>
      <c r="N729" t="b">
        <v>0</v>
      </c>
      <c r="O729" t="s">
        <v>23</v>
      </c>
      <c r="P729" t="s">
        <v>22</v>
      </c>
      <c r="Q729" t="s">
        <v>41</v>
      </c>
      <c r="R729" t="b">
        <v>1</v>
      </c>
    </row>
    <row r="730" spans="1:18" x14ac:dyDescent="0.3">
      <c r="A730">
        <v>0</v>
      </c>
      <c r="B730" t="s">
        <v>26</v>
      </c>
      <c r="C730">
        <v>2</v>
      </c>
      <c r="D730" t="s">
        <v>31</v>
      </c>
      <c r="E730" t="s">
        <v>13</v>
      </c>
      <c r="F730" t="s">
        <v>36</v>
      </c>
      <c r="G730">
        <v>25</v>
      </c>
      <c r="H730">
        <v>1</v>
      </c>
      <c r="I730">
        <v>0</v>
      </c>
      <c r="J730">
        <v>26</v>
      </c>
      <c r="K730" t="s">
        <v>25</v>
      </c>
      <c r="L730" t="s">
        <v>15</v>
      </c>
      <c r="M730" t="s">
        <v>37</v>
      </c>
      <c r="N730" t="b">
        <v>1</v>
      </c>
      <c r="O730" t="s">
        <v>16</v>
      </c>
      <c r="P730" t="s">
        <v>17</v>
      </c>
      <c r="Q730" t="s">
        <v>38</v>
      </c>
      <c r="R730" t="b">
        <v>0</v>
      </c>
    </row>
    <row r="731" spans="1:18" x14ac:dyDescent="0.3">
      <c r="A731">
        <v>0</v>
      </c>
      <c r="B731" t="s">
        <v>26</v>
      </c>
      <c r="C731">
        <v>3</v>
      </c>
      <c r="D731" t="s">
        <v>32</v>
      </c>
      <c r="E731" t="s">
        <v>18</v>
      </c>
      <c r="F731" t="s">
        <v>39</v>
      </c>
      <c r="G731">
        <v>25</v>
      </c>
      <c r="H731">
        <v>1</v>
      </c>
      <c r="I731">
        <v>0</v>
      </c>
      <c r="J731">
        <v>7.9249999999999998</v>
      </c>
      <c r="K731" t="s">
        <v>14</v>
      </c>
      <c r="L731" t="s">
        <v>20</v>
      </c>
      <c r="M731" t="s">
        <v>40</v>
      </c>
      <c r="N731" t="b">
        <v>0</v>
      </c>
      <c r="O731" t="s">
        <v>16</v>
      </c>
      <c r="P731" t="s">
        <v>17</v>
      </c>
      <c r="Q731" t="s">
        <v>38</v>
      </c>
      <c r="R731" t="b">
        <v>0</v>
      </c>
    </row>
    <row r="732" spans="1:18" x14ac:dyDescent="0.3">
      <c r="A732">
        <v>1</v>
      </c>
      <c r="B732" t="s">
        <v>27</v>
      </c>
      <c r="C732">
        <v>1</v>
      </c>
      <c r="D732" t="s">
        <v>30</v>
      </c>
      <c r="E732" t="s">
        <v>18</v>
      </c>
      <c r="F732" t="s">
        <v>39</v>
      </c>
      <c r="G732">
        <v>29</v>
      </c>
      <c r="H732">
        <v>0</v>
      </c>
      <c r="I732">
        <v>0</v>
      </c>
      <c r="J732">
        <v>211.33750000000001</v>
      </c>
      <c r="K732" t="s">
        <v>19</v>
      </c>
      <c r="L732" t="s">
        <v>20</v>
      </c>
      <c r="M732" t="s">
        <v>40</v>
      </c>
      <c r="N732" t="b">
        <v>0</v>
      </c>
      <c r="O732" t="s">
        <v>16</v>
      </c>
      <c r="P732" t="s">
        <v>22</v>
      </c>
      <c r="Q732" t="s">
        <v>41</v>
      </c>
      <c r="R732" t="b">
        <v>1</v>
      </c>
    </row>
    <row r="733" spans="1:18" x14ac:dyDescent="0.3">
      <c r="A733">
        <v>0</v>
      </c>
      <c r="B733" t="s">
        <v>26</v>
      </c>
      <c r="C733">
        <v>3</v>
      </c>
      <c r="D733" t="s">
        <v>32</v>
      </c>
      <c r="E733" t="s">
        <v>13</v>
      </c>
      <c r="F733" t="s">
        <v>36</v>
      </c>
      <c r="G733">
        <v>11</v>
      </c>
      <c r="H733">
        <v>0</v>
      </c>
      <c r="I733">
        <v>0</v>
      </c>
      <c r="J733">
        <v>18.787500000000001</v>
      </c>
      <c r="K733" t="s">
        <v>14</v>
      </c>
      <c r="L733" t="s">
        <v>24</v>
      </c>
      <c r="M733" t="s">
        <v>42</v>
      </c>
      <c r="N733" t="b">
        <v>0</v>
      </c>
      <c r="O733" t="s">
        <v>21</v>
      </c>
      <c r="P733" t="s">
        <v>17</v>
      </c>
      <c r="Q733" t="s">
        <v>38</v>
      </c>
      <c r="R733" t="b">
        <v>1</v>
      </c>
    </row>
    <row r="734" spans="1:18" x14ac:dyDescent="0.3">
      <c r="A734">
        <v>0</v>
      </c>
      <c r="B734" t="s">
        <v>26</v>
      </c>
      <c r="C734">
        <v>2</v>
      </c>
      <c r="D734" t="s">
        <v>31</v>
      </c>
      <c r="E734" t="s">
        <v>13</v>
      </c>
      <c r="F734" t="s">
        <v>36</v>
      </c>
      <c r="G734">
        <v>30</v>
      </c>
      <c r="H734">
        <v>0</v>
      </c>
      <c r="I734">
        <v>0</v>
      </c>
      <c r="J734">
        <v>0</v>
      </c>
      <c r="K734" t="s">
        <v>25</v>
      </c>
      <c r="L734" t="s">
        <v>15</v>
      </c>
      <c r="M734" t="s">
        <v>37</v>
      </c>
      <c r="N734" t="b">
        <v>1</v>
      </c>
      <c r="O734" t="s">
        <v>16</v>
      </c>
      <c r="P734" t="s">
        <v>17</v>
      </c>
      <c r="Q734" t="s">
        <v>38</v>
      </c>
      <c r="R734" t="b">
        <v>1</v>
      </c>
    </row>
    <row r="735" spans="1:18" x14ac:dyDescent="0.3">
      <c r="A735">
        <v>0</v>
      </c>
      <c r="B735" t="s">
        <v>26</v>
      </c>
      <c r="C735">
        <v>2</v>
      </c>
      <c r="D735" t="s">
        <v>31</v>
      </c>
      <c r="E735" t="s">
        <v>13</v>
      </c>
      <c r="F735" t="s">
        <v>36</v>
      </c>
      <c r="G735">
        <v>23</v>
      </c>
      <c r="H735">
        <v>0</v>
      </c>
      <c r="I735">
        <v>0</v>
      </c>
      <c r="J735">
        <v>13</v>
      </c>
      <c r="K735" t="s">
        <v>25</v>
      </c>
      <c r="L735" t="s">
        <v>15</v>
      </c>
      <c r="M735" t="s">
        <v>37</v>
      </c>
      <c r="N735" t="b">
        <v>1</v>
      </c>
      <c r="O735" t="s">
        <v>16</v>
      </c>
      <c r="P735" t="s">
        <v>17</v>
      </c>
      <c r="Q735" t="s">
        <v>38</v>
      </c>
      <c r="R735" t="b">
        <v>1</v>
      </c>
    </row>
    <row r="736" spans="1:18" x14ac:dyDescent="0.3">
      <c r="A736">
        <v>0</v>
      </c>
      <c r="B736" t="s">
        <v>26</v>
      </c>
      <c r="C736">
        <v>2</v>
      </c>
      <c r="D736" t="s">
        <v>31</v>
      </c>
      <c r="E736" t="s">
        <v>13</v>
      </c>
      <c r="F736" t="s">
        <v>36</v>
      </c>
      <c r="G736">
        <v>23</v>
      </c>
      <c r="H736">
        <v>0</v>
      </c>
      <c r="I736">
        <v>0</v>
      </c>
      <c r="J736">
        <v>13</v>
      </c>
      <c r="K736" t="s">
        <v>25</v>
      </c>
      <c r="L736" t="s">
        <v>15</v>
      </c>
      <c r="M736" t="s">
        <v>37</v>
      </c>
      <c r="N736" t="b">
        <v>1</v>
      </c>
      <c r="O736" t="s">
        <v>16</v>
      </c>
      <c r="P736" t="s">
        <v>17</v>
      </c>
      <c r="Q736" t="s">
        <v>38</v>
      </c>
      <c r="R736" t="b">
        <v>1</v>
      </c>
    </row>
    <row r="737" spans="1:18" x14ac:dyDescent="0.3">
      <c r="A737">
        <v>0</v>
      </c>
      <c r="B737" t="s">
        <v>26</v>
      </c>
      <c r="C737">
        <v>3</v>
      </c>
      <c r="D737" t="s">
        <v>32</v>
      </c>
      <c r="E737" t="s">
        <v>13</v>
      </c>
      <c r="F737" t="s">
        <v>36</v>
      </c>
      <c r="G737">
        <v>28.5</v>
      </c>
      <c r="H737">
        <v>0</v>
      </c>
      <c r="I737">
        <v>0</v>
      </c>
      <c r="J737">
        <v>16.100000000000001</v>
      </c>
      <c r="K737" t="s">
        <v>14</v>
      </c>
      <c r="L737" t="s">
        <v>15</v>
      </c>
      <c r="M737" t="s">
        <v>37</v>
      </c>
      <c r="N737" t="b">
        <v>1</v>
      </c>
      <c r="O737" t="s">
        <v>16</v>
      </c>
      <c r="P737" t="s">
        <v>17</v>
      </c>
      <c r="Q737" t="s">
        <v>38</v>
      </c>
      <c r="R737" t="b">
        <v>1</v>
      </c>
    </row>
    <row r="738" spans="1:18" x14ac:dyDescent="0.3">
      <c r="A738">
        <v>0</v>
      </c>
      <c r="B738" t="s">
        <v>26</v>
      </c>
      <c r="C738">
        <v>3</v>
      </c>
      <c r="D738" t="s">
        <v>32</v>
      </c>
      <c r="E738" t="s">
        <v>18</v>
      </c>
      <c r="F738" t="s">
        <v>39</v>
      </c>
      <c r="G738">
        <v>48</v>
      </c>
      <c r="H738">
        <v>1</v>
      </c>
      <c r="I738">
        <v>3</v>
      </c>
      <c r="J738">
        <v>34.375</v>
      </c>
      <c r="K738" t="s">
        <v>14</v>
      </c>
      <c r="L738" t="s">
        <v>20</v>
      </c>
      <c r="M738" t="s">
        <v>40</v>
      </c>
      <c r="N738" t="b">
        <v>0</v>
      </c>
      <c r="O738" t="s">
        <v>16</v>
      </c>
      <c r="P738" t="s">
        <v>17</v>
      </c>
      <c r="Q738" t="s">
        <v>38</v>
      </c>
      <c r="R738" t="b">
        <v>0</v>
      </c>
    </row>
    <row r="739" spans="1:18" x14ac:dyDescent="0.3">
      <c r="A739">
        <v>1</v>
      </c>
      <c r="B739" t="s">
        <v>27</v>
      </c>
      <c r="C739">
        <v>1</v>
      </c>
      <c r="D739" t="s">
        <v>30</v>
      </c>
      <c r="E739" t="s">
        <v>13</v>
      </c>
      <c r="F739" t="s">
        <v>36</v>
      </c>
      <c r="G739">
        <v>35</v>
      </c>
      <c r="H739">
        <v>0</v>
      </c>
      <c r="I739">
        <v>0</v>
      </c>
      <c r="J739">
        <v>512.32920000000001</v>
      </c>
      <c r="K739" t="s">
        <v>19</v>
      </c>
      <c r="L739" t="s">
        <v>15</v>
      </c>
      <c r="M739" t="s">
        <v>37</v>
      </c>
      <c r="N739" t="b">
        <v>1</v>
      </c>
      <c r="O739" t="s">
        <v>21</v>
      </c>
      <c r="P739" t="s">
        <v>22</v>
      </c>
      <c r="Q739" t="s">
        <v>41</v>
      </c>
      <c r="R739" t="b">
        <v>1</v>
      </c>
    </row>
    <row r="740" spans="1:18" x14ac:dyDescent="0.3">
      <c r="A740">
        <v>0</v>
      </c>
      <c r="B740" t="s">
        <v>26</v>
      </c>
      <c r="C740">
        <v>3</v>
      </c>
      <c r="D740" t="s">
        <v>32</v>
      </c>
      <c r="E740" t="s">
        <v>13</v>
      </c>
      <c r="F740" t="s">
        <v>36</v>
      </c>
      <c r="G740">
        <v>30</v>
      </c>
      <c r="H740">
        <v>0</v>
      </c>
      <c r="I740">
        <v>0</v>
      </c>
      <c r="J740">
        <v>7.8958000000000004</v>
      </c>
      <c r="K740" t="s">
        <v>14</v>
      </c>
      <c r="L740" t="s">
        <v>15</v>
      </c>
      <c r="M740" t="s">
        <v>37</v>
      </c>
      <c r="N740" t="b">
        <v>1</v>
      </c>
      <c r="O740" t="s">
        <v>16</v>
      </c>
      <c r="P740" t="s">
        <v>17</v>
      </c>
      <c r="Q740" t="s">
        <v>38</v>
      </c>
      <c r="R740" t="b">
        <v>1</v>
      </c>
    </row>
    <row r="741" spans="1:18" x14ac:dyDescent="0.3">
      <c r="A741">
        <v>0</v>
      </c>
      <c r="B741" t="s">
        <v>26</v>
      </c>
      <c r="C741">
        <v>3</v>
      </c>
      <c r="D741" t="s">
        <v>32</v>
      </c>
      <c r="E741" t="s">
        <v>13</v>
      </c>
      <c r="F741" t="s">
        <v>36</v>
      </c>
      <c r="G741">
        <v>30</v>
      </c>
      <c r="H741">
        <v>0</v>
      </c>
      <c r="I741">
        <v>0</v>
      </c>
      <c r="J741">
        <v>7.8958000000000004</v>
      </c>
      <c r="K741" t="s">
        <v>14</v>
      </c>
      <c r="L741" t="s">
        <v>15</v>
      </c>
      <c r="M741" t="s">
        <v>37</v>
      </c>
      <c r="N741" t="b">
        <v>1</v>
      </c>
      <c r="O741" t="s">
        <v>16</v>
      </c>
      <c r="P741" t="s">
        <v>17</v>
      </c>
      <c r="Q741" t="s">
        <v>38</v>
      </c>
      <c r="R741" t="b">
        <v>1</v>
      </c>
    </row>
    <row r="742" spans="1:18" x14ac:dyDescent="0.3">
      <c r="A742">
        <v>1</v>
      </c>
      <c r="B742" t="s">
        <v>27</v>
      </c>
      <c r="C742">
        <v>1</v>
      </c>
      <c r="D742" t="s">
        <v>30</v>
      </c>
      <c r="E742" t="s">
        <v>13</v>
      </c>
      <c r="F742" t="s">
        <v>36</v>
      </c>
      <c r="G742">
        <v>30</v>
      </c>
      <c r="H742">
        <v>0</v>
      </c>
      <c r="I742">
        <v>0</v>
      </c>
      <c r="J742">
        <v>30</v>
      </c>
      <c r="K742" t="s">
        <v>19</v>
      </c>
      <c r="L742" t="s">
        <v>15</v>
      </c>
      <c r="M742" t="s">
        <v>37</v>
      </c>
      <c r="N742" t="b">
        <v>1</v>
      </c>
      <c r="O742" t="s">
        <v>16</v>
      </c>
      <c r="P742" t="s">
        <v>22</v>
      </c>
      <c r="Q742" t="s">
        <v>41</v>
      </c>
      <c r="R742" t="b">
        <v>1</v>
      </c>
    </row>
    <row r="743" spans="1:18" x14ac:dyDescent="0.3">
      <c r="A743">
        <v>0</v>
      </c>
      <c r="B743" t="s">
        <v>26</v>
      </c>
      <c r="C743">
        <v>1</v>
      </c>
      <c r="D743" t="s">
        <v>30</v>
      </c>
      <c r="E743" t="s">
        <v>13</v>
      </c>
      <c r="F743" t="s">
        <v>36</v>
      </c>
      <c r="G743">
        <v>36</v>
      </c>
      <c r="H743">
        <v>1</v>
      </c>
      <c r="I743">
        <v>0</v>
      </c>
      <c r="J743">
        <v>78.849999999999994</v>
      </c>
      <c r="K743" t="s">
        <v>19</v>
      </c>
      <c r="L743" t="s">
        <v>15</v>
      </c>
      <c r="M743" t="s">
        <v>37</v>
      </c>
      <c r="N743" t="b">
        <v>1</v>
      </c>
      <c r="O743" t="s">
        <v>16</v>
      </c>
      <c r="P743" t="s">
        <v>17</v>
      </c>
      <c r="Q743" t="s">
        <v>38</v>
      </c>
      <c r="R743" t="b">
        <v>0</v>
      </c>
    </row>
    <row r="744" spans="1:18" x14ac:dyDescent="0.3">
      <c r="A744">
        <v>1</v>
      </c>
      <c r="B744" t="s">
        <v>27</v>
      </c>
      <c r="C744">
        <v>1</v>
      </c>
      <c r="D744" t="s">
        <v>30</v>
      </c>
      <c r="E744" t="s">
        <v>18</v>
      </c>
      <c r="F744" t="s">
        <v>39</v>
      </c>
      <c r="G744">
        <v>21</v>
      </c>
      <c r="H744">
        <v>2</v>
      </c>
      <c r="I744">
        <v>2</v>
      </c>
      <c r="J744">
        <v>262.375</v>
      </c>
      <c r="K744" t="s">
        <v>19</v>
      </c>
      <c r="L744" t="s">
        <v>20</v>
      </c>
      <c r="M744" t="s">
        <v>40</v>
      </c>
      <c r="N744" t="b">
        <v>0</v>
      </c>
      <c r="O744" t="s">
        <v>21</v>
      </c>
      <c r="P744" t="s">
        <v>22</v>
      </c>
      <c r="Q744" t="s">
        <v>41</v>
      </c>
      <c r="R744" t="b">
        <v>0</v>
      </c>
    </row>
    <row r="745" spans="1:18" x14ac:dyDescent="0.3">
      <c r="A745">
        <v>0</v>
      </c>
      <c r="B745" t="s">
        <v>26</v>
      </c>
      <c r="C745">
        <v>3</v>
      </c>
      <c r="D745" t="s">
        <v>32</v>
      </c>
      <c r="E745" t="s">
        <v>13</v>
      </c>
      <c r="F745" t="s">
        <v>36</v>
      </c>
      <c r="G745">
        <v>24</v>
      </c>
      <c r="H745">
        <v>1</v>
      </c>
      <c r="I745">
        <v>0</v>
      </c>
      <c r="J745">
        <v>16.100000000000001</v>
      </c>
      <c r="K745" t="s">
        <v>14</v>
      </c>
      <c r="L745" t="s">
        <v>15</v>
      </c>
      <c r="M745" t="s">
        <v>37</v>
      </c>
      <c r="N745" t="b">
        <v>1</v>
      </c>
      <c r="O745" t="s">
        <v>16</v>
      </c>
      <c r="P745" t="s">
        <v>17</v>
      </c>
      <c r="Q745" t="s">
        <v>38</v>
      </c>
      <c r="R745" t="b">
        <v>0</v>
      </c>
    </row>
    <row r="746" spans="1:18" x14ac:dyDescent="0.3">
      <c r="A746">
        <v>1</v>
      </c>
      <c r="B746" t="s">
        <v>27</v>
      </c>
      <c r="C746">
        <v>3</v>
      </c>
      <c r="D746" t="s">
        <v>32</v>
      </c>
      <c r="E746" t="s">
        <v>13</v>
      </c>
      <c r="F746" t="s">
        <v>36</v>
      </c>
      <c r="G746">
        <v>31</v>
      </c>
      <c r="H746">
        <v>0</v>
      </c>
      <c r="I746">
        <v>0</v>
      </c>
      <c r="J746">
        <v>7.9249999999999998</v>
      </c>
      <c r="K746" t="s">
        <v>14</v>
      </c>
      <c r="L746" t="s">
        <v>15</v>
      </c>
      <c r="M746" t="s">
        <v>37</v>
      </c>
      <c r="N746" t="b">
        <v>1</v>
      </c>
      <c r="O746" t="s">
        <v>16</v>
      </c>
      <c r="P746" t="s">
        <v>22</v>
      </c>
      <c r="Q746" t="s">
        <v>41</v>
      </c>
      <c r="R746" t="b">
        <v>1</v>
      </c>
    </row>
    <row r="747" spans="1:18" x14ac:dyDescent="0.3">
      <c r="A747">
        <v>0</v>
      </c>
      <c r="B747" t="s">
        <v>26</v>
      </c>
      <c r="C747">
        <v>1</v>
      </c>
      <c r="D747" t="s">
        <v>30</v>
      </c>
      <c r="E747" t="s">
        <v>13</v>
      </c>
      <c r="F747" t="s">
        <v>36</v>
      </c>
      <c r="G747">
        <v>70</v>
      </c>
      <c r="H747">
        <v>1</v>
      </c>
      <c r="I747">
        <v>1</v>
      </c>
      <c r="J747">
        <v>71</v>
      </c>
      <c r="K747" t="s">
        <v>19</v>
      </c>
      <c r="L747" t="s">
        <v>15</v>
      </c>
      <c r="M747" t="s">
        <v>37</v>
      </c>
      <c r="N747" t="b">
        <v>1</v>
      </c>
      <c r="O747" t="s">
        <v>16</v>
      </c>
      <c r="P747" t="s">
        <v>17</v>
      </c>
      <c r="Q747" t="s">
        <v>38</v>
      </c>
      <c r="R747" t="b">
        <v>0</v>
      </c>
    </row>
    <row r="748" spans="1:18" x14ac:dyDescent="0.3">
      <c r="A748">
        <v>0</v>
      </c>
      <c r="B748" t="s">
        <v>26</v>
      </c>
      <c r="C748">
        <v>3</v>
      </c>
      <c r="D748" t="s">
        <v>32</v>
      </c>
      <c r="E748" t="s">
        <v>13</v>
      </c>
      <c r="F748" t="s">
        <v>36</v>
      </c>
      <c r="G748">
        <v>16</v>
      </c>
      <c r="H748">
        <v>1</v>
      </c>
      <c r="I748">
        <v>1</v>
      </c>
      <c r="J748">
        <v>20.25</v>
      </c>
      <c r="K748" t="s">
        <v>14</v>
      </c>
      <c r="L748" t="s">
        <v>15</v>
      </c>
      <c r="M748" t="s">
        <v>37</v>
      </c>
      <c r="N748" t="b">
        <v>1</v>
      </c>
      <c r="O748" t="s">
        <v>16</v>
      </c>
      <c r="P748" t="s">
        <v>17</v>
      </c>
      <c r="Q748" t="s">
        <v>38</v>
      </c>
      <c r="R748" t="b">
        <v>0</v>
      </c>
    </row>
    <row r="749" spans="1:18" x14ac:dyDescent="0.3">
      <c r="A749">
        <v>1</v>
      </c>
      <c r="B749" t="s">
        <v>27</v>
      </c>
      <c r="C749">
        <v>2</v>
      </c>
      <c r="D749" t="s">
        <v>31</v>
      </c>
      <c r="E749" t="s">
        <v>18</v>
      </c>
      <c r="F749" t="s">
        <v>39</v>
      </c>
      <c r="G749">
        <v>30</v>
      </c>
      <c r="H749">
        <v>0</v>
      </c>
      <c r="I749">
        <v>0</v>
      </c>
      <c r="J749">
        <v>13</v>
      </c>
      <c r="K749" t="s">
        <v>25</v>
      </c>
      <c r="L749" t="s">
        <v>20</v>
      </c>
      <c r="M749" t="s">
        <v>40</v>
      </c>
      <c r="N749" t="b">
        <v>0</v>
      </c>
      <c r="O749" t="s">
        <v>16</v>
      </c>
      <c r="P749" t="s">
        <v>22</v>
      </c>
      <c r="Q749" t="s">
        <v>41</v>
      </c>
      <c r="R749" t="b">
        <v>1</v>
      </c>
    </row>
    <row r="750" spans="1:18" x14ac:dyDescent="0.3">
      <c r="A750">
        <v>0</v>
      </c>
      <c r="B750" t="s">
        <v>26</v>
      </c>
      <c r="C750">
        <v>1</v>
      </c>
      <c r="D750" t="s">
        <v>30</v>
      </c>
      <c r="E750" t="s">
        <v>13</v>
      </c>
      <c r="F750" t="s">
        <v>36</v>
      </c>
      <c r="G750">
        <v>19</v>
      </c>
      <c r="H750">
        <v>1</v>
      </c>
      <c r="I750">
        <v>0</v>
      </c>
      <c r="J750">
        <v>53.1</v>
      </c>
      <c r="K750" t="s">
        <v>19</v>
      </c>
      <c r="L750" t="s">
        <v>15</v>
      </c>
      <c r="M750" t="s">
        <v>37</v>
      </c>
      <c r="N750" t="b">
        <v>1</v>
      </c>
      <c r="O750" t="s">
        <v>16</v>
      </c>
      <c r="P750" t="s">
        <v>17</v>
      </c>
      <c r="Q750" t="s">
        <v>38</v>
      </c>
      <c r="R750" t="b">
        <v>0</v>
      </c>
    </row>
    <row r="751" spans="1:18" x14ac:dyDescent="0.3">
      <c r="A751">
        <v>0</v>
      </c>
      <c r="B751" t="s">
        <v>26</v>
      </c>
      <c r="C751">
        <v>3</v>
      </c>
      <c r="D751" t="s">
        <v>32</v>
      </c>
      <c r="E751" t="s">
        <v>13</v>
      </c>
      <c r="F751" t="s">
        <v>36</v>
      </c>
      <c r="G751">
        <v>31</v>
      </c>
      <c r="H751">
        <v>0</v>
      </c>
      <c r="I751">
        <v>0</v>
      </c>
      <c r="J751">
        <v>7.75</v>
      </c>
      <c r="K751" t="s">
        <v>14</v>
      </c>
      <c r="L751" t="s">
        <v>15</v>
      </c>
      <c r="M751" t="s">
        <v>37</v>
      </c>
      <c r="N751" t="b">
        <v>1</v>
      </c>
      <c r="O751" t="s">
        <v>23</v>
      </c>
      <c r="P751" t="s">
        <v>17</v>
      </c>
      <c r="Q751" t="s">
        <v>38</v>
      </c>
      <c r="R751" t="b">
        <v>1</v>
      </c>
    </row>
    <row r="752" spans="1:18" x14ac:dyDescent="0.3">
      <c r="A752">
        <v>1</v>
      </c>
      <c r="B752" t="s">
        <v>27</v>
      </c>
      <c r="C752">
        <v>2</v>
      </c>
      <c r="D752" t="s">
        <v>31</v>
      </c>
      <c r="E752" t="s">
        <v>18</v>
      </c>
      <c r="F752" t="s">
        <v>39</v>
      </c>
      <c r="G752">
        <v>4</v>
      </c>
      <c r="H752">
        <v>1</v>
      </c>
      <c r="I752">
        <v>1</v>
      </c>
      <c r="J752">
        <v>23</v>
      </c>
      <c r="K752" t="s">
        <v>25</v>
      </c>
      <c r="L752" t="s">
        <v>24</v>
      </c>
      <c r="M752" t="s">
        <v>42</v>
      </c>
      <c r="N752" t="b">
        <v>0</v>
      </c>
      <c r="O752" t="s">
        <v>16</v>
      </c>
      <c r="P752" t="s">
        <v>22</v>
      </c>
      <c r="Q752" t="s">
        <v>41</v>
      </c>
      <c r="R752" t="b">
        <v>0</v>
      </c>
    </row>
    <row r="753" spans="1:18" x14ac:dyDescent="0.3">
      <c r="A753">
        <v>1</v>
      </c>
      <c r="B753" t="s">
        <v>27</v>
      </c>
      <c r="C753">
        <v>3</v>
      </c>
      <c r="D753" t="s">
        <v>32</v>
      </c>
      <c r="E753" t="s">
        <v>13</v>
      </c>
      <c r="F753" t="s">
        <v>36</v>
      </c>
      <c r="G753">
        <v>6</v>
      </c>
      <c r="H753">
        <v>0</v>
      </c>
      <c r="I753">
        <v>1</v>
      </c>
      <c r="J753">
        <v>12.475</v>
      </c>
      <c r="K753" t="s">
        <v>14</v>
      </c>
      <c r="L753" t="s">
        <v>24</v>
      </c>
      <c r="M753" t="s">
        <v>42</v>
      </c>
      <c r="N753" t="b">
        <v>0</v>
      </c>
      <c r="O753" t="s">
        <v>16</v>
      </c>
      <c r="P753" t="s">
        <v>22</v>
      </c>
      <c r="Q753" t="s">
        <v>41</v>
      </c>
      <c r="R753" t="b">
        <v>0</v>
      </c>
    </row>
    <row r="754" spans="1:18" x14ac:dyDescent="0.3">
      <c r="A754">
        <v>0</v>
      </c>
      <c r="B754" t="s">
        <v>26</v>
      </c>
      <c r="C754">
        <v>3</v>
      </c>
      <c r="D754" t="s">
        <v>32</v>
      </c>
      <c r="E754" t="s">
        <v>13</v>
      </c>
      <c r="F754" t="s">
        <v>36</v>
      </c>
      <c r="G754">
        <v>33</v>
      </c>
      <c r="H754">
        <v>0</v>
      </c>
      <c r="I754">
        <v>0</v>
      </c>
      <c r="J754">
        <v>9.5</v>
      </c>
      <c r="K754" t="s">
        <v>14</v>
      </c>
      <c r="L754" t="s">
        <v>15</v>
      </c>
      <c r="M754" t="s">
        <v>37</v>
      </c>
      <c r="N754" t="b">
        <v>1</v>
      </c>
      <c r="O754" t="s">
        <v>16</v>
      </c>
      <c r="P754" t="s">
        <v>17</v>
      </c>
      <c r="Q754" t="s">
        <v>38</v>
      </c>
      <c r="R754" t="b">
        <v>1</v>
      </c>
    </row>
    <row r="755" spans="1:18" x14ac:dyDescent="0.3">
      <c r="A755">
        <v>0</v>
      </c>
      <c r="B755" t="s">
        <v>26</v>
      </c>
      <c r="C755">
        <v>3</v>
      </c>
      <c r="D755" t="s">
        <v>32</v>
      </c>
      <c r="E755" t="s">
        <v>13</v>
      </c>
      <c r="F755" t="s">
        <v>36</v>
      </c>
      <c r="G755">
        <v>23</v>
      </c>
      <c r="H755">
        <v>0</v>
      </c>
      <c r="I755">
        <v>0</v>
      </c>
      <c r="J755">
        <v>7.8958000000000004</v>
      </c>
      <c r="K755" t="s">
        <v>14</v>
      </c>
      <c r="L755" t="s">
        <v>15</v>
      </c>
      <c r="M755" t="s">
        <v>37</v>
      </c>
      <c r="N755" t="b">
        <v>1</v>
      </c>
      <c r="O755" t="s">
        <v>16</v>
      </c>
      <c r="P755" t="s">
        <v>17</v>
      </c>
      <c r="Q755" t="s">
        <v>38</v>
      </c>
      <c r="R755" t="b">
        <v>1</v>
      </c>
    </row>
    <row r="756" spans="1:18" x14ac:dyDescent="0.3">
      <c r="A756">
        <v>1</v>
      </c>
      <c r="B756" t="s">
        <v>27</v>
      </c>
      <c r="C756">
        <v>2</v>
      </c>
      <c r="D756" t="s">
        <v>31</v>
      </c>
      <c r="E756" t="s">
        <v>18</v>
      </c>
      <c r="F756" t="s">
        <v>39</v>
      </c>
      <c r="G756">
        <v>48</v>
      </c>
      <c r="H756">
        <v>1</v>
      </c>
      <c r="I756">
        <v>2</v>
      </c>
      <c r="J756">
        <v>65</v>
      </c>
      <c r="K756" t="s">
        <v>25</v>
      </c>
      <c r="L756" t="s">
        <v>20</v>
      </c>
      <c r="M756" t="s">
        <v>40</v>
      </c>
      <c r="N756" t="b">
        <v>0</v>
      </c>
      <c r="O756" t="s">
        <v>16</v>
      </c>
      <c r="P756" t="s">
        <v>22</v>
      </c>
      <c r="Q756" t="s">
        <v>41</v>
      </c>
      <c r="R756" t="b">
        <v>0</v>
      </c>
    </row>
    <row r="757" spans="1:18" x14ac:dyDescent="0.3">
      <c r="A757">
        <v>1</v>
      </c>
      <c r="B757" t="s">
        <v>27</v>
      </c>
      <c r="C757">
        <v>2</v>
      </c>
      <c r="D757" t="s">
        <v>31</v>
      </c>
      <c r="E757" t="s">
        <v>13</v>
      </c>
      <c r="F757" t="s">
        <v>36</v>
      </c>
      <c r="G757">
        <v>0.67</v>
      </c>
      <c r="H757">
        <v>1</v>
      </c>
      <c r="I757">
        <v>1</v>
      </c>
      <c r="J757">
        <v>14.5</v>
      </c>
      <c r="K757" t="s">
        <v>25</v>
      </c>
      <c r="L757" t="s">
        <v>24</v>
      </c>
      <c r="M757" t="s">
        <v>42</v>
      </c>
      <c r="N757" t="b">
        <v>0</v>
      </c>
      <c r="O757" t="s">
        <v>16</v>
      </c>
      <c r="P757" t="s">
        <v>22</v>
      </c>
      <c r="Q757" t="s">
        <v>41</v>
      </c>
      <c r="R757" t="b">
        <v>0</v>
      </c>
    </row>
    <row r="758" spans="1:18" x14ac:dyDescent="0.3">
      <c r="A758">
        <v>0</v>
      </c>
      <c r="B758" t="s">
        <v>26</v>
      </c>
      <c r="C758">
        <v>3</v>
      </c>
      <c r="D758" t="s">
        <v>32</v>
      </c>
      <c r="E758" t="s">
        <v>13</v>
      </c>
      <c r="F758" t="s">
        <v>36</v>
      </c>
      <c r="G758">
        <v>28</v>
      </c>
      <c r="H758">
        <v>0</v>
      </c>
      <c r="I758">
        <v>0</v>
      </c>
      <c r="J758">
        <v>7.7957999999999998</v>
      </c>
      <c r="K758" t="s">
        <v>14</v>
      </c>
      <c r="L758" t="s">
        <v>15</v>
      </c>
      <c r="M758" t="s">
        <v>37</v>
      </c>
      <c r="N758" t="b">
        <v>1</v>
      </c>
      <c r="O758" t="s">
        <v>16</v>
      </c>
      <c r="P758" t="s">
        <v>17</v>
      </c>
      <c r="Q758" t="s">
        <v>38</v>
      </c>
      <c r="R758" t="b">
        <v>1</v>
      </c>
    </row>
    <row r="759" spans="1:18" x14ac:dyDescent="0.3">
      <c r="A759">
        <v>0</v>
      </c>
      <c r="B759" t="s">
        <v>26</v>
      </c>
      <c r="C759">
        <v>2</v>
      </c>
      <c r="D759" t="s">
        <v>31</v>
      </c>
      <c r="E759" t="s">
        <v>13</v>
      </c>
      <c r="F759" t="s">
        <v>36</v>
      </c>
      <c r="G759">
        <v>18</v>
      </c>
      <c r="H759">
        <v>0</v>
      </c>
      <c r="I759">
        <v>0</v>
      </c>
      <c r="J759">
        <v>11.5</v>
      </c>
      <c r="K759" t="s">
        <v>25</v>
      </c>
      <c r="L759" t="s">
        <v>15</v>
      </c>
      <c r="M759" t="s">
        <v>37</v>
      </c>
      <c r="N759" t="b">
        <v>1</v>
      </c>
      <c r="O759" t="s">
        <v>16</v>
      </c>
      <c r="P759" t="s">
        <v>17</v>
      </c>
      <c r="Q759" t="s">
        <v>38</v>
      </c>
      <c r="R759" t="b">
        <v>1</v>
      </c>
    </row>
    <row r="760" spans="1:18" x14ac:dyDescent="0.3">
      <c r="A760">
        <v>0</v>
      </c>
      <c r="B760" t="s">
        <v>26</v>
      </c>
      <c r="C760">
        <v>3</v>
      </c>
      <c r="D760" t="s">
        <v>32</v>
      </c>
      <c r="E760" t="s">
        <v>13</v>
      </c>
      <c r="F760" t="s">
        <v>36</v>
      </c>
      <c r="G760">
        <v>34</v>
      </c>
      <c r="H760">
        <v>0</v>
      </c>
      <c r="I760">
        <v>0</v>
      </c>
      <c r="J760">
        <v>8.0500000000000007</v>
      </c>
      <c r="K760" t="s">
        <v>14</v>
      </c>
      <c r="L760" t="s">
        <v>15</v>
      </c>
      <c r="M760" t="s">
        <v>37</v>
      </c>
      <c r="N760" t="b">
        <v>1</v>
      </c>
      <c r="O760" t="s">
        <v>16</v>
      </c>
      <c r="P760" t="s">
        <v>17</v>
      </c>
      <c r="Q760" t="s">
        <v>38</v>
      </c>
      <c r="R760" t="b">
        <v>1</v>
      </c>
    </row>
    <row r="761" spans="1:18" x14ac:dyDescent="0.3">
      <c r="A761">
        <v>1</v>
      </c>
      <c r="B761" t="s">
        <v>27</v>
      </c>
      <c r="C761">
        <v>1</v>
      </c>
      <c r="D761" t="s">
        <v>30</v>
      </c>
      <c r="E761" t="s">
        <v>18</v>
      </c>
      <c r="F761" t="s">
        <v>39</v>
      </c>
      <c r="G761">
        <v>33</v>
      </c>
      <c r="H761">
        <v>0</v>
      </c>
      <c r="I761">
        <v>0</v>
      </c>
      <c r="J761">
        <v>86.5</v>
      </c>
      <c r="K761" t="s">
        <v>19</v>
      </c>
      <c r="L761" t="s">
        <v>20</v>
      </c>
      <c r="M761" t="s">
        <v>40</v>
      </c>
      <c r="N761" t="b">
        <v>0</v>
      </c>
      <c r="O761" t="s">
        <v>16</v>
      </c>
      <c r="P761" t="s">
        <v>22</v>
      </c>
      <c r="Q761" t="s">
        <v>41</v>
      </c>
      <c r="R761" t="b">
        <v>1</v>
      </c>
    </row>
    <row r="762" spans="1:18" x14ac:dyDescent="0.3">
      <c r="A762">
        <v>0</v>
      </c>
      <c r="B762" t="s">
        <v>26</v>
      </c>
      <c r="C762">
        <v>3</v>
      </c>
      <c r="D762" t="s">
        <v>32</v>
      </c>
      <c r="E762" t="s">
        <v>13</v>
      </c>
      <c r="F762" t="s">
        <v>36</v>
      </c>
      <c r="G762">
        <v>30</v>
      </c>
      <c r="H762">
        <v>0</v>
      </c>
      <c r="I762">
        <v>0</v>
      </c>
      <c r="J762">
        <v>14.5</v>
      </c>
      <c r="K762" t="s">
        <v>14</v>
      </c>
      <c r="L762" t="s">
        <v>15</v>
      </c>
      <c r="M762" t="s">
        <v>37</v>
      </c>
      <c r="N762" t="b">
        <v>1</v>
      </c>
      <c r="O762" t="s">
        <v>16</v>
      </c>
      <c r="P762" t="s">
        <v>17</v>
      </c>
      <c r="Q762" t="s">
        <v>38</v>
      </c>
      <c r="R762" t="b">
        <v>1</v>
      </c>
    </row>
    <row r="763" spans="1:18" x14ac:dyDescent="0.3">
      <c r="A763">
        <v>0</v>
      </c>
      <c r="B763" t="s">
        <v>26</v>
      </c>
      <c r="C763">
        <v>3</v>
      </c>
      <c r="D763" t="s">
        <v>32</v>
      </c>
      <c r="E763" t="s">
        <v>13</v>
      </c>
      <c r="F763" t="s">
        <v>36</v>
      </c>
      <c r="G763">
        <v>41</v>
      </c>
      <c r="H763">
        <v>0</v>
      </c>
      <c r="I763">
        <v>0</v>
      </c>
      <c r="J763">
        <v>7.125</v>
      </c>
      <c r="K763" t="s">
        <v>14</v>
      </c>
      <c r="L763" t="s">
        <v>15</v>
      </c>
      <c r="M763" t="s">
        <v>37</v>
      </c>
      <c r="N763" t="b">
        <v>1</v>
      </c>
      <c r="O763" t="s">
        <v>16</v>
      </c>
      <c r="P763" t="s">
        <v>17</v>
      </c>
      <c r="Q763" t="s">
        <v>38</v>
      </c>
      <c r="R763" t="b">
        <v>1</v>
      </c>
    </row>
    <row r="764" spans="1:18" x14ac:dyDescent="0.3">
      <c r="A764">
        <v>1</v>
      </c>
      <c r="B764" t="s">
        <v>27</v>
      </c>
      <c r="C764">
        <v>3</v>
      </c>
      <c r="D764" t="s">
        <v>32</v>
      </c>
      <c r="E764" t="s">
        <v>13</v>
      </c>
      <c r="F764" t="s">
        <v>36</v>
      </c>
      <c r="G764">
        <v>20</v>
      </c>
      <c r="H764">
        <v>0</v>
      </c>
      <c r="I764">
        <v>0</v>
      </c>
      <c r="J764">
        <v>7.2291999999999996</v>
      </c>
      <c r="K764" t="s">
        <v>14</v>
      </c>
      <c r="L764" t="s">
        <v>15</v>
      </c>
      <c r="M764" t="s">
        <v>37</v>
      </c>
      <c r="N764" t="b">
        <v>1</v>
      </c>
      <c r="O764" t="s">
        <v>21</v>
      </c>
      <c r="P764" t="s">
        <v>22</v>
      </c>
      <c r="Q764" t="s">
        <v>41</v>
      </c>
      <c r="R764" t="b">
        <v>1</v>
      </c>
    </row>
    <row r="765" spans="1:18" x14ac:dyDescent="0.3">
      <c r="A765">
        <v>1</v>
      </c>
      <c r="B765" t="s">
        <v>27</v>
      </c>
      <c r="C765">
        <v>1</v>
      </c>
      <c r="D765" t="s">
        <v>30</v>
      </c>
      <c r="E765" t="s">
        <v>18</v>
      </c>
      <c r="F765" t="s">
        <v>39</v>
      </c>
      <c r="G765">
        <v>36</v>
      </c>
      <c r="H765">
        <v>1</v>
      </c>
      <c r="I765">
        <v>2</v>
      </c>
      <c r="J765">
        <v>120</v>
      </c>
      <c r="K765" t="s">
        <v>19</v>
      </c>
      <c r="L765" t="s">
        <v>20</v>
      </c>
      <c r="M765" t="s">
        <v>40</v>
      </c>
      <c r="N765" t="b">
        <v>0</v>
      </c>
      <c r="O765" t="s">
        <v>16</v>
      </c>
      <c r="P765" t="s">
        <v>22</v>
      </c>
      <c r="Q765" t="s">
        <v>41</v>
      </c>
      <c r="R765" t="b">
        <v>0</v>
      </c>
    </row>
    <row r="766" spans="1:18" x14ac:dyDescent="0.3">
      <c r="A766">
        <v>0</v>
      </c>
      <c r="B766" t="s">
        <v>26</v>
      </c>
      <c r="C766">
        <v>3</v>
      </c>
      <c r="D766" t="s">
        <v>32</v>
      </c>
      <c r="E766" t="s">
        <v>13</v>
      </c>
      <c r="F766" t="s">
        <v>36</v>
      </c>
      <c r="G766">
        <v>16</v>
      </c>
      <c r="H766">
        <v>0</v>
      </c>
      <c r="I766">
        <v>0</v>
      </c>
      <c r="J766">
        <v>7.7750000000000004</v>
      </c>
      <c r="K766" t="s">
        <v>14</v>
      </c>
      <c r="L766" t="s">
        <v>15</v>
      </c>
      <c r="M766" t="s">
        <v>37</v>
      </c>
      <c r="N766" t="b">
        <v>1</v>
      </c>
      <c r="O766" t="s">
        <v>16</v>
      </c>
      <c r="P766" t="s">
        <v>17</v>
      </c>
      <c r="Q766" t="s">
        <v>38</v>
      </c>
      <c r="R766" t="b">
        <v>1</v>
      </c>
    </row>
    <row r="767" spans="1:18" x14ac:dyDescent="0.3">
      <c r="A767">
        <v>1</v>
      </c>
      <c r="B767" t="s">
        <v>27</v>
      </c>
      <c r="C767">
        <v>1</v>
      </c>
      <c r="D767" t="s">
        <v>30</v>
      </c>
      <c r="E767" t="s">
        <v>18</v>
      </c>
      <c r="F767" t="s">
        <v>39</v>
      </c>
      <c r="G767">
        <v>51</v>
      </c>
      <c r="H767">
        <v>1</v>
      </c>
      <c r="I767">
        <v>0</v>
      </c>
      <c r="J767">
        <v>77.958299999999994</v>
      </c>
      <c r="K767" t="s">
        <v>19</v>
      </c>
      <c r="L767" t="s">
        <v>20</v>
      </c>
      <c r="M767" t="s">
        <v>40</v>
      </c>
      <c r="N767" t="b">
        <v>0</v>
      </c>
      <c r="O767" t="s">
        <v>16</v>
      </c>
      <c r="P767" t="s">
        <v>22</v>
      </c>
      <c r="Q767" t="s">
        <v>41</v>
      </c>
      <c r="R767" t="b">
        <v>0</v>
      </c>
    </row>
    <row r="768" spans="1:18" x14ac:dyDescent="0.3">
      <c r="A768">
        <v>0</v>
      </c>
      <c r="B768" t="s">
        <v>26</v>
      </c>
      <c r="C768">
        <v>1</v>
      </c>
      <c r="D768" t="s">
        <v>30</v>
      </c>
      <c r="E768" t="s">
        <v>13</v>
      </c>
      <c r="F768" t="s">
        <v>36</v>
      </c>
      <c r="G768">
        <v>30</v>
      </c>
      <c r="H768">
        <v>0</v>
      </c>
      <c r="I768">
        <v>0</v>
      </c>
      <c r="J768">
        <v>39.6</v>
      </c>
      <c r="K768" t="s">
        <v>19</v>
      </c>
      <c r="L768" t="s">
        <v>15</v>
      </c>
      <c r="M768" t="s">
        <v>37</v>
      </c>
      <c r="N768" t="b">
        <v>1</v>
      </c>
      <c r="O768" t="s">
        <v>21</v>
      </c>
      <c r="P768" t="s">
        <v>17</v>
      </c>
      <c r="Q768" t="s">
        <v>38</v>
      </c>
      <c r="R768" t="b">
        <v>1</v>
      </c>
    </row>
    <row r="769" spans="1:18" x14ac:dyDescent="0.3">
      <c r="A769">
        <v>0</v>
      </c>
      <c r="B769" t="s">
        <v>26</v>
      </c>
      <c r="C769">
        <v>3</v>
      </c>
      <c r="D769" t="s">
        <v>32</v>
      </c>
      <c r="E769" t="s">
        <v>18</v>
      </c>
      <c r="F769" t="s">
        <v>39</v>
      </c>
      <c r="G769">
        <v>30.5</v>
      </c>
      <c r="H769">
        <v>0</v>
      </c>
      <c r="I769">
        <v>0</v>
      </c>
      <c r="J769">
        <v>7.75</v>
      </c>
      <c r="K769" t="s">
        <v>14</v>
      </c>
      <c r="L769" t="s">
        <v>20</v>
      </c>
      <c r="M769" t="s">
        <v>40</v>
      </c>
      <c r="N769" t="b">
        <v>0</v>
      </c>
      <c r="O769" t="s">
        <v>23</v>
      </c>
      <c r="P769" t="s">
        <v>17</v>
      </c>
      <c r="Q769" t="s">
        <v>38</v>
      </c>
      <c r="R769" t="b">
        <v>1</v>
      </c>
    </row>
    <row r="770" spans="1:18" x14ac:dyDescent="0.3">
      <c r="A770">
        <v>0</v>
      </c>
      <c r="B770" t="s">
        <v>26</v>
      </c>
      <c r="C770">
        <v>3</v>
      </c>
      <c r="D770" t="s">
        <v>32</v>
      </c>
      <c r="E770" t="s">
        <v>13</v>
      </c>
      <c r="F770" t="s">
        <v>36</v>
      </c>
      <c r="G770">
        <v>30</v>
      </c>
      <c r="H770">
        <v>1</v>
      </c>
      <c r="I770">
        <v>0</v>
      </c>
      <c r="J770">
        <v>24.15</v>
      </c>
      <c r="K770" t="s">
        <v>14</v>
      </c>
      <c r="L770" t="s">
        <v>15</v>
      </c>
      <c r="M770" t="s">
        <v>37</v>
      </c>
      <c r="N770" t="b">
        <v>1</v>
      </c>
      <c r="O770" t="s">
        <v>23</v>
      </c>
      <c r="P770" t="s">
        <v>17</v>
      </c>
      <c r="Q770" t="s">
        <v>38</v>
      </c>
      <c r="R770" t="b">
        <v>0</v>
      </c>
    </row>
    <row r="771" spans="1:18" x14ac:dyDescent="0.3">
      <c r="A771">
        <v>0</v>
      </c>
      <c r="B771" t="s">
        <v>26</v>
      </c>
      <c r="C771">
        <v>3</v>
      </c>
      <c r="D771" t="s">
        <v>32</v>
      </c>
      <c r="E771" t="s">
        <v>13</v>
      </c>
      <c r="F771" t="s">
        <v>36</v>
      </c>
      <c r="G771">
        <v>32</v>
      </c>
      <c r="H771">
        <v>0</v>
      </c>
      <c r="I771">
        <v>0</v>
      </c>
      <c r="J771">
        <v>8.3625000000000007</v>
      </c>
      <c r="K771" t="s">
        <v>14</v>
      </c>
      <c r="L771" t="s">
        <v>15</v>
      </c>
      <c r="M771" t="s">
        <v>37</v>
      </c>
      <c r="N771" t="b">
        <v>1</v>
      </c>
      <c r="O771" t="s">
        <v>16</v>
      </c>
      <c r="P771" t="s">
        <v>17</v>
      </c>
      <c r="Q771" t="s">
        <v>38</v>
      </c>
      <c r="R771" t="b">
        <v>1</v>
      </c>
    </row>
    <row r="772" spans="1:18" x14ac:dyDescent="0.3">
      <c r="A772">
        <v>0</v>
      </c>
      <c r="B772" t="s">
        <v>26</v>
      </c>
      <c r="C772">
        <v>3</v>
      </c>
      <c r="D772" t="s">
        <v>32</v>
      </c>
      <c r="E772" t="s">
        <v>13</v>
      </c>
      <c r="F772" t="s">
        <v>36</v>
      </c>
      <c r="G772">
        <v>24</v>
      </c>
      <c r="H772">
        <v>0</v>
      </c>
      <c r="I772">
        <v>0</v>
      </c>
      <c r="J772">
        <v>9.5</v>
      </c>
      <c r="K772" t="s">
        <v>14</v>
      </c>
      <c r="L772" t="s">
        <v>15</v>
      </c>
      <c r="M772" t="s">
        <v>37</v>
      </c>
      <c r="N772" t="b">
        <v>1</v>
      </c>
      <c r="O772" t="s">
        <v>16</v>
      </c>
      <c r="P772" t="s">
        <v>17</v>
      </c>
      <c r="Q772" t="s">
        <v>38</v>
      </c>
      <c r="R772" t="b">
        <v>1</v>
      </c>
    </row>
    <row r="773" spans="1:18" x14ac:dyDescent="0.3">
      <c r="A773">
        <v>0</v>
      </c>
      <c r="B773" t="s">
        <v>26</v>
      </c>
      <c r="C773">
        <v>3</v>
      </c>
      <c r="D773" t="s">
        <v>32</v>
      </c>
      <c r="E773" t="s">
        <v>13</v>
      </c>
      <c r="F773" t="s">
        <v>36</v>
      </c>
      <c r="G773">
        <v>48</v>
      </c>
      <c r="H773">
        <v>0</v>
      </c>
      <c r="I773">
        <v>0</v>
      </c>
      <c r="J773">
        <v>7.8541999999999996</v>
      </c>
      <c r="K773" t="s">
        <v>14</v>
      </c>
      <c r="L773" t="s">
        <v>15</v>
      </c>
      <c r="M773" t="s">
        <v>37</v>
      </c>
      <c r="N773" t="b">
        <v>1</v>
      </c>
      <c r="O773" t="s">
        <v>16</v>
      </c>
      <c r="P773" t="s">
        <v>17</v>
      </c>
      <c r="Q773" t="s">
        <v>38</v>
      </c>
      <c r="R773" t="b">
        <v>1</v>
      </c>
    </row>
    <row r="774" spans="1:18" x14ac:dyDescent="0.3">
      <c r="A774">
        <v>0</v>
      </c>
      <c r="B774" t="s">
        <v>26</v>
      </c>
      <c r="C774">
        <v>2</v>
      </c>
      <c r="D774" t="s">
        <v>31</v>
      </c>
      <c r="E774" t="s">
        <v>18</v>
      </c>
      <c r="F774" t="s">
        <v>39</v>
      </c>
      <c r="G774">
        <v>57</v>
      </c>
      <c r="H774">
        <v>0</v>
      </c>
      <c r="I774">
        <v>0</v>
      </c>
      <c r="J774">
        <v>10.5</v>
      </c>
      <c r="K774" t="s">
        <v>25</v>
      </c>
      <c r="L774" t="s">
        <v>20</v>
      </c>
      <c r="M774" t="s">
        <v>40</v>
      </c>
      <c r="N774" t="b">
        <v>0</v>
      </c>
      <c r="O774" t="s">
        <v>16</v>
      </c>
      <c r="P774" t="s">
        <v>17</v>
      </c>
      <c r="Q774" t="s">
        <v>38</v>
      </c>
      <c r="R774" t="b">
        <v>1</v>
      </c>
    </row>
    <row r="775" spans="1:18" x14ac:dyDescent="0.3">
      <c r="A775">
        <v>0</v>
      </c>
      <c r="B775" t="s">
        <v>26</v>
      </c>
      <c r="C775">
        <v>3</v>
      </c>
      <c r="D775" t="s">
        <v>32</v>
      </c>
      <c r="E775" t="s">
        <v>13</v>
      </c>
      <c r="F775" t="s">
        <v>36</v>
      </c>
      <c r="G775">
        <v>30</v>
      </c>
      <c r="H775">
        <v>0</v>
      </c>
      <c r="I775">
        <v>0</v>
      </c>
      <c r="J775">
        <v>7.2249999999999996</v>
      </c>
      <c r="K775" t="s">
        <v>14</v>
      </c>
      <c r="L775" t="s">
        <v>15</v>
      </c>
      <c r="M775" t="s">
        <v>37</v>
      </c>
      <c r="N775" t="b">
        <v>1</v>
      </c>
      <c r="O775" t="s">
        <v>21</v>
      </c>
      <c r="P775" t="s">
        <v>17</v>
      </c>
      <c r="Q775" t="s">
        <v>38</v>
      </c>
      <c r="R775" t="b">
        <v>1</v>
      </c>
    </row>
    <row r="776" spans="1:18" x14ac:dyDescent="0.3">
      <c r="A776">
        <v>1</v>
      </c>
      <c r="B776" t="s">
        <v>27</v>
      </c>
      <c r="C776">
        <v>2</v>
      </c>
      <c r="D776" t="s">
        <v>31</v>
      </c>
      <c r="E776" t="s">
        <v>18</v>
      </c>
      <c r="F776" t="s">
        <v>39</v>
      </c>
      <c r="G776">
        <v>54</v>
      </c>
      <c r="H776">
        <v>1</v>
      </c>
      <c r="I776">
        <v>3</v>
      </c>
      <c r="J776">
        <v>23</v>
      </c>
      <c r="K776" t="s">
        <v>25</v>
      </c>
      <c r="L776" t="s">
        <v>20</v>
      </c>
      <c r="M776" t="s">
        <v>40</v>
      </c>
      <c r="N776" t="b">
        <v>0</v>
      </c>
      <c r="O776" t="s">
        <v>16</v>
      </c>
      <c r="P776" t="s">
        <v>22</v>
      </c>
      <c r="Q776" t="s">
        <v>41</v>
      </c>
      <c r="R776" t="b">
        <v>0</v>
      </c>
    </row>
    <row r="777" spans="1:18" x14ac:dyDescent="0.3">
      <c r="A777">
        <v>0</v>
      </c>
      <c r="B777" t="s">
        <v>26</v>
      </c>
      <c r="C777">
        <v>3</v>
      </c>
      <c r="D777" t="s">
        <v>32</v>
      </c>
      <c r="E777" t="s">
        <v>13</v>
      </c>
      <c r="F777" t="s">
        <v>36</v>
      </c>
      <c r="G777">
        <v>18</v>
      </c>
      <c r="H777">
        <v>0</v>
      </c>
      <c r="I777">
        <v>0</v>
      </c>
      <c r="J777">
        <v>7.75</v>
      </c>
      <c r="K777" t="s">
        <v>14</v>
      </c>
      <c r="L777" t="s">
        <v>15</v>
      </c>
      <c r="M777" t="s">
        <v>37</v>
      </c>
      <c r="N777" t="b">
        <v>1</v>
      </c>
      <c r="O777" t="s">
        <v>16</v>
      </c>
      <c r="P777" t="s">
        <v>17</v>
      </c>
      <c r="Q777" t="s">
        <v>38</v>
      </c>
      <c r="R777" t="b">
        <v>1</v>
      </c>
    </row>
    <row r="778" spans="1:18" x14ac:dyDescent="0.3">
      <c r="A778">
        <v>0</v>
      </c>
      <c r="B778" t="s">
        <v>26</v>
      </c>
      <c r="C778">
        <v>3</v>
      </c>
      <c r="D778" t="s">
        <v>32</v>
      </c>
      <c r="E778" t="s">
        <v>13</v>
      </c>
      <c r="F778" t="s">
        <v>36</v>
      </c>
      <c r="G778">
        <v>30</v>
      </c>
      <c r="H778">
        <v>0</v>
      </c>
      <c r="I778">
        <v>0</v>
      </c>
      <c r="J778">
        <v>7.75</v>
      </c>
      <c r="K778" t="s">
        <v>14</v>
      </c>
      <c r="L778" t="s">
        <v>15</v>
      </c>
      <c r="M778" t="s">
        <v>37</v>
      </c>
      <c r="N778" t="b">
        <v>1</v>
      </c>
      <c r="O778" t="s">
        <v>23</v>
      </c>
      <c r="P778" t="s">
        <v>17</v>
      </c>
      <c r="Q778" t="s">
        <v>38</v>
      </c>
      <c r="R778" t="b">
        <v>1</v>
      </c>
    </row>
    <row r="779" spans="1:18" x14ac:dyDescent="0.3">
      <c r="A779">
        <v>1</v>
      </c>
      <c r="B779" t="s">
        <v>27</v>
      </c>
      <c r="C779">
        <v>3</v>
      </c>
      <c r="D779" t="s">
        <v>32</v>
      </c>
      <c r="E779" t="s">
        <v>18</v>
      </c>
      <c r="F779" t="s">
        <v>39</v>
      </c>
      <c r="G779">
        <v>5</v>
      </c>
      <c r="H779">
        <v>0</v>
      </c>
      <c r="I779">
        <v>0</v>
      </c>
      <c r="J779">
        <v>12.475</v>
      </c>
      <c r="K779" t="s">
        <v>14</v>
      </c>
      <c r="L779" t="s">
        <v>24</v>
      </c>
      <c r="M779" t="s">
        <v>42</v>
      </c>
      <c r="N779" t="b">
        <v>0</v>
      </c>
      <c r="O779" t="s">
        <v>16</v>
      </c>
      <c r="P779" t="s">
        <v>22</v>
      </c>
      <c r="Q779" t="s">
        <v>41</v>
      </c>
      <c r="R779" t="b">
        <v>1</v>
      </c>
    </row>
    <row r="780" spans="1:18" x14ac:dyDescent="0.3">
      <c r="A780">
        <v>0</v>
      </c>
      <c r="B780" t="s">
        <v>26</v>
      </c>
      <c r="C780">
        <v>3</v>
      </c>
      <c r="D780" t="s">
        <v>32</v>
      </c>
      <c r="E780" t="s">
        <v>13</v>
      </c>
      <c r="F780" t="s">
        <v>36</v>
      </c>
      <c r="G780">
        <v>30</v>
      </c>
      <c r="H780">
        <v>0</v>
      </c>
      <c r="I780">
        <v>0</v>
      </c>
      <c r="J780">
        <v>7.7374999999999998</v>
      </c>
      <c r="K780" t="s">
        <v>14</v>
      </c>
      <c r="L780" t="s">
        <v>15</v>
      </c>
      <c r="M780" t="s">
        <v>37</v>
      </c>
      <c r="N780" t="b">
        <v>1</v>
      </c>
      <c r="O780" t="s">
        <v>23</v>
      </c>
      <c r="P780" t="s">
        <v>17</v>
      </c>
      <c r="Q780" t="s">
        <v>38</v>
      </c>
      <c r="R780" t="b">
        <v>1</v>
      </c>
    </row>
    <row r="781" spans="1:18" x14ac:dyDescent="0.3">
      <c r="A781">
        <v>1</v>
      </c>
      <c r="B781" t="s">
        <v>27</v>
      </c>
      <c r="C781">
        <v>1</v>
      </c>
      <c r="D781" t="s">
        <v>30</v>
      </c>
      <c r="E781" t="s">
        <v>18</v>
      </c>
      <c r="F781" t="s">
        <v>39</v>
      </c>
      <c r="G781">
        <v>43</v>
      </c>
      <c r="H781">
        <v>0</v>
      </c>
      <c r="I781">
        <v>1</v>
      </c>
      <c r="J781">
        <v>211.33750000000001</v>
      </c>
      <c r="K781" t="s">
        <v>19</v>
      </c>
      <c r="L781" t="s">
        <v>20</v>
      </c>
      <c r="M781" t="s">
        <v>40</v>
      </c>
      <c r="N781" t="b">
        <v>0</v>
      </c>
      <c r="O781" t="s">
        <v>16</v>
      </c>
      <c r="P781" t="s">
        <v>22</v>
      </c>
      <c r="Q781" t="s">
        <v>41</v>
      </c>
      <c r="R781" t="b">
        <v>0</v>
      </c>
    </row>
    <row r="782" spans="1:18" x14ac:dyDescent="0.3">
      <c r="A782">
        <v>1</v>
      </c>
      <c r="B782" t="s">
        <v>27</v>
      </c>
      <c r="C782">
        <v>3</v>
      </c>
      <c r="D782" t="s">
        <v>32</v>
      </c>
      <c r="E782" t="s">
        <v>18</v>
      </c>
      <c r="F782" t="s">
        <v>39</v>
      </c>
      <c r="G782">
        <v>13</v>
      </c>
      <c r="H782">
        <v>0</v>
      </c>
      <c r="I782">
        <v>0</v>
      </c>
      <c r="J782">
        <v>7.2291999999999996</v>
      </c>
      <c r="K782" t="s">
        <v>14</v>
      </c>
      <c r="L782" t="s">
        <v>24</v>
      </c>
      <c r="M782" t="s">
        <v>42</v>
      </c>
      <c r="N782" t="b">
        <v>0</v>
      </c>
      <c r="O782" t="s">
        <v>21</v>
      </c>
      <c r="P782" t="s">
        <v>22</v>
      </c>
      <c r="Q782" t="s">
        <v>41</v>
      </c>
      <c r="R782" t="b">
        <v>1</v>
      </c>
    </row>
    <row r="783" spans="1:18" x14ac:dyDescent="0.3">
      <c r="A783">
        <v>1</v>
      </c>
      <c r="B783" t="s">
        <v>27</v>
      </c>
      <c r="C783">
        <v>1</v>
      </c>
      <c r="D783" t="s">
        <v>30</v>
      </c>
      <c r="E783" t="s">
        <v>18</v>
      </c>
      <c r="F783" t="s">
        <v>39</v>
      </c>
      <c r="G783">
        <v>17</v>
      </c>
      <c r="H783">
        <v>1</v>
      </c>
      <c r="I783">
        <v>0</v>
      </c>
      <c r="J783">
        <v>57</v>
      </c>
      <c r="K783" t="s">
        <v>19</v>
      </c>
      <c r="L783" t="s">
        <v>20</v>
      </c>
      <c r="M783" t="s">
        <v>40</v>
      </c>
      <c r="N783" t="b">
        <v>0</v>
      </c>
      <c r="O783" t="s">
        <v>16</v>
      </c>
      <c r="P783" t="s">
        <v>22</v>
      </c>
      <c r="Q783" t="s">
        <v>41</v>
      </c>
      <c r="R783" t="b">
        <v>0</v>
      </c>
    </row>
    <row r="784" spans="1:18" x14ac:dyDescent="0.3">
      <c r="A784">
        <v>0</v>
      </c>
      <c r="B784" t="s">
        <v>26</v>
      </c>
      <c r="C784">
        <v>1</v>
      </c>
      <c r="D784" t="s">
        <v>30</v>
      </c>
      <c r="E784" t="s">
        <v>13</v>
      </c>
      <c r="F784" t="s">
        <v>36</v>
      </c>
      <c r="G784">
        <v>29</v>
      </c>
      <c r="H784">
        <v>0</v>
      </c>
      <c r="I784">
        <v>0</v>
      </c>
      <c r="J784">
        <v>30</v>
      </c>
      <c r="K784" t="s">
        <v>19</v>
      </c>
      <c r="L784" t="s">
        <v>15</v>
      </c>
      <c r="M784" t="s">
        <v>37</v>
      </c>
      <c r="N784" t="b">
        <v>1</v>
      </c>
      <c r="O784" t="s">
        <v>16</v>
      </c>
      <c r="P784" t="s">
        <v>17</v>
      </c>
      <c r="Q784" t="s">
        <v>38</v>
      </c>
      <c r="R784" t="b">
        <v>1</v>
      </c>
    </row>
    <row r="785" spans="1:18" x14ac:dyDescent="0.3">
      <c r="A785">
        <v>0</v>
      </c>
      <c r="B785" t="s">
        <v>26</v>
      </c>
      <c r="C785">
        <v>3</v>
      </c>
      <c r="D785" t="s">
        <v>32</v>
      </c>
      <c r="E785" t="s">
        <v>13</v>
      </c>
      <c r="F785" t="s">
        <v>36</v>
      </c>
      <c r="G785">
        <v>30</v>
      </c>
      <c r="H785">
        <v>1</v>
      </c>
      <c r="I785">
        <v>2</v>
      </c>
      <c r="J785">
        <v>23.45</v>
      </c>
      <c r="K785" t="s">
        <v>14</v>
      </c>
      <c r="L785" t="s">
        <v>15</v>
      </c>
      <c r="M785" t="s">
        <v>37</v>
      </c>
      <c r="N785" t="b">
        <v>1</v>
      </c>
      <c r="O785" t="s">
        <v>16</v>
      </c>
      <c r="P785" t="s">
        <v>17</v>
      </c>
      <c r="Q785" t="s">
        <v>38</v>
      </c>
      <c r="R785" t="b">
        <v>0</v>
      </c>
    </row>
    <row r="786" spans="1:18" x14ac:dyDescent="0.3">
      <c r="A786">
        <v>0</v>
      </c>
      <c r="B786" t="s">
        <v>26</v>
      </c>
      <c r="C786">
        <v>3</v>
      </c>
      <c r="D786" t="s">
        <v>32</v>
      </c>
      <c r="E786" t="s">
        <v>13</v>
      </c>
      <c r="F786" t="s">
        <v>36</v>
      </c>
      <c r="G786">
        <v>25</v>
      </c>
      <c r="H786">
        <v>0</v>
      </c>
      <c r="I786">
        <v>0</v>
      </c>
      <c r="J786">
        <v>7.05</v>
      </c>
      <c r="K786" t="s">
        <v>14</v>
      </c>
      <c r="L786" t="s">
        <v>15</v>
      </c>
      <c r="M786" t="s">
        <v>37</v>
      </c>
      <c r="N786" t="b">
        <v>1</v>
      </c>
      <c r="O786" t="s">
        <v>16</v>
      </c>
      <c r="P786" t="s">
        <v>17</v>
      </c>
      <c r="Q786" t="s">
        <v>38</v>
      </c>
      <c r="R786" t="b">
        <v>1</v>
      </c>
    </row>
    <row r="787" spans="1:18" x14ac:dyDescent="0.3">
      <c r="A787">
        <v>0</v>
      </c>
      <c r="B787" t="s">
        <v>26</v>
      </c>
      <c r="C787">
        <v>3</v>
      </c>
      <c r="D787" t="s">
        <v>32</v>
      </c>
      <c r="E787" t="s">
        <v>13</v>
      </c>
      <c r="F787" t="s">
        <v>36</v>
      </c>
      <c r="G787">
        <v>25</v>
      </c>
      <c r="H787">
        <v>0</v>
      </c>
      <c r="I787">
        <v>0</v>
      </c>
      <c r="J787">
        <v>7.25</v>
      </c>
      <c r="K787" t="s">
        <v>14</v>
      </c>
      <c r="L787" t="s">
        <v>15</v>
      </c>
      <c r="M787" t="s">
        <v>37</v>
      </c>
      <c r="N787" t="b">
        <v>1</v>
      </c>
      <c r="O787" t="s">
        <v>16</v>
      </c>
      <c r="P787" t="s">
        <v>17</v>
      </c>
      <c r="Q787" t="s">
        <v>38</v>
      </c>
      <c r="R787" t="b">
        <v>1</v>
      </c>
    </row>
    <row r="788" spans="1:18" x14ac:dyDescent="0.3">
      <c r="A788">
        <v>1</v>
      </c>
      <c r="B788" t="s">
        <v>27</v>
      </c>
      <c r="C788">
        <v>3</v>
      </c>
      <c r="D788" t="s">
        <v>32</v>
      </c>
      <c r="E788" t="s">
        <v>18</v>
      </c>
      <c r="F788" t="s">
        <v>39</v>
      </c>
      <c r="G788">
        <v>18</v>
      </c>
      <c r="H788">
        <v>0</v>
      </c>
      <c r="I788">
        <v>0</v>
      </c>
      <c r="J788">
        <v>7.4958</v>
      </c>
      <c r="K788" t="s">
        <v>14</v>
      </c>
      <c r="L788" t="s">
        <v>20</v>
      </c>
      <c r="M788" t="s">
        <v>40</v>
      </c>
      <c r="N788" t="b">
        <v>0</v>
      </c>
      <c r="O788" t="s">
        <v>16</v>
      </c>
      <c r="P788" t="s">
        <v>22</v>
      </c>
      <c r="Q788" t="s">
        <v>41</v>
      </c>
      <c r="R788" t="b">
        <v>1</v>
      </c>
    </row>
    <row r="789" spans="1:18" x14ac:dyDescent="0.3">
      <c r="A789">
        <v>0</v>
      </c>
      <c r="B789" t="s">
        <v>26</v>
      </c>
      <c r="C789">
        <v>3</v>
      </c>
      <c r="D789" t="s">
        <v>32</v>
      </c>
      <c r="E789" t="s">
        <v>13</v>
      </c>
      <c r="F789" t="s">
        <v>36</v>
      </c>
      <c r="G789">
        <v>8</v>
      </c>
      <c r="H789">
        <v>4</v>
      </c>
      <c r="I789">
        <v>1</v>
      </c>
      <c r="J789">
        <v>29.125</v>
      </c>
      <c r="K789" t="s">
        <v>14</v>
      </c>
      <c r="L789" t="s">
        <v>24</v>
      </c>
      <c r="M789" t="s">
        <v>42</v>
      </c>
      <c r="N789" t="b">
        <v>0</v>
      </c>
      <c r="O789" t="s">
        <v>23</v>
      </c>
      <c r="P789" t="s">
        <v>17</v>
      </c>
      <c r="Q789" t="s">
        <v>38</v>
      </c>
      <c r="R789" t="b">
        <v>0</v>
      </c>
    </row>
    <row r="790" spans="1:18" x14ac:dyDescent="0.3">
      <c r="A790">
        <v>1</v>
      </c>
      <c r="B790" t="s">
        <v>27</v>
      </c>
      <c r="C790">
        <v>3</v>
      </c>
      <c r="D790" t="s">
        <v>32</v>
      </c>
      <c r="E790" t="s">
        <v>13</v>
      </c>
      <c r="F790" t="s">
        <v>36</v>
      </c>
      <c r="G790">
        <v>1</v>
      </c>
      <c r="H790">
        <v>1</v>
      </c>
      <c r="I790">
        <v>2</v>
      </c>
      <c r="J790">
        <v>20.574999999999999</v>
      </c>
      <c r="K790" t="s">
        <v>14</v>
      </c>
      <c r="L790" t="s">
        <v>24</v>
      </c>
      <c r="M790" t="s">
        <v>42</v>
      </c>
      <c r="N790" t="b">
        <v>0</v>
      </c>
      <c r="O790" t="s">
        <v>16</v>
      </c>
      <c r="P790" t="s">
        <v>22</v>
      </c>
      <c r="Q790" t="s">
        <v>41</v>
      </c>
      <c r="R790" t="b">
        <v>0</v>
      </c>
    </row>
    <row r="791" spans="1:18" x14ac:dyDescent="0.3">
      <c r="A791">
        <v>0</v>
      </c>
      <c r="B791" t="s">
        <v>26</v>
      </c>
      <c r="C791">
        <v>1</v>
      </c>
      <c r="D791" t="s">
        <v>30</v>
      </c>
      <c r="E791" t="s">
        <v>13</v>
      </c>
      <c r="F791" t="s">
        <v>36</v>
      </c>
      <c r="G791">
        <v>46</v>
      </c>
      <c r="H791">
        <v>0</v>
      </c>
      <c r="I791">
        <v>0</v>
      </c>
      <c r="J791">
        <v>79.2</v>
      </c>
      <c r="K791" t="s">
        <v>19</v>
      </c>
      <c r="L791" t="s">
        <v>15</v>
      </c>
      <c r="M791" t="s">
        <v>37</v>
      </c>
      <c r="N791" t="b">
        <v>1</v>
      </c>
      <c r="O791" t="s">
        <v>21</v>
      </c>
      <c r="P791" t="s">
        <v>17</v>
      </c>
      <c r="Q791" t="s">
        <v>38</v>
      </c>
      <c r="R791" t="b">
        <v>1</v>
      </c>
    </row>
    <row r="792" spans="1:18" x14ac:dyDescent="0.3">
      <c r="A792">
        <v>0</v>
      </c>
      <c r="B792" t="s">
        <v>26</v>
      </c>
      <c r="C792">
        <v>3</v>
      </c>
      <c r="D792" t="s">
        <v>32</v>
      </c>
      <c r="E792" t="s">
        <v>13</v>
      </c>
      <c r="F792" t="s">
        <v>36</v>
      </c>
      <c r="G792">
        <v>30</v>
      </c>
      <c r="H792">
        <v>0</v>
      </c>
      <c r="I792">
        <v>0</v>
      </c>
      <c r="J792">
        <v>7.75</v>
      </c>
      <c r="K792" t="s">
        <v>14</v>
      </c>
      <c r="L792" t="s">
        <v>15</v>
      </c>
      <c r="M792" t="s">
        <v>37</v>
      </c>
      <c r="N792" t="b">
        <v>1</v>
      </c>
      <c r="O792" t="s">
        <v>23</v>
      </c>
      <c r="P792" t="s">
        <v>17</v>
      </c>
      <c r="Q792" t="s">
        <v>38</v>
      </c>
      <c r="R792" t="b">
        <v>1</v>
      </c>
    </row>
    <row r="793" spans="1:18" x14ac:dyDescent="0.3">
      <c r="A793">
        <v>0</v>
      </c>
      <c r="B793" t="s">
        <v>26</v>
      </c>
      <c r="C793">
        <v>2</v>
      </c>
      <c r="D793" t="s">
        <v>31</v>
      </c>
      <c r="E793" t="s">
        <v>13</v>
      </c>
      <c r="F793" t="s">
        <v>36</v>
      </c>
      <c r="G793">
        <v>16</v>
      </c>
      <c r="H793">
        <v>0</v>
      </c>
      <c r="I793">
        <v>0</v>
      </c>
      <c r="J793">
        <v>26</v>
      </c>
      <c r="K793" t="s">
        <v>25</v>
      </c>
      <c r="L793" t="s">
        <v>15</v>
      </c>
      <c r="M793" t="s">
        <v>37</v>
      </c>
      <c r="N793" t="b">
        <v>1</v>
      </c>
      <c r="O793" t="s">
        <v>16</v>
      </c>
      <c r="P793" t="s">
        <v>17</v>
      </c>
      <c r="Q793" t="s">
        <v>38</v>
      </c>
      <c r="R793" t="b">
        <v>1</v>
      </c>
    </row>
    <row r="794" spans="1:18" x14ac:dyDescent="0.3">
      <c r="A794">
        <v>0</v>
      </c>
      <c r="B794" t="s">
        <v>26</v>
      </c>
      <c r="C794">
        <v>3</v>
      </c>
      <c r="D794" t="s">
        <v>32</v>
      </c>
      <c r="E794" t="s">
        <v>18</v>
      </c>
      <c r="F794" t="s">
        <v>39</v>
      </c>
      <c r="G794">
        <v>30</v>
      </c>
      <c r="H794">
        <v>8</v>
      </c>
      <c r="I794">
        <v>2</v>
      </c>
      <c r="J794">
        <v>69.55</v>
      </c>
      <c r="K794" t="s">
        <v>14</v>
      </c>
      <c r="L794" t="s">
        <v>20</v>
      </c>
      <c r="M794" t="s">
        <v>40</v>
      </c>
      <c r="N794" t="b">
        <v>0</v>
      </c>
      <c r="O794" t="s">
        <v>16</v>
      </c>
      <c r="P794" t="s">
        <v>17</v>
      </c>
      <c r="Q794" t="s">
        <v>38</v>
      </c>
      <c r="R794" t="b">
        <v>0</v>
      </c>
    </row>
    <row r="795" spans="1:18" x14ac:dyDescent="0.3">
      <c r="A795">
        <v>0</v>
      </c>
      <c r="B795" t="s">
        <v>26</v>
      </c>
      <c r="C795">
        <v>1</v>
      </c>
      <c r="D795" t="s">
        <v>30</v>
      </c>
      <c r="E795" t="s">
        <v>13</v>
      </c>
      <c r="F795" t="s">
        <v>36</v>
      </c>
      <c r="G795">
        <v>30</v>
      </c>
      <c r="H795">
        <v>0</v>
      </c>
      <c r="I795">
        <v>0</v>
      </c>
      <c r="J795">
        <v>30.695799999999998</v>
      </c>
      <c r="K795" t="s">
        <v>19</v>
      </c>
      <c r="L795" t="s">
        <v>15</v>
      </c>
      <c r="M795" t="s">
        <v>37</v>
      </c>
      <c r="N795" t="b">
        <v>1</v>
      </c>
      <c r="O795" t="s">
        <v>21</v>
      </c>
      <c r="P795" t="s">
        <v>17</v>
      </c>
      <c r="Q795" t="s">
        <v>38</v>
      </c>
      <c r="R795" t="b">
        <v>1</v>
      </c>
    </row>
    <row r="796" spans="1:18" x14ac:dyDescent="0.3">
      <c r="A796">
        <v>0</v>
      </c>
      <c r="B796" t="s">
        <v>26</v>
      </c>
      <c r="C796">
        <v>3</v>
      </c>
      <c r="D796" t="s">
        <v>32</v>
      </c>
      <c r="E796" t="s">
        <v>13</v>
      </c>
      <c r="F796" t="s">
        <v>36</v>
      </c>
      <c r="G796">
        <v>25</v>
      </c>
      <c r="H796">
        <v>0</v>
      </c>
      <c r="I796">
        <v>0</v>
      </c>
      <c r="J796">
        <v>7.8958000000000004</v>
      </c>
      <c r="K796" t="s">
        <v>14</v>
      </c>
      <c r="L796" t="s">
        <v>15</v>
      </c>
      <c r="M796" t="s">
        <v>37</v>
      </c>
      <c r="N796" t="b">
        <v>1</v>
      </c>
      <c r="O796" t="s">
        <v>16</v>
      </c>
      <c r="P796" t="s">
        <v>17</v>
      </c>
      <c r="Q796" t="s">
        <v>38</v>
      </c>
      <c r="R796" t="b">
        <v>1</v>
      </c>
    </row>
    <row r="797" spans="1:18" x14ac:dyDescent="0.3">
      <c r="A797">
        <v>0</v>
      </c>
      <c r="B797" t="s">
        <v>26</v>
      </c>
      <c r="C797">
        <v>2</v>
      </c>
      <c r="D797" t="s">
        <v>31</v>
      </c>
      <c r="E797" t="s">
        <v>13</v>
      </c>
      <c r="F797" t="s">
        <v>36</v>
      </c>
      <c r="G797">
        <v>39</v>
      </c>
      <c r="H797">
        <v>0</v>
      </c>
      <c r="I797">
        <v>0</v>
      </c>
      <c r="J797">
        <v>13</v>
      </c>
      <c r="K797" t="s">
        <v>25</v>
      </c>
      <c r="L797" t="s">
        <v>15</v>
      </c>
      <c r="M797" t="s">
        <v>37</v>
      </c>
      <c r="N797" t="b">
        <v>1</v>
      </c>
      <c r="O797" t="s">
        <v>16</v>
      </c>
      <c r="P797" t="s">
        <v>17</v>
      </c>
      <c r="Q797" t="s">
        <v>38</v>
      </c>
      <c r="R797" t="b">
        <v>1</v>
      </c>
    </row>
    <row r="798" spans="1:18" x14ac:dyDescent="0.3">
      <c r="A798">
        <v>1</v>
      </c>
      <c r="B798" t="s">
        <v>27</v>
      </c>
      <c r="C798">
        <v>1</v>
      </c>
      <c r="D798" t="s">
        <v>30</v>
      </c>
      <c r="E798" t="s">
        <v>18</v>
      </c>
      <c r="F798" t="s">
        <v>39</v>
      </c>
      <c r="G798">
        <v>49</v>
      </c>
      <c r="H798">
        <v>0</v>
      </c>
      <c r="I798">
        <v>0</v>
      </c>
      <c r="J798">
        <v>25.929200000000002</v>
      </c>
      <c r="K798" t="s">
        <v>19</v>
      </c>
      <c r="L798" t="s">
        <v>20</v>
      </c>
      <c r="M798" t="s">
        <v>40</v>
      </c>
      <c r="N798" t="b">
        <v>0</v>
      </c>
      <c r="O798" t="s">
        <v>16</v>
      </c>
      <c r="P798" t="s">
        <v>22</v>
      </c>
      <c r="Q798" t="s">
        <v>41</v>
      </c>
      <c r="R798" t="b">
        <v>1</v>
      </c>
    </row>
    <row r="799" spans="1:18" x14ac:dyDescent="0.3">
      <c r="A799">
        <v>1</v>
      </c>
      <c r="B799" t="s">
        <v>27</v>
      </c>
      <c r="C799">
        <v>3</v>
      </c>
      <c r="D799" t="s">
        <v>32</v>
      </c>
      <c r="E799" t="s">
        <v>18</v>
      </c>
      <c r="F799" t="s">
        <v>39</v>
      </c>
      <c r="G799">
        <v>31</v>
      </c>
      <c r="H799">
        <v>0</v>
      </c>
      <c r="I799">
        <v>0</v>
      </c>
      <c r="J799">
        <v>8.6832999999999991</v>
      </c>
      <c r="K799" t="s">
        <v>14</v>
      </c>
      <c r="L799" t="s">
        <v>20</v>
      </c>
      <c r="M799" t="s">
        <v>40</v>
      </c>
      <c r="N799" t="b">
        <v>0</v>
      </c>
      <c r="O799" t="s">
        <v>16</v>
      </c>
      <c r="P799" t="s">
        <v>22</v>
      </c>
      <c r="Q799" t="s">
        <v>41</v>
      </c>
      <c r="R799" t="b">
        <v>1</v>
      </c>
    </row>
    <row r="800" spans="1:18" x14ac:dyDescent="0.3">
      <c r="A800">
        <v>0</v>
      </c>
      <c r="B800" t="s">
        <v>26</v>
      </c>
      <c r="C800">
        <v>3</v>
      </c>
      <c r="D800" t="s">
        <v>32</v>
      </c>
      <c r="E800" t="s">
        <v>13</v>
      </c>
      <c r="F800" t="s">
        <v>36</v>
      </c>
      <c r="G800">
        <v>30</v>
      </c>
      <c r="H800">
        <v>0</v>
      </c>
      <c r="I800">
        <v>0</v>
      </c>
      <c r="J800">
        <v>7.2291999999999996</v>
      </c>
      <c r="K800" t="s">
        <v>14</v>
      </c>
      <c r="L800" t="s">
        <v>15</v>
      </c>
      <c r="M800" t="s">
        <v>37</v>
      </c>
      <c r="N800" t="b">
        <v>1</v>
      </c>
      <c r="O800" t="s">
        <v>21</v>
      </c>
      <c r="P800" t="s">
        <v>17</v>
      </c>
      <c r="Q800" t="s">
        <v>38</v>
      </c>
      <c r="R800" t="b">
        <v>1</v>
      </c>
    </row>
    <row r="801" spans="1:18" x14ac:dyDescent="0.3">
      <c r="A801">
        <v>0</v>
      </c>
      <c r="B801" t="s">
        <v>26</v>
      </c>
      <c r="C801">
        <v>3</v>
      </c>
      <c r="D801" t="s">
        <v>32</v>
      </c>
      <c r="E801" t="s">
        <v>18</v>
      </c>
      <c r="F801" t="s">
        <v>39</v>
      </c>
      <c r="G801">
        <v>30</v>
      </c>
      <c r="H801">
        <v>1</v>
      </c>
      <c r="I801">
        <v>1</v>
      </c>
      <c r="J801">
        <v>24.15</v>
      </c>
      <c r="K801" t="s">
        <v>14</v>
      </c>
      <c r="L801" t="s">
        <v>20</v>
      </c>
      <c r="M801" t="s">
        <v>40</v>
      </c>
      <c r="N801" t="b">
        <v>0</v>
      </c>
      <c r="O801" t="s">
        <v>16</v>
      </c>
      <c r="P801" t="s">
        <v>17</v>
      </c>
      <c r="Q801" t="s">
        <v>38</v>
      </c>
      <c r="R801" t="b">
        <v>0</v>
      </c>
    </row>
    <row r="802" spans="1:18" x14ac:dyDescent="0.3">
      <c r="A802">
        <v>0</v>
      </c>
      <c r="B802" t="s">
        <v>26</v>
      </c>
      <c r="C802">
        <v>2</v>
      </c>
      <c r="D802" t="s">
        <v>31</v>
      </c>
      <c r="E802" t="s">
        <v>13</v>
      </c>
      <c r="F802" t="s">
        <v>36</v>
      </c>
      <c r="G802">
        <v>34</v>
      </c>
      <c r="H802">
        <v>0</v>
      </c>
      <c r="I802">
        <v>0</v>
      </c>
      <c r="J802">
        <v>13</v>
      </c>
      <c r="K802" t="s">
        <v>25</v>
      </c>
      <c r="L802" t="s">
        <v>15</v>
      </c>
      <c r="M802" t="s">
        <v>37</v>
      </c>
      <c r="N802" t="b">
        <v>1</v>
      </c>
      <c r="O802" t="s">
        <v>16</v>
      </c>
      <c r="P802" t="s">
        <v>17</v>
      </c>
      <c r="Q802" t="s">
        <v>38</v>
      </c>
      <c r="R802" t="b">
        <v>1</v>
      </c>
    </row>
    <row r="803" spans="1:18" x14ac:dyDescent="0.3">
      <c r="A803">
        <v>1</v>
      </c>
      <c r="B803" t="s">
        <v>27</v>
      </c>
      <c r="C803">
        <v>2</v>
      </c>
      <c r="D803" t="s">
        <v>31</v>
      </c>
      <c r="E803" t="s">
        <v>18</v>
      </c>
      <c r="F803" t="s">
        <v>39</v>
      </c>
      <c r="G803">
        <v>31</v>
      </c>
      <c r="H803">
        <v>1</v>
      </c>
      <c r="I803">
        <v>1</v>
      </c>
      <c r="J803">
        <v>26.25</v>
      </c>
      <c r="K803" t="s">
        <v>25</v>
      </c>
      <c r="L803" t="s">
        <v>20</v>
      </c>
      <c r="M803" t="s">
        <v>40</v>
      </c>
      <c r="N803" t="b">
        <v>0</v>
      </c>
      <c r="O803" t="s">
        <v>16</v>
      </c>
      <c r="P803" t="s">
        <v>22</v>
      </c>
      <c r="Q803" t="s">
        <v>41</v>
      </c>
      <c r="R803" t="b">
        <v>0</v>
      </c>
    </row>
    <row r="804" spans="1:18" x14ac:dyDescent="0.3">
      <c r="A804">
        <v>1</v>
      </c>
      <c r="B804" t="s">
        <v>27</v>
      </c>
      <c r="C804">
        <v>1</v>
      </c>
      <c r="D804" t="s">
        <v>30</v>
      </c>
      <c r="E804" t="s">
        <v>13</v>
      </c>
      <c r="F804" t="s">
        <v>36</v>
      </c>
      <c r="G804">
        <v>11</v>
      </c>
      <c r="H804">
        <v>1</v>
      </c>
      <c r="I804">
        <v>2</v>
      </c>
      <c r="J804">
        <v>120</v>
      </c>
      <c r="K804" t="s">
        <v>19</v>
      </c>
      <c r="L804" t="s">
        <v>24</v>
      </c>
      <c r="M804" t="s">
        <v>42</v>
      </c>
      <c r="N804" t="b">
        <v>0</v>
      </c>
      <c r="O804" t="s">
        <v>16</v>
      </c>
      <c r="P804" t="s">
        <v>22</v>
      </c>
      <c r="Q804" t="s">
        <v>41</v>
      </c>
      <c r="R804" t="b">
        <v>0</v>
      </c>
    </row>
    <row r="805" spans="1:18" x14ac:dyDescent="0.3">
      <c r="A805">
        <v>1</v>
      </c>
      <c r="B805" t="s">
        <v>27</v>
      </c>
      <c r="C805">
        <v>3</v>
      </c>
      <c r="D805" t="s">
        <v>32</v>
      </c>
      <c r="E805" t="s">
        <v>13</v>
      </c>
      <c r="F805" t="s">
        <v>36</v>
      </c>
      <c r="G805">
        <v>0.42</v>
      </c>
      <c r="H805">
        <v>0</v>
      </c>
      <c r="I805">
        <v>1</v>
      </c>
      <c r="J805">
        <v>8.5167000000000002</v>
      </c>
      <c r="K805" t="s">
        <v>14</v>
      </c>
      <c r="L805" t="s">
        <v>24</v>
      </c>
      <c r="M805" t="s">
        <v>42</v>
      </c>
      <c r="N805" t="b">
        <v>0</v>
      </c>
      <c r="O805" t="s">
        <v>21</v>
      </c>
      <c r="P805" t="s">
        <v>22</v>
      </c>
      <c r="Q805" t="s">
        <v>41</v>
      </c>
      <c r="R805" t="b">
        <v>0</v>
      </c>
    </row>
    <row r="806" spans="1:18" x14ac:dyDescent="0.3">
      <c r="A806">
        <v>1</v>
      </c>
      <c r="B806" t="s">
        <v>27</v>
      </c>
      <c r="C806">
        <v>3</v>
      </c>
      <c r="D806" t="s">
        <v>32</v>
      </c>
      <c r="E806" t="s">
        <v>13</v>
      </c>
      <c r="F806" t="s">
        <v>36</v>
      </c>
      <c r="G806">
        <v>27</v>
      </c>
      <c r="H806">
        <v>0</v>
      </c>
      <c r="I806">
        <v>0</v>
      </c>
      <c r="J806">
        <v>6.9749999999999996</v>
      </c>
      <c r="K806" t="s">
        <v>14</v>
      </c>
      <c r="L806" t="s">
        <v>15</v>
      </c>
      <c r="M806" t="s">
        <v>37</v>
      </c>
      <c r="N806" t="b">
        <v>1</v>
      </c>
      <c r="O806" t="s">
        <v>16</v>
      </c>
      <c r="P806" t="s">
        <v>22</v>
      </c>
      <c r="Q806" t="s">
        <v>41</v>
      </c>
      <c r="R806" t="b">
        <v>1</v>
      </c>
    </row>
    <row r="807" spans="1:18" x14ac:dyDescent="0.3">
      <c r="A807">
        <v>0</v>
      </c>
      <c r="B807" t="s">
        <v>26</v>
      </c>
      <c r="C807">
        <v>3</v>
      </c>
      <c r="D807" t="s">
        <v>32</v>
      </c>
      <c r="E807" t="s">
        <v>13</v>
      </c>
      <c r="F807" t="s">
        <v>36</v>
      </c>
      <c r="G807">
        <v>31</v>
      </c>
      <c r="H807">
        <v>0</v>
      </c>
      <c r="I807">
        <v>0</v>
      </c>
      <c r="J807">
        <v>7.7750000000000004</v>
      </c>
      <c r="K807" t="s">
        <v>14</v>
      </c>
      <c r="L807" t="s">
        <v>15</v>
      </c>
      <c r="M807" t="s">
        <v>37</v>
      </c>
      <c r="N807" t="b">
        <v>1</v>
      </c>
      <c r="O807" t="s">
        <v>16</v>
      </c>
      <c r="P807" t="s">
        <v>17</v>
      </c>
      <c r="Q807" t="s">
        <v>38</v>
      </c>
      <c r="R807" t="b">
        <v>1</v>
      </c>
    </row>
    <row r="808" spans="1:18" x14ac:dyDescent="0.3">
      <c r="A808">
        <v>0</v>
      </c>
      <c r="B808" t="s">
        <v>26</v>
      </c>
      <c r="C808">
        <v>1</v>
      </c>
      <c r="D808" t="s">
        <v>30</v>
      </c>
      <c r="E808" t="s">
        <v>13</v>
      </c>
      <c r="F808" t="s">
        <v>36</v>
      </c>
      <c r="G808">
        <v>39</v>
      </c>
      <c r="H808">
        <v>0</v>
      </c>
      <c r="I808">
        <v>0</v>
      </c>
      <c r="J808">
        <v>0</v>
      </c>
      <c r="K808" t="s">
        <v>19</v>
      </c>
      <c r="L808" t="s">
        <v>15</v>
      </c>
      <c r="M808" t="s">
        <v>37</v>
      </c>
      <c r="N808" t="b">
        <v>1</v>
      </c>
      <c r="O808" t="s">
        <v>16</v>
      </c>
      <c r="P808" t="s">
        <v>17</v>
      </c>
      <c r="Q808" t="s">
        <v>38</v>
      </c>
      <c r="R808" t="b">
        <v>1</v>
      </c>
    </row>
    <row r="809" spans="1:18" x14ac:dyDescent="0.3">
      <c r="A809">
        <v>0</v>
      </c>
      <c r="B809" t="s">
        <v>26</v>
      </c>
      <c r="C809">
        <v>3</v>
      </c>
      <c r="D809" t="s">
        <v>32</v>
      </c>
      <c r="E809" t="s">
        <v>18</v>
      </c>
      <c r="F809" t="s">
        <v>39</v>
      </c>
      <c r="G809">
        <v>18</v>
      </c>
      <c r="H809">
        <v>0</v>
      </c>
      <c r="I809">
        <v>0</v>
      </c>
      <c r="J809">
        <v>7.7750000000000004</v>
      </c>
      <c r="K809" t="s">
        <v>14</v>
      </c>
      <c r="L809" t="s">
        <v>20</v>
      </c>
      <c r="M809" t="s">
        <v>40</v>
      </c>
      <c r="N809" t="b">
        <v>0</v>
      </c>
      <c r="O809" t="s">
        <v>16</v>
      </c>
      <c r="P809" t="s">
        <v>17</v>
      </c>
      <c r="Q809" t="s">
        <v>38</v>
      </c>
      <c r="R809" t="b">
        <v>1</v>
      </c>
    </row>
    <row r="810" spans="1:18" x14ac:dyDescent="0.3">
      <c r="A810">
        <v>0</v>
      </c>
      <c r="B810" t="s">
        <v>26</v>
      </c>
      <c r="C810">
        <v>2</v>
      </c>
      <c r="D810" t="s">
        <v>31</v>
      </c>
      <c r="E810" t="s">
        <v>13</v>
      </c>
      <c r="F810" t="s">
        <v>36</v>
      </c>
      <c r="G810">
        <v>39</v>
      </c>
      <c r="H810">
        <v>0</v>
      </c>
      <c r="I810">
        <v>0</v>
      </c>
      <c r="J810">
        <v>13</v>
      </c>
      <c r="K810" t="s">
        <v>25</v>
      </c>
      <c r="L810" t="s">
        <v>15</v>
      </c>
      <c r="M810" t="s">
        <v>37</v>
      </c>
      <c r="N810" t="b">
        <v>1</v>
      </c>
      <c r="O810" t="s">
        <v>16</v>
      </c>
      <c r="P810" t="s">
        <v>17</v>
      </c>
      <c r="Q810" t="s">
        <v>38</v>
      </c>
      <c r="R810" t="b">
        <v>1</v>
      </c>
    </row>
    <row r="811" spans="1:18" x14ac:dyDescent="0.3">
      <c r="A811">
        <v>1</v>
      </c>
      <c r="B811" t="s">
        <v>27</v>
      </c>
      <c r="C811">
        <v>1</v>
      </c>
      <c r="D811" t="s">
        <v>30</v>
      </c>
      <c r="E811" t="s">
        <v>18</v>
      </c>
      <c r="F811" t="s">
        <v>39</v>
      </c>
      <c r="G811">
        <v>33</v>
      </c>
      <c r="H811">
        <v>1</v>
      </c>
      <c r="I811">
        <v>0</v>
      </c>
      <c r="J811">
        <v>53.1</v>
      </c>
      <c r="K811" t="s">
        <v>19</v>
      </c>
      <c r="L811" t="s">
        <v>20</v>
      </c>
      <c r="M811" t="s">
        <v>40</v>
      </c>
      <c r="N811" t="b">
        <v>0</v>
      </c>
      <c r="O811" t="s">
        <v>16</v>
      </c>
      <c r="P811" t="s">
        <v>22</v>
      </c>
      <c r="Q811" t="s">
        <v>41</v>
      </c>
      <c r="R811" t="b">
        <v>0</v>
      </c>
    </row>
    <row r="812" spans="1:18" x14ac:dyDescent="0.3">
      <c r="A812">
        <v>0</v>
      </c>
      <c r="B812" t="s">
        <v>26</v>
      </c>
      <c r="C812">
        <v>3</v>
      </c>
      <c r="D812" t="s">
        <v>32</v>
      </c>
      <c r="E812" t="s">
        <v>13</v>
      </c>
      <c r="F812" t="s">
        <v>36</v>
      </c>
      <c r="G812">
        <v>26</v>
      </c>
      <c r="H812">
        <v>0</v>
      </c>
      <c r="I812">
        <v>0</v>
      </c>
      <c r="J812">
        <v>7.8875000000000002</v>
      </c>
      <c r="K812" t="s">
        <v>14</v>
      </c>
      <c r="L812" t="s">
        <v>15</v>
      </c>
      <c r="M812" t="s">
        <v>37</v>
      </c>
      <c r="N812" t="b">
        <v>1</v>
      </c>
      <c r="O812" t="s">
        <v>16</v>
      </c>
      <c r="P812" t="s">
        <v>17</v>
      </c>
      <c r="Q812" t="s">
        <v>38</v>
      </c>
      <c r="R812" t="b">
        <v>1</v>
      </c>
    </row>
    <row r="813" spans="1:18" x14ac:dyDescent="0.3">
      <c r="A813">
        <v>0</v>
      </c>
      <c r="B813" t="s">
        <v>26</v>
      </c>
      <c r="C813">
        <v>3</v>
      </c>
      <c r="D813" t="s">
        <v>32</v>
      </c>
      <c r="E813" t="s">
        <v>13</v>
      </c>
      <c r="F813" t="s">
        <v>36</v>
      </c>
      <c r="G813">
        <v>39</v>
      </c>
      <c r="H813">
        <v>0</v>
      </c>
      <c r="I813">
        <v>0</v>
      </c>
      <c r="J813">
        <v>24.15</v>
      </c>
      <c r="K813" t="s">
        <v>14</v>
      </c>
      <c r="L813" t="s">
        <v>15</v>
      </c>
      <c r="M813" t="s">
        <v>37</v>
      </c>
      <c r="N813" t="b">
        <v>1</v>
      </c>
      <c r="O813" t="s">
        <v>16</v>
      </c>
      <c r="P813" t="s">
        <v>17</v>
      </c>
      <c r="Q813" t="s">
        <v>38</v>
      </c>
      <c r="R813" t="b">
        <v>1</v>
      </c>
    </row>
    <row r="814" spans="1:18" x14ac:dyDescent="0.3">
      <c r="A814">
        <v>0</v>
      </c>
      <c r="B814" t="s">
        <v>26</v>
      </c>
      <c r="C814">
        <v>2</v>
      </c>
      <c r="D814" t="s">
        <v>31</v>
      </c>
      <c r="E814" t="s">
        <v>13</v>
      </c>
      <c r="F814" t="s">
        <v>36</v>
      </c>
      <c r="G814">
        <v>35</v>
      </c>
      <c r="H814">
        <v>0</v>
      </c>
      <c r="I814">
        <v>0</v>
      </c>
      <c r="J814">
        <v>10.5</v>
      </c>
      <c r="K814" t="s">
        <v>25</v>
      </c>
      <c r="L814" t="s">
        <v>15</v>
      </c>
      <c r="M814" t="s">
        <v>37</v>
      </c>
      <c r="N814" t="b">
        <v>1</v>
      </c>
      <c r="O814" t="s">
        <v>16</v>
      </c>
      <c r="P814" t="s">
        <v>17</v>
      </c>
      <c r="Q814" t="s">
        <v>38</v>
      </c>
      <c r="R814" t="b">
        <v>1</v>
      </c>
    </row>
    <row r="815" spans="1:18" x14ac:dyDescent="0.3">
      <c r="A815">
        <v>0</v>
      </c>
      <c r="B815" t="s">
        <v>26</v>
      </c>
      <c r="C815">
        <v>3</v>
      </c>
      <c r="D815" t="s">
        <v>32</v>
      </c>
      <c r="E815" t="s">
        <v>18</v>
      </c>
      <c r="F815" t="s">
        <v>39</v>
      </c>
      <c r="G815">
        <v>6</v>
      </c>
      <c r="H815">
        <v>4</v>
      </c>
      <c r="I815">
        <v>2</v>
      </c>
      <c r="J815">
        <v>31.274999999999999</v>
      </c>
      <c r="K815" t="s">
        <v>14</v>
      </c>
      <c r="L815" t="s">
        <v>24</v>
      </c>
      <c r="M815" t="s">
        <v>42</v>
      </c>
      <c r="N815" t="b">
        <v>0</v>
      </c>
      <c r="O815" t="s">
        <v>16</v>
      </c>
      <c r="P815" t="s">
        <v>17</v>
      </c>
      <c r="Q815" t="s">
        <v>38</v>
      </c>
      <c r="R815" t="b">
        <v>0</v>
      </c>
    </row>
    <row r="816" spans="1:18" x14ac:dyDescent="0.3">
      <c r="A816">
        <v>0</v>
      </c>
      <c r="B816" t="s">
        <v>26</v>
      </c>
      <c r="C816">
        <v>3</v>
      </c>
      <c r="D816" t="s">
        <v>32</v>
      </c>
      <c r="E816" t="s">
        <v>13</v>
      </c>
      <c r="F816" t="s">
        <v>36</v>
      </c>
      <c r="G816">
        <v>30.5</v>
      </c>
      <c r="H816">
        <v>0</v>
      </c>
      <c r="I816">
        <v>0</v>
      </c>
      <c r="J816">
        <v>8.0500000000000007</v>
      </c>
      <c r="K816" t="s">
        <v>14</v>
      </c>
      <c r="L816" t="s">
        <v>15</v>
      </c>
      <c r="M816" t="s">
        <v>37</v>
      </c>
      <c r="N816" t="b">
        <v>1</v>
      </c>
      <c r="O816" t="s">
        <v>16</v>
      </c>
      <c r="P816" t="s">
        <v>17</v>
      </c>
      <c r="Q816" t="s">
        <v>38</v>
      </c>
      <c r="R816" t="b">
        <v>1</v>
      </c>
    </row>
    <row r="817" spans="1:18" x14ac:dyDescent="0.3">
      <c r="A817">
        <v>0</v>
      </c>
      <c r="B817" t="s">
        <v>26</v>
      </c>
      <c r="C817">
        <v>1</v>
      </c>
      <c r="D817" t="s">
        <v>30</v>
      </c>
      <c r="E817" t="s">
        <v>13</v>
      </c>
      <c r="F817" t="s">
        <v>36</v>
      </c>
      <c r="G817">
        <v>30</v>
      </c>
      <c r="H817">
        <v>0</v>
      </c>
      <c r="I817">
        <v>0</v>
      </c>
      <c r="J817">
        <v>0</v>
      </c>
      <c r="K817" t="s">
        <v>19</v>
      </c>
      <c r="L817" t="s">
        <v>15</v>
      </c>
      <c r="M817" t="s">
        <v>37</v>
      </c>
      <c r="N817" t="b">
        <v>1</v>
      </c>
      <c r="O817" t="s">
        <v>16</v>
      </c>
      <c r="P817" t="s">
        <v>17</v>
      </c>
      <c r="Q817" t="s">
        <v>38</v>
      </c>
      <c r="R817" t="b">
        <v>1</v>
      </c>
    </row>
    <row r="818" spans="1:18" x14ac:dyDescent="0.3">
      <c r="A818">
        <v>0</v>
      </c>
      <c r="B818" t="s">
        <v>26</v>
      </c>
      <c r="C818">
        <v>3</v>
      </c>
      <c r="D818" t="s">
        <v>32</v>
      </c>
      <c r="E818" t="s">
        <v>18</v>
      </c>
      <c r="F818" t="s">
        <v>39</v>
      </c>
      <c r="G818">
        <v>23</v>
      </c>
      <c r="H818">
        <v>0</v>
      </c>
      <c r="I818">
        <v>0</v>
      </c>
      <c r="J818">
        <v>7.9249999999999998</v>
      </c>
      <c r="K818" t="s">
        <v>14</v>
      </c>
      <c r="L818" t="s">
        <v>20</v>
      </c>
      <c r="M818" t="s">
        <v>40</v>
      </c>
      <c r="N818" t="b">
        <v>0</v>
      </c>
      <c r="O818" t="s">
        <v>16</v>
      </c>
      <c r="P818" t="s">
        <v>17</v>
      </c>
      <c r="Q818" t="s">
        <v>38</v>
      </c>
      <c r="R818" t="b">
        <v>1</v>
      </c>
    </row>
    <row r="819" spans="1:18" x14ac:dyDescent="0.3">
      <c r="A819">
        <v>0</v>
      </c>
      <c r="B819" t="s">
        <v>26</v>
      </c>
      <c r="C819">
        <v>2</v>
      </c>
      <c r="D819" t="s">
        <v>31</v>
      </c>
      <c r="E819" t="s">
        <v>13</v>
      </c>
      <c r="F819" t="s">
        <v>36</v>
      </c>
      <c r="G819">
        <v>31</v>
      </c>
      <c r="H819">
        <v>1</v>
      </c>
      <c r="I819">
        <v>1</v>
      </c>
      <c r="J819">
        <v>37.004199999999997</v>
      </c>
      <c r="K819" t="s">
        <v>25</v>
      </c>
      <c r="L819" t="s">
        <v>15</v>
      </c>
      <c r="M819" t="s">
        <v>37</v>
      </c>
      <c r="N819" t="b">
        <v>1</v>
      </c>
      <c r="O819" t="s">
        <v>21</v>
      </c>
      <c r="P819" t="s">
        <v>17</v>
      </c>
      <c r="Q819" t="s">
        <v>38</v>
      </c>
      <c r="R819" t="b">
        <v>0</v>
      </c>
    </row>
    <row r="820" spans="1:18" x14ac:dyDescent="0.3">
      <c r="A820">
        <v>0</v>
      </c>
      <c r="B820" t="s">
        <v>26</v>
      </c>
      <c r="C820">
        <v>3</v>
      </c>
      <c r="D820" t="s">
        <v>32</v>
      </c>
      <c r="E820" t="s">
        <v>13</v>
      </c>
      <c r="F820" t="s">
        <v>36</v>
      </c>
      <c r="G820">
        <v>43</v>
      </c>
      <c r="H820">
        <v>0</v>
      </c>
      <c r="I820">
        <v>0</v>
      </c>
      <c r="J820">
        <v>6.45</v>
      </c>
      <c r="K820" t="s">
        <v>14</v>
      </c>
      <c r="L820" t="s">
        <v>15</v>
      </c>
      <c r="M820" t="s">
        <v>37</v>
      </c>
      <c r="N820" t="b">
        <v>1</v>
      </c>
      <c r="O820" t="s">
        <v>16</v>
      </c>
      <c r="P820" t="s">
        <v>17</v>
      </c>
      <c r="Q820" t="s">
        <v>38</v>
      </c>
      <c r="R820" t="b">
        <v>1</v>
      </c>
    </row>
    <row r="821" spans="1:18" x14ac:dyDescent="0.3">
      <c r="A821">
        <v>0</v>
      </c>
      <c r="B821" t="s">
        <v>26</v>
      </c>
      <c r="C821">
        <v>3</v>
      </c>
      <c r="D821" t="s">
        <v>32</v>
      </c>
      <c r="E821" t="s">
        <v>13</v>
      </c>
      <c r="F821" t="s">
        <v>36</v>
      </c>
      <c r="G821">
        <v>10</v>
      </c>
      <c r="H821">
        <v>3</v>
      </c>
      <c r="I821">
        <v>2</v>
      </c>
      <c r="J821">
        <v>27.9</v>
      </c>
      <c r="K821" t="s">
        <v>14</v>
      </c>
      <c r="L821" t="s">
        <v>24</v>
      </c>
      <c r="M821" t="s">
        <v>42</v>
      </c>
      <c r="N821" t="b">
        <v>0</v>
      </c>
      <c r="O821" t="s">
        <v>16</v>
      </c>
      <c r="P821" t="s">
        <v>17</v>
      </c>
      <c r="Q821" t="s">
        <v>38</v>
      </c>
      <c r="R821" t="b">
        <v>0</v>
      </c>
    </row>
    <row r="822" spans="1:18" x14ac:dyDescent="0.3">
      <c r="A822">
        <v>1</v>
      </c>
      <c r="B822" t="s">
        <v>27</v>
      </c>
      <c r="C822">
        <v>1</v>
      </c>
      <c r="D822" t="s">
        <v>30</v>
      </c>
      <c r="E822" t="s">
        <v>18</v>
      </c>
      <c r="F822" t="s">
        <v>39</v>
      </c>
      <c r="G822">
        <v>52</v>
      </c>
      <c r="H822">
        <v>1</v>
      </c>
      <c r="I822">
        <v>1</v>
      </c>
      <c r="J822">
        <v>93.5</v>
      </c>
      <c r="K822" t="s">
        <v>19</v>
      </c>
      <c r="L822" t="s">
        <v>20</v>
      </c>
      <c r="M822" t="s">
        <v>40</v>
      </c>
      <c r="N822" t="b">
        <v>0</v>
      </c>
      <c r="O822" t="s">
        <v>16</v>
      </c>
      <c r="P822" t="s">
        <v>22</v>
      </c>
      <c r="Q822" t="s">
        <v>41</v>
      </c>
      <c r="R822" t="b">
        <v>0</v>
      </c>
    </row>
    <row r="823" spans="1:18" x14ac:dyDescent="0.3">
      <c r="A823">
        <v>1</v>
      </c>
      <c r="B823" t="s">
        <v>27</v>
      </c>
      <c r="C823">
        <v>3</v>
      </c>
      <c r="D823" t="s">
        <v>32</v>
      </c>
      <c r="E823" t="s">
        <v>13</v>
      </c>
      <c r="F823" t="s">
        <v>36</v>
      </c>
      <c r="G823">
        <v>27</v>
      </c>
      <c r="H823">
        <v>0</v>
      </c>
      <c r="I823">
        <v>0</v>
      </c>
      <c r="J823">
        <v>8.6624999999999996</v>
      </c>
      <c r="K823" t="s">
        <v>14</v>
      </c>
      <c r="L823" t="s">
        <v>15</v>
      </c>
      <c r="M823" t="s">
        <v>37</v>
      </c>
      <c r="N823" t="b">
        <v>1</v>
      </c>
      <c r="O823" t="s">
        <v>16</v>
      </c>
      <c r="P823" t="s">
        <v>22</v>
      </c>
      <c r="Q823" t="s">
        <v>41</v>
      </c>
      <c r="R823" t="b">
        <v>1</v>
      </c>
    </row>
    <row r="824" spans="1:18" x14ac:dyDescent="0.3">
      <c r="A824">
        <v>0</v>
      </c>
      <c r="B824" t="s">
        <v>26</v>
      </c>
      <c r="C824">
        <v>1</v>
      </c>
      <c r="D824" t="s">
        <v>30</v>
      </c>
      <c r="E824" t="s">
        <v>13</v>
      </c>
      <c r="F824" t="s">
        <v>36</v>
      </c>
      <c r="G824">
        <v>38</v>
      </c>
      <c r="H824">
        <v>0</v>
      </c>
      <c r="I824">
        <v>0</v>
      </c>
      <c r="J824">
        <v>0</v>
      </c>
      <c r="K824" t="s">
        <v>19</v>
      </c>
      <c r="L824" t="s">
        <v>15</v>
      </c>
      <c r="M824" t="s">
        <v>37</v>
      </c>
      <c r="N824" t="b">
        <v>1</v>
      </c>
      <c r="O824" t="s">
        <v>16</v>
      </c>
      <c r="P824" t="s">
        <v>17</v>
      </c>
      <c r="Q824" t="s">
        <v>38</v>
      </c>
      <c r="R824" t="b">
        <v>1</v>
      </c>
    </row>
    <row r="825" spans="1:18" x14ac:dyDescent="0.3">
      <c r="A825">
        <v>1</v>
      </c>
      <c r="B825" t="s">
        <v>27</v>
      </c>
      <c r="C825">
        <v>3</v>
      </c>
      <c r="D825" t="s">
        <v>32</v>
      </c>
      <c r="E825" t="s">
        <v>18</v>
      </c>
      <c r="F825" t="s">
        <v>39</v>
      </c>
      <c r="G825">
        <v>27</v>
      </c>
      <c r="H825">
        <v>0</v>
      </c>
      <c r="I825">
        <v>1</v>
      </c>
      <c r="J825">
        <v>12.475</v>
      </c>
      <c r="K825" t="s">
        <v>14</v>
      </c>
      <c r="L825" t="s">
        <v>20</v>
      </c>
      <c r="M825" t="s">
        <v>40</v>
      </c>
      <c r="N825" t="b">
        <v>0</v>
      </c>
      <c r="O825" t="s">
        <v>16</v>
      </c>
      <c r="P825" t="s">
        <v>22</v>
      </c>
      <c r="Q825" t="s">
        <v>41</v>
      </c>
      <c r="R825" t="b">
        <v>0</v>
      </c>
    </row>
    <row r="826" spans="1:18" x14ac:dyDescent="0.3">
      <c r="A826">
        <v>0</v>
      </c>
      <c r="B826" t="s">
        <v>26</v>
      </c>
      <c r="C826">
        <v>3</v>
      </c>
      <c r="D826" t="s">
        <v>32</v>
      </c>
      <c r="E826" t="s">
        <v>13</v>
      </c>
      <c r="F826" t="s">
        <v>36</v>
      </c>
      <c r="G826">
        <v>2</v>
      </c>
      <c r="H826">
        <v>4</v>
      </c>
      <c r="I826">
        <v>1</v>
      </c>
      <c r="J826">
        <v>39.6875</v>
      </c>
      <c r="K826" t="s">
        <v>14</v>
      </c>
      <c r="L826" t="s">
        <v>24</v>
      </c>
      <c r="M826" t="s">
        <v>42</v>
      </c>
      <c r="N826" t="b">
        <v>0</v>
      </c>
      <c r="O826" t="s">
        <v>16</v>
      </c>
      <c r="P826" t="s">
        <v>17</v>
      </c>
      <c r="Q826" t="s">
        <v>38</v>
      </c>
      <c r="R826" t="b">
        <v>0</v>
      </c>
    </row>
    <row r="827" spans="1:18" x14ac:dyDescent="0.3">
      <c r="A827">
        <v>0</v>
      </c>
      <c r="B827" t="s">
        <v>26</v>
      </c>
      <c r="C827">
        <v>3</v>
      </c>
      <c r="D827" t="s">
        <v>32</v>
      </c>
      <c r="E827" t="s">
        <v>13</v>
      </c>
      <c r="F827" t="s">
        <v>36</v>
      </c>
      <c r="G827">
        <v>30</v>
      </c>
      <c r="H827">
        <v>0</v>
      </c>
      <c r="I827">
        <v>0</v>
      </c>
      <c r="J827">
        <v>6.95</v>
      </c>
      <c r="K827" t="s">
        <v>14</v>
      </c>
      <c r="L827" t="s">
        <v>15</v>
      </c>
      <c r="M827" t="s">
        <v>37</v>
      </c>
      <c r="N827" t="b">
        <v>1</v>
      </c>
      <c r="O827" t="s">
        <v>23</v>
      </c>
      <c r="P827" t="s">
        <v>17</v>
      </c>
      <c r="Q827" t="s">
        <v>38</v>
      </c>
      <c r="R827" t="b">
        <v>1</v>
      </c>
    </row>
    <row r="828" spans="1:18" x14ac:dyDescent="0.3">
      <c r="A828">
        <v>0</v>
      </c>
      <c r="B828" t="s">
        <v>26</v>
      </c>
      <c r="C828">
        <v>3</v>
      </c>
      <c r="D828" t="s">
        <v>32</v>
      </c>
      <c r="E828" t="s">
        <v>13</v>
      </c>
      <c r="F828" t="s">
        <v>36</v>
      </c>
      <c r="G828">
        <v>30</v>
      </c>
      <c r="H828">
        <v>0</v>
      </c>
      <c r="I828">
        <v>0</v>
      </c>
      <c r="J828">
        <v>56.495800000000003</v>
      </c>
      <c r="K828" t="s">
        <v>14</v>
      </c>
      <c r="L828" t="s">
        <v>15</v>
      </c>
      <c r="M828" t="s">
        <v>37</v>
      </c>
      <c r="N828" t="b">
        <v>1</v>
      </c>
      <c r="O828" t="s">
        <v>16</v>
      </c>
      <c r="P828" t="s">
        <v>17</v>
      </c>
      <c r="Q828" t="s">
        <v>38</v>
      </c>
      <c r="R828" t="b">
        <v>1</v>
      </c>
    </row>
    <row r="829" spans="1:18" x14ac:dyDescent="0.3">
      <c r="A829">
        <v>1</v>
      </c>
      <c r="B829" t="s">
        <v>27</v>
      </c>
      <c r="C829">
        <v>2</v>
      </c>
      <c r="D829" t="s">
        <v>31</v>
      </c>
      <c r="E829" t="s">
        <v>13</v>
      </c>
      <c r="F829" t="s">
        <v>36</v>
      </c>
      <c r="G829">
        <v>1</v>
      </c>
      <c r="H829">
        <v>0</v>
      </c>
      <c r="I829">
        <v>2</v>
      </c>
      <c r="J829">
        <v>37.004199999999997</v>
      </c>
      <c r="K829" t="s">
        <v>25</v>
      </c>
      <c r="L829" t="s">
        <v>24</v>
      </c>
      <c r="M829" t="s">
        <v>42</v>
      </c>
      <c r="N829" t="b">
        <v>0</v>
      </c>
      <c r="O829" t="s">
        <v>21</v>
      </c>
      <c r="P829" t="s">
        <v>22</v>
      </c>
      <c r="Q829" t="s">
        <v>41</v>
      </c>
      <c r="R829" t="b">
        <v>0</v>
      </c>
    </row>
    <row r="830" spans="1:18" x14ac:dyDescent="0.3">
      <c r="A830">
        <v>1</v>
      </c>
      <c r="B830" t="s">
        <v>27</v>
      </c>
      <c r="C830">
        <v>3</v>
      </c>
      <c r="D830" t="s">
        <v>32</v>
      </c>
      <c r="E830" t="s">
        <v>13</v>
      </c>
      <c r="F830" t="s">
        <v>36</v>
      </c>
      <c r="G830">
        <v>30</v>
      </c>
      <c r="H830">
        <v>0</v>
      </c>
      <c r="I830">
        <v>0</v>
      </c>
      <c r="J830">
        <v>7.75</v>
      </c>
      <c r="K830" t="s">
        <v>14</v>
      </c>
      <c r="L830" t="s">
        <v>15</v>
      </c>
      <c r="M830" t="s">
        <v>37</v>
      </c>
      <c r="N830" t="b">
        <v>1</v>
      </c>
      <c r="O830" t="s">
        <v>23</v>
      </c>
      <c r="P830" t="s">
        <v>22</v>
      </c>
      <c r="Q830" t="s">
        <v>41</v>
      </c>
      <c r="R830" t="b">
        <v>1</v>
      </c>
    </row>
    <row r="831" spans="1:18" x14ac:dyDescent="0.3">
      <c r="A831">
        <v>1</v>
      </c>
      <c r="B831" t="s">
        <v>27</v>
      </c>
      <c r="C831">
        <v>1</v>
      </c>
      <c r="D831" t="s">
        <v>30</v>
      </c>
      <c r="E831" t="s">
        <v>18</v>
      </c>
      <c r="F831" t="s">
        <v>39</v>
      </c>
      <c r="G831">
        <v>62</v>
      </c>
      <c r="H831">
        <v>0</v>
      </c>
      <c r="I831">
        <v>0</v>
      </c>
      <c r="J831">
        <v>80</v>
      </c>
      <c r="K831" t="s">
        <v>19</v>
      </c>
      <c r="L831" t="s">
        <v>20</v>
      </c>
      <c r="M831" t="s">
        <v>40</v>
      </c>
      <c r="N831" t="b">
        <v>0</v>
      </c>
      <c r="O831" t="s">
        <v>16</v>
      </c>
      <c r="P831" t="s">
        <v>22</v>
      </c>
      <c r="Q831" t="s">
        <v>41</v>
      </c>
      <c r="R831" t="b">
        <v>1</v>
      </c>
    </row>
    <row r="832" spans="1:18" x14ac:dyDescent="0.3">
      <c r="A832">
        <v>1</v>
      </c>
      <c r="B832" t="s">
        <v>27</v>
      </c>
      <c r="C832">
        <v>3</v>
      </c>
      <c r="D832" t="s">
        <v>32</v>
      </c>
      <c r="E832" t="s">
        <v>18</v>
      </c>
      <c r="F832" t="s">
        <v>39</v>
      </c>
      <c r="G832">
        <v>15</v>
      </c>
      <c r="H832">
        <v>1</v>
      </c>
      <c r="I832">
        <v>0</v>
      </c>
      <c r="J832">
        <v>14.4542</v>
      </c>
      <c r="K832" t="s">
        <v>14</v>
      </c>
      <c r="L832" t="s">
        <v>24</v>
      </c>
      <c r="M832" t="s">
        <v>42</v>
      </c>
      <c r="N832" t="b">
        <v>0</v>
      </c>
      <c r="O832" t="s">
        <v>21</v>
      </c>
      <c r="P832" t="s">
        <v>22</v>
      </c>
      <c r="Q832" t="s">
        <v>41</v>
      </c>
      <c r="R832" t="b">
        <v>0</v>
      </c>
    </row>
    <row r="833" spans="1:18" x14ac:dyDescent="0.3">
      <c r="A833">
        <v>1</v>
      </c>
      <c r="B833" t="s">
        <v>27</v>
      </c>
      <c r="C833">
        <v>2</v>
      </c>
      <c r="D833" t="s">
        <v>31</v>
      </c>
      <c r="E833" t="s">
        <v>13</v>
      </c>
      <c r="F833" t="s">
        <v>36</v>
      </c>
      <c r="G833">
        <v>0.83</v>
      </c>
      <c r="H833">
        <v>1</v>
      </c>
      <c r="I833">
        <v>1</v>
      </c>
      <c r="J833">
        <v>18.75</v>
      </c>
      <c r="K833" t="s">
        <v>25</v>
      </c>
      <c r="L833" t="s">
        <v>24</v>
      </c>
      <c r="M833" t="s">
        <v>42</v>
      </c>
      <c r="N833" t="b">
        <v>0</v>
      </c>
      <c r="O833" t="s">
        <v>16</v>
      </c>
      <c r="P833" t="s">
        <v>22</v>
      </c>
      <c r="Q833" t="s">
        <v>41</v>
      </c>
      <c r="R833" t="b">
        <v>0</v>
      </c>
    </row>
    <row r="834" spans="1:18" x14ac:dyDescent="0.3">
      <c r="A834">
        <v>0</v>
      </c>
      <c r="B834" t="s">
        <v>26</v>
      </c>
      <c r="C834">
        <v>3</v>
      </c>
      <c r="D834" t="s">
        <v>32</v>
      </c>
      <c r="E834" t="s">
        <v>13</v>
      </c>
      <c r="F834" t="s">
        <v>36</v>
      </c>
      <c r="G834">
        <v>30</v>
      </c>
      <c r="H834">
        <v>0</v>
      </c>
      <c r="I834">
        <v>0</v>
      </c>
      <c r="J834">
        <v>7.2291999999999996</v>
      </c>
      <c r="K834" t="s">
        <v>14</v>
      </c>
      <c r="L834" t="s">
        <v>15</v>
      </c>
      <c r="M834" t="s">
        <v>37</v>
      </c>
      <c r="N834" t="b">
        <v>1</v>
      </c>
      <c r="O834" t="s">
        <v>21</v>
      </c>
      <c r="P834" t="s">
        <v>17</v>
      </c>
      <c r="Q834" t="s">
        <v>38</v>
      </c>
      <c r="R834" t="b">
        <v>1</v>
      </c>
    </row>
    <row r="835" spans="1:18" x14ac:dyDescent="0.3">
      <c r="A835">
        <v>0</v>
      </c>
      <c r="B835" t="s">
        <v>26</v>
      </c>
      <c r="C835">
        <v>3</v>
      </c>
      <c r="D835" t="s">
        <v>32</v>
      </c>
      <c r="E835" t="s">
        <v>13</v>
      </c>
      <c r="F835" t="s">
        <v>36</v>
      </c>
      <c r="G835">
        <v>23</v>
      </c>
      <c r="H835">
        <v>0</v>
      </c>
      <c r="I835">
        <v>0</v>
      </c>
      <c r="J835">
        <v>7.8541999999999996</v>
      </c>
      <c r="K835" t="s">
        <v>14</v>
      </c>
      <c r="L835" t="s">
        <v>15</v>
      </c>
      <c r="M835" t="s">
        <v>37</v>
      </c>
      <c r="N835" t="b">
        <v>1</v>
      </c>
      <c r="O835" t="s">
        <v>16</v>
      </c>
      <c r="P835" t="s">
        <v>17</v>
      </c>
      <c r="Q835" t="s">
        <v>38</v>
      </c>
      <c r="R835" t="b">
        <v>1</v>
      </c>
    </row>
    <row r="836" spans="1:18" x14ac:dyDescent="0.3">
      <c r="A836">
        <v>0</v>
      </c>
      <c r="B836" t="s">
        <v>26</v>
      </c>
      <c r="C836">
        <v>3</v>
      </c>
      <c r="D836" t="s">
        <v>32</v>
      </c>
      <c r="E836" t="s">
        <v>13</v>
      </c>
      <c r="F836" t="s">
        <v>36</v>
      </c>
      <c r="G836">
        <v>18</v>
      </c>
      <c r="H836">
        <v>0</v>
      </c>
      <c r="I836">
        <v>0</v>
      </c>
      <c r="J836">
        <v>8.3000000000000007</v>
      </c>
      <c r="K836" t="s">
        <v>14</v>
      </c>
      <c r="L836" t="s">
        <v>15</v>
      </c>
      <c r="M836" t="s">
        <v>37</v>
      </c>
      <c r="N836" t="b">
        <v>1</v>
      </c>
      <c r="O836" t="s">
        <v>16</v>
      </c>
      <c r="P836" t="s">
        <v>17</v>
      </c>
      <c r="Q836" t="s">
        <v>38</v>
      </c>
      <c r="R836" t="b">
        <v>1</v>
      </c>
    </row>
    <row r="837" spans="1:18" x14ac:dyDescent="0.3">
      <c r="A837">
        <v>1</v>
      </c>
      <c r="B837" t="s">
        <v>27</v>
      </c>
      <c r="C837">
        <v>1</v>
      </c>
      <c r="D837" t="s">
        <v>30</v>
      </c>
      <c r="E837" t="s">
        <v>18</v>
      </c>
      <c r="F837" t="s">
        <v>39</v>
      </c>
      <c r="G837">
        <v>39</v>
      </c>
      <c r="H837">
        <v>1</v>
      </c>
      <c r="I837">
        <v>1</v>
      </c>
      <c r="J837">
        <v>83.158299999999997</v>
      </c>
      <c r="K837" t="s">
        <v>19</v>
      </c>
      <c r="L837" t="s">
        <v>20</v>
      </c>
      <c r="M837" t="s">
        <v>40</v>
      </c>
      <c r="N837" t="b">
        <v>0</v>
      </c>
      <c r="O837" t="s">
        <v>21</v>
      </c>
      <c r="P837" t="s">
        <v>22</v>
      </c>
      <c r="Q837" t="s">
        <v>41</v>
      </c>
      <c r="R837" t="b">
        <v>0</v>
      </c>
    </row>
    <row r="838" spans="1:18" x14ac:dyDescent="0.3">
      <c r="A838">
        <v>0</v>
      </c>
      <c r="B838" t="s">
        <v>26</v>
      </c>
      <c r="C838">
        <v>3</v>
      </c>
      <c r="D838" t="s">
        <v>32</v>
      </c>
      <c r="E838" t="s">
        <v>13</v>
      </c>
      <c r="F838" t="s">
        <v>36</v>
      </c>
      <c r="G838">
        <v>21</v>
      </c>
      <c r="H838">
        <v>0</v>
      </c>
      <c r="I838">
        <v>0</v>
      </c>
      <c r="J838">
        <v>8.6624999999999996</v>
      </c>
      <c r="K838" t="s">
        <v>14</v>
      </c>
      <c r="L838" t="s">
        <v>15</v>
      </c>
      <c r="M838" t="s">
        <v>37</v>
      </c>
      <c r="N838" t="b">
        <v>1</v>
      </c>
      <c r="O838" t="s">
        <v>16</v>
      </c>
      <c r="P838" t="s">
        <v>17</v>
      </c>
      <c r="Q838" t="s">
        <v>38</v>
      </c>
      <c r="R838" t="b">
        <v>1</v>
      </c>
    </row>
    <row r="839" spans="1:18" x14ac:dyDescent="0.3">
      <c r="A839">
        <v>0</v>
      </c>
      <c r="B839" t="s">
        <v>26</v>
      </c>
      <c r="C839">
        <v>3</v>
      </c>
      <c r="D839" t="s">
        <v>32</v>
      </c>
      <c r="E839" t="s">
        <v>13</v>
      </c>
      <c r="F839" t="s">
        <v>36</v>
      </c>
      <c r="G839">
        <v>30</v>
      </c>
      <c r="H839">
        <v>0</v>
      </c>
      <c r="I839">
        <v>0</v>
      </c>
      <c r="J839">
        <v>8.0500000000000007</v>
      </c>
      <c r="K839" t="s">
        <v>14</v>
      </c>
      <c r="L839" t="s">
        <v>15</v>
      </c>
      <c r="M839" t="s">
        <v>37</v>
      </c>
      <c r="N839" t="b">
        <v>1</v>
      </c>
      <c r="O839" t="s">
        <v>16</v>
      </c>
      <c r="P839" t="s">
        <v>17</v>
      </c>
      <c r="Q839" t="s">
        <v>38</v>
      </c>
      <c r="R839" t="b">
        <v>1</v>
      </c>
    </row>
    <row r="840" spans="1:18" x14ac:dyDescent="0.3">
      <c r="A840">
        <v>1</v>
      </c>
      <c r="B840" t="s">
        <v>27</v>
      </c>
      <c r="C840">
        <v>3</v>
      </c>
      <c r="D840" t="s">
        <v>32</v>
      </c>
      <c r="E840" t="s">
        <v>13</v>
      </c>
      <c r="F840" t="s">
        <v>36</v>
      </c>
      <c r="G840">
        <v>32</v>
      </c>
      <c r="H840">
        <v>0</v>
      </c>
      <c r="I840">
        <v>0</v>
      </c>
      <c r="J840">
        <v>56.495800000000003</v>
      </c>
      <c r="K840" t="s">
        <v>14</v>
      </c>
      <c r="L840" t="s">
        <v>15</v>
      </c>
      <c r="M840" t="s">
        <v>37</v>
      </c>
      <c r="N840" t="b">
        <v>1</v>
      </c>
      <c r="O840" t="s">
        <v>16</v>
      </c>
      <c r="P840" t="s">
        <v>22</v>
      </c>
      <c r="Q840" t="s">
        <v>41</v>
      </c>
      <c r="R840" t="b">
        <v>1</v>
      </c>
    </row>
    <row r="841" spans="1:18" x14ac:dyDescent="0.3">
      <c r="A841">
        <v>1</v>
      </c>
      <c r="B841" t="s">
        <v>27</v>
      </c>
      <c r="C841">
        <v>1</v>
      </c>
      <c r="D841" t="s">
        <v>30</v>
      </c>
      <c r="E841" t="s">
        <v>13</v>
      </c>
      <c r="F841" t="s">
        <v>36</v>
      </c>
      <c r="G841">
        <v>30</v>
      </c>
      <c r="H841">
        <v>0</v>
      </c>
      <c r="I841">
        <v>0</v>
      </c>
      <c r="J841">
        <v>29.7</v>
      </c>
      <c r="K841" t="s">
        <v>19</v>
      </c>
      <c r="L841" t="s">
        <v>15</v>
      </c>
      <c r="M841" t="s">
        <v>37</v>
      </c>
      <c r="N841" t="b">
        <v>1</v>
      </c>
      <c r="O841" t="s">
        <v>21</v>
      </c>
      <c r="P841" t="s">
        <v>22</v>
      </c>
      <c r="Q841" t="s">
        <v>41</v>
      </c>
      <c r="R841" t="b">
        <v>1</v>
      </c>
    </row>
    <row r="842" spans="1:18" x14ac:dyDescent="0.3">
      <c r="A842">
        <v>0</v>
      </c>
      <c r="B842" t="s">
        <v>26</v>
      </c>
      <c r="C842">
        <v>3</v>
      </c>
      <c r="D842" t="s">
        <v>32</v>
      </c>
      <c r="E842" t="s">
        <v>13</v>
      </c>
      <c r="F842" t="s">
        <v>36</v>
      </c>
      <c r="G842">
        <v>20</v>
      </c>
      <c r="H842">
        <v>0</v>
      </c>
      <c r="I842">
        <v>0</v>
      </c>
      <c r="J842">
        <v>7.9249999999999998</v>
      </c>
      <c r="K842" t="s">
        <v>14</v>
      </c>
      <c r="L842" t="s">
        <v>15</v>
      </c>
      <c r="M842" t="s">
        <v>37</v>
      </c>
      <c r="N842" t="b">
        <v>1</v>
      </c>
      <c r="O842" t="s">
        <v>16</v>
      </c>
      <c r="P842" t="s">
        <v>17</v>
      </c>
      <c r="Q842" t="s">
        <v>38</v>
      </c>
      <c r="R842" t="b">
        <v>1</v>
      </c>
    </row>
    <row r="843" spans="1:18" x14ac:dyDescent="0.3">
      <c r="A843">
        <v>0</v>
      </c>
      <c r="B843" t="s">
        <v>26</v>
      </c>
      <c r="C843">
        <v>2</v>
      </c>
      <c r="D843" t="s">
        <v>31</v>
      </c>
      <c r="E843" t="s">
        <v>13</v>
      </c>
      <c r="F843" t="s">
        <v>36</v>
      </c>
      <c r="G843">
        <v>16</v>
      </c>
      <c r="H843">
        <v>0</v>
      </c>
      <c r="I843">
        <v>0</v>
      </c>
      <c r="J843">
        <v>10.5</v>
      </c>
      <c r="K843" t="s">
        <v>25</v>
      </c>
      <c r="L843" t="s">
        <v>15</v>
      </c>
      <c r="M843" t="s">
        <v>37</v>
      </c>
      <c r="N843" t="b">
        <v>1</v>
      </c>
      <c r="O843" t="s">
        <v>16</v>
      </c>
      <c r="P843" t="s">
        <v>17</v>
      </c>
      <c r="Q843" t="s">
        <v>38</v>
      </c>
      <c r="R843" t="b">
        <v>1</v>
      </c>
    </row>
    <row r="844" spans="1:18" x14ac:dyDescent="0.3">
      <c r="A844">
        <v>1</v>
      </c>
      <c r="B844" t="s">
        <v>27</v>
      </c>
      <c r="C844">
        <v>1</v>
      </c>
      <c r="D844" t="s">
        <v>30</v>
      </c>
      <c r="E844" t="s">
        <v>18</v>
      </c>
      <c r="F844" t="s">
        <v>39</v>
      </c>
      <c r="G844">
        <v>30</v>
      </c>
      <c r="H844">
        <v>0</v>
      </c>
      <c r="I844">
        <v>0</v>
      </c>
      <c r="J844">
        <v>31</v>
      </c>
      <c r="K844" t="s">
        <v>19</v>
      </c>
      <c r="L844" t="s">
        <v>20</v>
      </c>
      <c r="M844" t="s">
        <v>40</v>
      </c>
      <c r="N844" t="b">
        <v>0</v>
      </c>
      <c r="O844" t="s">
        <v>21</v>
      </c>
      <c r="P844" t="s">
        <v>22</v>
      </c>
      <c r="Q844" t="s">
        <v>41</v>
      </c>
      <c r="R844" t="b">
        <v>1</v>
      </c>
    </row>
    <row r="845" spans="1:18" x14ac:dyDescent="0.3">
      <c r="A845">
        <v>0</v>
      </c>
      <c r="B845" t="s">
        <v>26</v>
      </c>
      <c r="C845">
        <v>3</v>
      </c>
      <c r="D845" t="s">
        <v>32</v>
      </c>
      <c r="E845" t="s">
        <v>13</v>
      </c>
      <c r="F845" t="s">
        <v>36</v>
      </c>
      <c r="G845">
        <v>34.5</v>
      </c>
      <c r="H845">
        <v>0</v>
      </c>
      <c r="I845">
        <v>0</v>
      </c>
      <c r="J845">
        <v>6.4375</v>
      </c>
      <c r="K845" t="s">
        <v>14</v>
      </c>
      <c r="L845" t="s">
        <v>15</v>
      </c>
      <c r="M845" t="s">
        <v>37</v>
      </c>
      <c r="N845" t="b">
        <v>1</v>
      </c>
      <c r="O845" t="s">
        <v>21</v>
      </c>
      <c r="P845" t="s">
        <v>17</v>
      </c>
      <c r="Q845" t="s">
        <v>38</v>
      </c>
      <c r="R845" t="b">
        <v>1</v>
      </c>
    </row>
    <row r="846" spans="1:18" x14ac:dyDescent="0.3">
      <c r="A846">
        <v>0</v>
      </c>
      <c r="B846" t="s">
        <v>26</v>
      </c>
      <c r="C846">
        <v>3</v>
      </c>
      <c r="D846" t="s">
        <v>32</v>
      </c>
      <c r="E846" t="s">
        <v>13</v>
      </c>
      <c r="F846" t="s">
        <v>36</v>
      </c>
      <c r="G846">
        <v>17</v>
      </c>
      <c r="H846">
        <v>0</v>
      </c>
      <c r="I846">
        <v>0</v>
      </c>
      <c r="J846">
        <v>8.6624999999999996</v>
      </c>
      <c r="K846" t="s">
        <v>14</v>
      </c>
      <c r="L846" t="s">
        <v>15</v>
      </c>
      <c r="M846" t="s">
        <v>37</v>
      </c>
      <c r="N846" t="b">
        <v>1</v>
      </c>
      <c r="O846" t="s">
        <v>16</v>
      </c>
      <c r="P846" t="s">
        <v>17</v>
      </c>
      <c r="Q846" t="s">
        <v>38</v>
      </c>
      <c r="R846" t="b">
        <v>1</v>
      </c>
    </row>
    <row r="847" spans="1:18" x14ac:dyDescent="0.3">
      <c r="A847">
        <v>0</v>
      </c>
      <c r="B847" t="s">
        <v>26</v>
      </c>
      <c r="C847">
        <v>3</v>
      </c>
      <c r="D847" t="s">
        <v>32</v>
      </c>
      <c r="E847" t="s">
        <v>13</v>
      </c>
      <c r="F847" t="s">
        <v>36</v>
      </c>
      <c r="G847">
        <v>42</v>
      </c>
      <c r="H847">
        <v>0</v>
      </c>
      <c r="I847">
        <v>0</v>
      </c>
      <c r="J847">
        <v>7.55</v>
      </c>
      <c r="K847" t="s">
        <v>14</v>
      </c>
      <c r="L847" t="s">
        <v>15</v>
      </c>
      <c r="M847" t="s">
        <v>37</v>
      </c>
      <c r="N847" t="b">
        <v>1</v>
      </c>
      <c r="O847" t="s">
        <v>16</v>
      </c>
      <c r="P847" t="s">
        <v>17</v>
      </c>
      <c r="Q847" t="s">
        <v>38</v>
      </c>
      <c r="R847" t="b">
        <v>1</v>
      </c>
    </row>
    <row r="848" spans="1:18" x14ac:dyDescent="0.3">
      <c r="A848">
        <v>0</v>
      </c>
      <c r="B848" t="s">
        <v>26</v>
      </c>
      <c r="C848">
        <v>3</v>
      </c>
      <c r="D848" t="s">
        <v>32</v>
      </c>
      <c r="E848" t="s">
        <v>13</v>
      </c>
      <c r="F848" t="s">
        <v>36</v>
      </c>
      <c r="G848">
        <v>30</v>
      </c>
      <c r="H848">
        <v>8</v>
      </c>
      <c r="I848">
        <v>2</v>
      </c>
      <c r="J848">
        <v>69.55</v>
      </c>
      <c r="K848" t="s">
        <v>14</v>
      </c>
      <c r="L848" t="s">
        <v>15</v>
      </c>
      <c r="M848" t="s">
        <v>37</v>
      </c>
      <c r="N848" t="b">
        <v>1</v>
      </c>
      <c r="O848" t="s">
        <v>16</v>
      </c>
      <c r="P848" t="s">
        <v>17</v>
      </c>
      <c r="Q848" t="s">
        <v>38</v>
      </c>
      <c r="R848" t="b">
        <v>0</v>
      </c>
    </row>
    <row r="849" spans="1:18" x14ac:dyDescent="0.3">
      <c r="A849">
        <v>0</v>
      </c>
      <c r="B849" t="s">
        <v>26</v>
      </c>
      <c r="C849">
        <v>3</v>
      </c>
      <c r="D849" t="s">
        <v>32</v>
      </c>
      <c r="E849" t="s">
        <v>13</v>
      </c>
      <c r="F849" t="s">
        <v>36</v>
      </c>
      <c r="G849">
        <v>35</v>
      </c>
      <c r="H849">
        <v>0</v>
      </c>
      <c r="I849">
        <v>0</v>
      </c>
      <c r="J849">
        <v>7.8958000000000004</v>
      </c>
      <c r="K849" t="s">
        <v>14</v>
      </c>
      <c r="L849" t="s">
        <v>15</v>
      </c>
      <c r="M849" t="s">
        <v>37</v>
      </c>
      <c r="N849" t="b">
        <v>1</v>
      </c>
      <c r="O849" t="s">
        <v>21</v>
      </c>
      <c r="P849" t="s">
        <v>17</v>
      </c>
      <c r="Q849" t="s">
        <v>38</v>
      </c>
      <c r="R849" t="b">
        <v>1</v>
      </c>
    </row>
    <row r="850" spans="1:18" x14ac:dyDescent="0.3">
      <c r="A850">
        <v>0</v>
      </c>
      <c r="B850" t="s">
        <v>26</v>
      </c>
      <c r="C850">
        <v>2</v>
      </c>
      <c r="D850" t="s">
        <v>31</v>
      </c>
      <c r="E850" t="s">
        <v>13</v>
      </c>
      <c r="F850" t="s">
        <v>36</v>
      </c>
      <c r="G850">
        <v>28</v>
      </c>
      <c r="H850">
        <v>0</v>
      </c>
      <c r="I850">
        <v>1</v>
      </c>
      <c r="J850">
        <v>33</v>
      </c>
      <c r="K850" t="s">
        <v>25</v>
      </c>
      <c r="L850" t="s">
        <v>15</v>
      </c>
      <c r="M850" t="s">
        <v>37</v>
      </c>
      <c r="N850" t="b">
        <v>1</v>
      </c>
      <c r="O850" t="s">
        <v>16</v>
      </c>
      <c r="P850" t="s">
        <v>17</v>
      </c>
      <c r="Q850" t="s">
        <v>38</v>
      </c>
      <c r="R850" t="b">
        <v>0</v>
      </c>
    </row>
    <row r="851" spans="1:18" x14ac:dyDescent="0.3">
      <c r="A851">
        <v>1</v>
      </c>
      <c r="B851" t="s">
        <v>27</v>
      </c>
      <c r="C851">
        <v>1</v>
      </c>
      <c r="D851" t="s">
        <v>30</v>
      </c>
      <c r="E851" t="s">
        <v>18</v>
      </c>
      <c r="F851" t="s">
        <v>39</v>
      </c>
      <c r="G851">
        <v>30</v>
      </c>
      <c r="H851">
        <v>1</v>
      </c>
      <c r="I851">
        <v>0</v>
      </c>
      <c r="J851">
        <v>89.104200000000006</v>
      </c>
      <c r="K851" t="s">
        <v>19</v>
      </c>
      <c r="L851" t="s">
        <v>20</v>
      </c>
      <c r="M851" t="s">
        <v>40</v>
      </c>
      <c r="N851" t="b">
        <v>0</v>
      </c>
      <c r="O851" t="s">
        <v>21</v>
      </c>
      <c r="P851" t="s">
        <v>22</v>
      </c>
      <c r="Q851" t="s">
        <v>41</v>
      </c>
      <c r="R851" t="b">
        <v>0</v>
      </c>
    </row>
    <row r="852" spans="1:18" x14ac:dyDescent="0.3">
      <c r="A852">
        <v>0</v>
      </c>
      <c r="B852" t="s">
        <v>26</v>
      </c>
      <c r="C852">
        <v>3</v>
      </c>
      <c r="D852" t="s">
        <v>32</v>
      </c>
      <c r="E852" t="s">
        <v>13</v>
      </c>
      <c r="F852" t="s">
        <v>36</v>
      </c>
      <c r="G852">
        <v>4</v>
      </c>
      <c r="H852">
        <v>4</v>
      </c>
      <c r="I852">
        <v>2</v>
      </c>
      <c r="J852">
        <v>31.274999999999999</v>
      </c>
      <c r="K852" t="s">
        <v>14</v>
      </c>
      <c r="L852" t="s">
        <v>24</v>
      </c>
      <c r="M852" t="s">
        <v>42</v>
      </c>
      <c r="N852" t="b">
        <v>0</v>
      </c>
      <c r="O852" t="s">
        <v>16</v>
      </c>
      <c r="P852" t="s">
        <v>17</v>
      </c>
      <c r="Q852" t="s">
        <v>38</v>
      </c>
      <c r="R852" t="b">
        <v>0</v>
      </c>
    </row>
    <row r="853" spans="1:18" x14ac:dyDescent="0.3">
      <c r="A853">
        <v>0</v>
      </c>
      <c r="B853" t="s">
        <v>26</v>
      </c>
      <c r="C853">
        <v>3</v>
      </c>
      <c r="D853" t="s">
        <v>32</v>
      </c>
      <c r="E853" t="s">
        <v>13</v>
      </c>
      <c r="F853" t="s">
        <v>36</v>
      </c>
      <c r="G853">
        <v>74</v>
      </c>
      <c r="H853">
        <v>0</v>
      </c>
      <c r="I853">
        <v>0</v>
      </c>
      <c r="J853">
        <v>7.7750000000000004</v>
      </c>
      <c r="K853" t="s">
        <v>14</v>
      </c>
      <c r="L853" t="s">
        <v>15</v>
      </c>
      <c r="M853" t="s">
        <v>37</v>
      </c>
      <c r="N853" t="b">
        <v>1</v>
      </c>
      <c r="O853" t="s">
        <v>16</v>
      </c>
      <c r="P853" t="s">
        <v>17</v>
      </c>
      <c r="Q853" t="s">
        <v>38</v>
      </c>
      <c r="R853" t="b">
        <v>1</v>
      </c>
    </row>
    <row r="854" spans="1:18" x14ac:dyDescent="0.3">
      <c r="A854">
        <v>0</v>
      </c>
      <c r="B854" t="s">
        <v>26</v>
      </c>
      <c r="C854">
        <v>3</v>
      </c>
      <c r="D854" t="s">
        <v>32</v>
      </c>
      <c r="E854" t="s">
        <v>18</v>
      </c>
      <c r="F854" t="s">
        <v>39</v>
      </c>
      <c r="G854">
        <v>9</v>
      </c>
      <c r="H854">
        <v>1</v>
      </c>
      <c r="I854">
        <v>1</v>
      </c>
      <c r="J854">
        <v>15.245799999999999</v>
      </c>
      <c r="K854" t="s">
        <v>14</v>
      </c>
      <c r="L854" t="s">
        <v>24</v>
      </c>
      <c r="M854" t="s">
        <v>42</v>
      </c>
      <c r="N854" t="b">
        <v>0</v>
      </c>
      <c r="O854" t="s">
        <v>21</v>
      </c>
      <c r="P854" t="s">
        <v>17</v>
      </c>
      <c r="Q854" t="s">
        <v>38</v>
      </c>
      <c r="R854" t="b">
        <v>0</v>
      </c>
    </row>
    <row r="855" spans="1:18" x14ac:dyDescent="0.3">
      <c r="A855">
        <v>1</v>
      </c>
      <c r="B855" t="s">
        <v>27</v>
      </c>
      <c r="C855">
        <v>1</v>
      </c>
      <c r="D855" t="s">
        <v>30</v>
      </c>
      <c r="E855" t="s">
        <v>18</v>
      </c>
      <c r="F855" t="s">
        <v>39</v>
      </c>
      <c r="G855">
        <v>16</v>
      </c>
      <c r="H855">
        <v>0</v>
      </c>
      <c r="I855">
        <v>1</v>
      </c>
      <c r="J855">
        <v>39.4</v>
      </c>
      <c r="K855" t="s">
        <v>19</v>
      </c>
      <c r="L855" t="s">
        <v>20</v>
      </c>
      <c r="M855" t="s">
        <v>40</v>
      </c>
      <c r="N855" t="b">
        <v>0</v>
      </c>
      <c r="O855" t="s">
        <v>16</v>
      </c>
      <c r="P855" t="s">
        <v>22</v>
      </c>
      <c r="Q855" t="s">
        <v>41</v>
      </c>
      <c r="R855" t="b">
        <v>0</v>
      </c>
    </row>
    <row r="856" spans="1:18" x14ac:dyDescent="0.3">
      <c r="A856">
        <v>0</v>
      </c>
      <c r="B856" t="s">
        <v>26</v>
      </c>
      <c r="C856">
        <v>2</v>
      </c>
      <c r="D856" t="s">
        <v>31</v>
      </c>
      <c r="E856" t="s">
        <v>18</v>
      </c>
      <c r="F856" t="s">
        <v>39</v>
      </c>
      <c r="G856">
        <v>44</v>
      </c>
      <c r="H856">
        <v>1</v>
      </c>
      <c r="I856">
        <v>0</v>
      </c>
      <c r="J856">
        <v>26</v>
      </c>
      <c r="K856" t="s">
        <v>25</v>
      </c>
      <c r="L856" t="s">
        <v>20</v>
      </c>
      <c r="M856" t="s">
        <v>40</v>
      </c>
      <c r="N856" t="b">
        <v>0</v>
      </c>
      <c r="O856" t="s">
        <v>16</v>
      </c>
      <c r="P856" t="s">
        <v>17</v>
      </c>
      <c r="Q856" t="s">
        <v>38</v>
      </c>
      <c r="R856" t="b">
        <v>0</v>
      </c>
    </row>
    <row r="857" spans="1:18" x14ac:dyDescent="0.3">
      <c r="A857">
        <v>1</v>
      </c>
      <c r="B857" t="s">
        <v>27</v>
      </c>
      <c r="C857">
        <v>3</v>
      </c>
      <c r="D857" t="s">
        <v>32</v>
      </c>
      <c r="E857" t="s">
        <v>18</v>
      </c>
      <c r="F857" t="s">
        <v>39</v>
      </c>
      <c r="G857">
        <v>18</v>
      </c>
      <c r="H857">
        <v>0</v>
      </c>
      <c r="I857">
        <v>1</v>
      </c>
      <c r="J857">
        <v>9.35</v>
      </c>
      <c r="K857" t="s">
        <v>14</v>
      </c>
      <c r="L857" t="s">
        <v>20</v>
      </c>
      <c r="M857" t="s">
        <v>40</v>
      </c>
      <c r="N857" t="b">
        <v>0</v>
      </c>
      <c r="O857" t="s">
        <v>16</v>
      </c>
      <c r="P857" t="s">
        <v>22</v>
      </c>
      <c r="Q857" t="s">
        <v>41</v>
      </c>
      <c r="R857" t="b">
        <v>0</v>
      </c>
    </row>
    <row r="858" spans="1:18" x14ac:dyDescent="0.3">
      <c r="A858">
        <v>1</v>
      </c>
      <c r="B858" t="s">
        <v>27</v>
      </c>
      <c r="C858">
        <v>1</v>
      </c>
      <c r="D858" t="s">
        <v>30</v>
      </c>
      <c r="E858" t="s">
        <v>18</v>
      </c>
      <c r="F858" t="s">
        <v>39</v>
      </c>
      <c r="G858">
        <v>45</v>
      </c>
      <c r="H858">
        <v>1</v>
      </c>
      <c r="I858">
        <v>1</v>
      </c>
      <c r="J858">
        <v>164.86670000000001</v>
      </c>
      <c r="K858" t="s">
        <v>19</v>
      </c>
      <c r="L858" t="s">
        <v>20</v>
      </c>
      <c r="M858" t="s">
        <v>40</v>
      </c>
      <c r="N858" t="b">
        <v>0</v>
      </c>
      <c r="O858" t="s">
        <v>16</v>
      </c>
      <c r="P858" t="s">
        <v>22</v>
      </c>
      <c r="Q858" t="s">
        <v>41</v>
      </c>
      <c r="R858" t="b">
        <v>0</v>
      </c>
    </row>
    <row r="859" spans="1:18" x14ac:dyDescent="0.3">
      <c r="A859">
        <v>1</v>
      </c>
      <c r="B859" t="s">
        <v>27</v>
      </c>
      <c r="C859">
        <v>1</v>
      </c>
      <c r="D859" t="s">
        <v>30</v>
      </c>
      <c r="E859" t="s">
        <v>13</v>
      </c>
      <c r="F859" t="s">
        <v>36</v>
      </c>
      <c r="G859">
        <v>51</v>
      </c>
      <c r="H859">
        <v>0</v>
      </c>
      <c r="I859">
        <v>0</v>
      </c>
      <c r="J859">
        <v>26.55</v>
      </c>
      <c r="K859" t="s">
        <v>19</v>
      </c>
      <c r="L859" t="s">
        <v>15</v>
      </c>
      <c r="M859" t="s">
        <v>37</v>
      </c>
      <c r="N859" t="b">
        <v>1</v>
      </c>
      <c r="O859" t="s">
        <v>16</v>
      </c>
      <c r="P859" t="s">
        <v>22</v>
      </c>
      <c r="Q859" t="s">
        <v>41</v>
      </c>
      <c r="R859" t="b">
        <v>1</v>
      </c>
    </row>
    <row r="860" spans="1:18" x14ac:dyDescent="0.3">
      <c r="A860">
        <v>1</v>
      </c>
      <c r="B860" t="s">
        <v>27</v>
      </c>
      <c r="C860">
        <v>3</v>
      </c>
      <c r="D860" t="s">
        <v>32</v>
      </c>
      <c r="E860" t="s">
        <v>18</v>
      </c>
      <c r="F860" t="s">
        <v>39</v>
      </c>
      <c r="G860">
        <v>24</v>
      </c>
      <c r="H860">
        <v>0</v>
      </c>
      <c r="I860">
        <v>3</v>
      </c>
      <c r="J860">
        <v>19.258299999999998</v>
      </c>
      <c r="K860" t="s">
        <v>14</v>
      </c>
      <c r="L860" t="s">
        <v>20</v>
      </c>
      <c r="M860" t="s">
        <v>40</v>
      </c>
      <c r="N860" t="b">
        <v>0</v>
      </c>
      <c r="O860" t="s">
        <v>21</v>
      </c>
      <c r="P860" t="s">
        <v>22</v>
      </c>
      <c r="Q860" t="s">
        <v>41</v>
      </c>
      <c r="R860" t="b">
        <v>0</v>
      </c>
    </row>
    <row r="861" spans="1:18" x14ac:dyDescent="0.3">
      <c r="A861">
        <v>0</v>
      </c>
      <c r="B861" t="s">
        <v>26</v>
      </c>
      <c r="C861">
        <v>3</v>
      </c>
      <c r="D861" t="s">
        <v>32</v>
      </c>
      <c r="E861" t="s">
        <v>13</v>
      </c>
      <c r="F861" t="s">
        <v>36</v>
      </c>
      <c r="G861">
        <v>30</v>
      </c>
      <c r="H861">
        <v>0</v>
      </c>
      <c r="I861">
        <v>0</v>
      </c>
      <c r="J861">
        <v>7.2291999999999996</v>
      </c>
      <c r="K861" t="s">
        <v>14</v>
      </c>
      <c r="L861" t="s">
        <v>15</v>
      </c>
      <c r="M861" t="s">
        <v>37</v>
      </c>
      <c r="N861" t="b">
        <v>1</v>
      </c>
      <c r="O861" t="s">
        <v>21</v>
      </c>
      <c r="P861" t="s">
        <v>17</v>
      </c>
      <c r="Q861" t="s">
        <v>38</v>
      </c>
      <c r="R861" t="b">
        <v>1</v>
      </c>
    </row>
    <row r="862" spans="1:18" x14ac:dyDescent="0.3">
      <c r="A862">
        <v>0</v>
      </c>
      <c r="B862" t="s">
        <v>26</v>
      </c>
      <c r="C862">
        <v>3</v>
      </c>
      <c r="D862" t="s">
        <v>32</v>
      </c>
      <c r="E862" t="s">
        <v>13</v>
      </c>
      <c r="F862" t="s">
        <v>36</v>
      </c>
      <c r="G862">
        <v>41</v>
      </c>
      <c r="H862">
        <v>2</v>
      </c>
      <c r="I862">
        <v>0</v>
      </c>
      <c r="J862">
        <v>14.1083</v>
      </c>
      <c r="K862" t="s">
        <v>14</v>
      </c>
      <c r="L862" t="s">
        <v>15</v>
      </c>
      <c r="M862" t="s">
        <v>37</v>
      </c>
      <c r="N862" t="b">
        <v>1</v>
      </c>
      <c r="O862" t="s">
        <v>16</v>
      </c>
      <c r="P862" t="s">
        <v>17</v>
      </c>
      <c r="Q862" t="s">
        <v>38</v>
      </c>
      <c r="R862" t="b">
        <v>0</v>
      </c>
    </row>
    <row r="863" spans="1:18" x14ac:dyDescent="0.3">
      <c r="A863">
        <v>0</v>
      </c>
      <c r="B863" t="s">
        <v>26</v>
      </c>
      <c r="C863">
        <v>2</v>
      </c>
      <c r="D863" t="s">
        <v>31</v>
      </c>
      <c r="E863" t="s">
        <v>13</v>
      </c>
      <c r="F863" t="s">
        <v>36</v>
      </c>
      <c r="G863">
        <v>21</v>
      </c>
      <c r="H863">
        <v>1</v>
      </c>
      <c r="I863">
        <v>0</v>
      </c>
      <c r="J863">
        <v>11.5</v>
      </c>
      <c r="K863" t="s">
        <v>25</v>
      </c>
      <c r="L863" t="s">
        <v>15</v>
      </c>
      <c r="M863" t="s">
        <v>37</v>
      </c>
      <c r="N863" t="b">
        <v>1</v>
      </c>
      <c r="O863" t="s">
        <v>16</v>
      </c>
      <c r="P863" t="s">
        <v>17</v>
      </c>
      <c r="Q863" t="s">
        <v>38</v>
      </c>
      <c r="R863" t="b">
        <v>0</v>
      </c>
    </row>
    <row r="864" spans="1:18" x14ac:dyDescent="0.3">
      <c r="A864">
        <v>1</v>
      </c>
      <c r="B864" t="s">
        <v>27</v>
      </c>
      <c r="C864">
        <v>1</v>
      </c>
      <c r="D864" t="s">
        <v>30</v>
      </c>
      <c r="E864" t="s">
        <v>18</v>
      </c>
      <c r="F864" t="s">
        <v>39</v>
      </c>
      <c r="G864">
        <v>48</v>
      </c>
      <c r="H864">
        <v>0</v>
      </c>
      <c r="I864">
        <v>0</v>
      </c>
      <c r="J864">
        <v>25.929200000000002</v>
      </c>
      <c r="K864" t="s">
        <v>19</v>
      </c>
      <c r="L864" t="s">
        <v>20</v>
      </c>
      <c r="M864" t="s">
        <v>40</v>
      </c>
      <c r="N864" t="b">
        <v>0</v>
      </c>
      <c r="O864" t="s">
        <v>16</v>
      </c>
      <c r="P864" t="s">
        <v>22</v>
      </c>
      <c r="Q864" t="s">
        <v>41</v>
      </c>
      <c r="R864" t="b">
        <v>1</v>
      </c>
    </row>
    <row r="865" spans="1:18" x14ac:dyDescent="0.3">
      <c r="A865">
        <v>0</v>
      </c>
      <c r="B865" t="s">
        <v>26</v>
      </c>
      <c r="C865">
        <v>3</v>
      </c>
      <c r="D865" t="s">
        <v>32</v>
      </c>
      <c r="E865" t="s">
        <v>18</v>
      </c>
      <c r="F865" t="s">
        <v>39</v>
      </c>
      <c r="G865">
        <v>30</v>
      </c>
      <c r="H865">
        <v>8</v>
      </c>
      <c r="I865">
        <v>2</v>
      </c>
      <c r="J865">
        <v>69.55</v>
      </c>
      <c r="K865" t="s">
        <v>14</v>
      </c>
      <c r="L865" t="s">
        <v>20</v>
      </c>
      <c r="M865" t="s">
        <v>40</v>
      </c>
      <c r="N865" t="b">
        <v>0</v>
      </c>
      <c r="O865" t="s">
        <v>16</v>
      </c>
      <c r="P865" t="s">
        <v>17</v>
      </c>
      <c r="Q865" t="s">
        <v>38</v>
      </c>
      <c r="R865" t="b">
        <v>0</v>
      </c>
    </row>
    <row r="866" spans="1:18" x14ac:dyDescent="0.3">
      <c r="A866">
        <v>0</v>
      </c>
      <c r="B866" t="s">
        <v>26</v>
      </c>
      <c r="C866">
        <v>2</v>
      </c>
      <c r="D866" t="s">
        <v>31</v>
      </c>
      <c r="E866" t="s">
        <v>13</v>
      </c>
      <c r="F866" t="s">
        <v>36</v>
      </c>
      <c r="G866">
        <v>24</v>
      </c>
      <c r="H866">
        <v>0</v>
      </c>
      <c r="I866">
        <v>0</v>
      </c>
      <c r="J866">
        <v>13</v>
      </c>
      <c r="K866" t="s">
        <v>25</v>
      </c>
      <c r="L866" t="s">
        <v>15</v>
      </c>
      <c r="M866" t="s">
        <v>37</v>
      </c>
      <c r="N866" t="b">
        <v>1</v>
      </c>
      <c r="O866" t="s">
        <v>16</v>
      </c>
      <c r="P866" t="s">
        <v>17</v>
      </c>
      <c r="Q866" t="s">
        <v>38</v>
      </c>
      <c r="R866" t="b">
        <v>1</v>
      </c>
    </row>
    <row r="867" spans="1:18" x14ac:dyDescent="0.3">
      <c r="A867">
        <v>1</v>
      </c>
      <c r="B867" t="s">
        <v>27</v>
      </c>
      <c r="C867">
        <v>2</v>
      </c>
      <c r="D867" t="s">
        <v>31</v>
      </c>
      <c r="E867" t="s">
        <v>18</v>
      </c>
      <c r="F867" t="s">
        <v>39</v>
      </c>
      <c r="G867">
        <v>42</v>
      </c>
      <c r="H867">
        <v>0</v>
      </c>
      <c r="I867">
        <v>0</v>
      </c>
      <c r="J867">
        <v>13</v>
      </c>
      <c r="K867" t="s">
        <v>25</v>
      </c>
      <c r="L867" t="s">
        <v>20</v>
      </c>
      <c r="M867" t="s">
        <v>40</v>
      </c>
      <c r="N867" t="b">
        <v>0</v>
      </c>
      <c r="O867" t="s">
        <v>16</v>
      </c>
      <c r="P867" t="s">
        <v>22</v>
      </c>
      <c r="Q867" t="s">
        <v>41</v>
      </c>
      <c r="R867" t="b">
        <v>1</v>
      </c>
    </row>
    <row r="868" spans="1:18" x14ac:dyDescent="0.3">
      <c r="A868">
        <v>1</v>
      </c>
      <c r="B868" t="s">
        <v>27</v>
      </c>
      <c r="C868">
        <v>2</v>
      </c>
      <c r="D868" t="s">
        <v>31</v>
      </c>
      <c r="E868" t="s">
        <v>18</v>
      </c>
      <c r="F868" t="s">
        <v>39</v>
      </c>
      <c r="G868">
        <v>27</v>
      </c>
      <c r="H868">
        <v>1</v>
      </c>
      <c r="I868">
        <v>0</v>
      </c>
      <c r="J868">
        <v>13.8583</v>
      </c>
      <c r="K868" t="s">
        <v>25</v>
      </c>
      <c r="L868" t="s">
        <v>20</v>
      </c>
      <c r="M868" t="s">
        <v>40</v>
      </c>
      <c r="N868" t="b">
        <v>0</v>
      </c>
      <c r="O868" t="s">
        <v>21</v>
      </c>
      <c r="P868" t="s">
        <v>22</v>
      </c>
      <c r="Q868" t="s">
        <v>41</v>
      </c>
      <c r="R868" t="b">
        <v>0</v>
      </c>
    </row>
    <row r="869" spans="1:18" x14ac:dyDescent="0.3">
      <c r="A869">
        <v>0</v>
      </c>
      <c r="B869" t="s">
        <v>26</v>
      </c>
      <c r="C869">
        <v>1</v>
      </c>
      <c r="D869" t="s">
        <v>30</v>
      </c>
      <c r="E869" t="s">
        <v>13</v>
      </c>
      <c r="F869" t="s">
        <v>36</v>
      </c>
      <c r="G869">
        <v>31</v>
      </c>
      <c r="H869">
        <v>0</v>
      </c>
      <c r="I869">
        <v>0</v>
      </c>
      <c r="J869">
        <v>50.495800000000003</v>
      </c>
      <c r="K869" t="s">
        <v>19</v>
      </c>
      <c r="L869" t="s">
        <v>15</v>
      </c>
      <c r="M869" t="s">
        <v>37</v>
      </c>
      <c r="N869" t="b">
        <v>1</v>
      </c>
      <c r="O869" t="s">
        <v>16</v>
      </c>
      <c r="P869" t="s">
        <v>17</v>
      </c>
      <c r="Q869" t="s">
        <v>38</v>
      </c>
      <c r="R869" t="b">
        <v>1</v>
      </c>
    </row>
    <row r="870" spans="1:18" x14ac:dyDescent="0.3">
      <c r="A870">
        <v>0</v>
      </c>
      <c r="B870" t="s">
        <v>26</v>
      </c>
      <c r="C870">
        <v>3</v>
      </c>
      <c r="D870" t="s">
        <v>32</v>
      </c>
      <c r="E870" t="s">
        <v>13</v>
      </c>
      <c r="F870" t="s">
        <v>36</v>
      </c>
      <c r="G870">
        <v>30</v>
      </c>
      <c r="H870">
        <v>0</v>
      </c>
      <c r="I870">
        <v>0</v>
      </c>
      <c r="J870">
        <v>9.5</v>
      </c>
      <c r="K870" t="s">
        <v>14</v>
      </c>
      <c r="L870" t="s">
        <v>15</v>
      </c>
      <c r="M870" t="s">
        <v>37</v>
      </c>
      <c r="N870" t="b">
        <v>1</v>
      </c>
      <c r="O870" t="s">
        <v>16</v>
      </c>
      <c r="P870" t="s">
        <v>17</v>
      </c>
      <c r="Q870" t="s">
        <v>38</v>
      </c>
      <c r="R870" t="b">
        <v>1</v>
      </c>
    </row>
    <row r="871" spans="1:18" x14ac:dyDescent="0.3">
      <c r="A871">
        <v>1</v>
      </c>
      <c r="B871" t="s">
        <v>27</v>
      </c>
      <c r="C871">
        <v>3</v>
      </c>
      <c r="D871" t="s">
        <v>32</v>
      </c>
      <c r="E871" t="s">
        <v>13</v>
      </c>
      <c r="F871" t="s">
        <v>36</v>
      </c>
      <c r="G871">
        <v>4</v>
      </c>
      <c r="H871">
        <v>1</v>
      </c>
      <c r="I871">
        <v>1</v>
      </c>
      <c r="J871">
        <v>11.1333</v>
      </c>
      <c r="K871" t="s">
        <v>14</v>
      </c>
      <c r="L871" t="s">
        <v>24</v>
      </c>
      <c r="M871" t="s">
        <v>42</v>
      </c>
      <c r="N871" t="b">
        <v>0</v>
      </c>
      <c r="O871" t="s">
        <v>16</v>
      </c>
      <c r="P871" t="s">
        <v>22</v>
      </c>
      <c r="Q871" t="s">
        <v>41</v>
      </c>
      <c r="R871" t="b">
        <v>0</v>
      </c>
    </row>
    <row r="872" spans="1:18" x14ac:dyDescent="0.3">
      <c r="A872">
        <v>0</v>
      </c>
      <c r="B872" t="s">
        <v>26</v>
      </c>
      <c r="C872">
        <v>3</v>
      </c>
      <c r="D872" t="s">
        <v>32</v>
      </c>
      <c r="E872" t="s">
        <v>13</v>
      </c>
      <c r="F872" t="s">
        <v>36</v>
      </c>
      <c r="G872">
        <v>26</v>
      </c>
      <c r="H872">
        <v>0</v>
      </c>
      <c r="I872">
        <v>0</v>
      </c>
      <c r="J872">
        <v>7.8958000000000004</v>
      </c>
      <c r="K872" t="s">
        <v>14</v>
      </c>
      <c r="L872" t="s">
        <v>15</v>
      </c>
      <c r="M872" t="s">
        <v>37</v>
      </c>
      <c r="N872" t="b">
        <v>1</v>
      </c>
      <c r="O872" t="s">
        <v>16</v>
      </c>
      <c r="P872" t="s">
        <v>17</v>
      </c>
      <c r="Q872" t="s">
        <v>38</v>
      </c>
      <c r="R872" t="b">
        <v>1</v>
      </c>
    </row>
    <row r="873" spans="1:18" x14ac:dyDescent="0.3">
      <c r="A873">
        <v>1</v>
      </c>
      <c r="B873" t="s">
        <v>27</v>
      </c>
      <c r="C873">
        <v>1</v>
      </c>
      <c r="D873" t="s">
        <v>30</v>
      </c>
      <c r="E873" t="s">
        <v>18</v>
      </c>
      <c r="F873" t="s">
        <v>39</v>
      </c>
      <c r="G873">
        <v>47</v>
      </c>
      <c r="H873">
        <v>1</v>
      </c>
      <c r="I873">
        <v>1</v>
      </c>
      <c r="J873">
        <v>52.554200000000002</v>
      </c>
      <c r="K873" t="s">
        <v>19</v>
      </c>
      <c r="L873" t="s">
        <v>20</v>
      </c>
      <c r="M873" t="s">
        <v>40</v>
      </c>
      <c r="N873" t="b">
        <v>0</v>
      </c>
      <c r="O873" t="s">
        <v>16</v>
      </c>
      <c r="P873" t="s">
        <v>22</v>
      </c>
      <c r="Q873" t="s">
        <v>41</v>
      </c>
      <c r="R873" t="b">
        <v>0</v>
      </c>
    </row>
    <row r="874" spans="1:18" x14ac:dyDescent="0.3">
      <c r="A874">
        <v>0</v>
      </c>
      <c r="B874" t="s">
        <v>26</v>
      </c>
      <c r="C874">
        <v>1</v>
      </c>
      <c r="D874" t="s">
        <v>30</v>
      </c>
      <c r="E874" t="s">
        <v>13</v>
      </c>
      <c r="F874" t="s">
        <v>36</v>
      </c>
      <c r="G874">
        <v>33</v>
      </c>
      <c r="H874">
        <v>0</v>
      </c>
      <c r="I874">
        <v>0</v>
      </c>
      <c r="J874">
        <v>5</v>
      </c>
      <c r="K874" t="s">
        <v>19</v>
      </c>
      <c r="L874" t="s">
        <v>15</v>
      </c>
      <c r="M874" t="s">
        <v>37</v>
      </c>
      <c r="N874" t="b">
        <v>1</v>
      </c>
      <c r="O874" t="s">
        <v>16</v>
      </c>
      <c r="P874" t="s">
        <v>17</v>
      </c>
      <c r="Q874" t="s">
        <v>38</v>
      </c>
      <c r="R874" t="b">
        <v>1</v>
      </c>
    </row>
    <row r="875" spans="1:18" x14ac:dyDescent="0.3">
      <c r="A875">
        <v>0</v>
      </c>
      <c r="B875" t="s">
        <v>26</v>
      </c>
      <c r="C875">
        <v>3</v>
      </c>
      <c r="D875" t="s">
        <v>32</v>
      </c>
      <c r="E875" t="s">
        <v>13</v>
      </c>
      <c r="F875" t="s">
        <v>36</v>
      </c>
      <c r="G875">
        <v>47</v>
      </c>
      <c r="H875">
        <v>0</v>
      </c>
      <c r="I875">
        <v>0</v>
      </c>
      <c r="J875">
        <v>9</v>
      </c>
      <c r="K875" t="s">
        <v>14</v>
      </c>
      <c r="L875" t="s">
        <v>15</v>
      </c>
      <c r="M875" t="s">
        <v>37</v>
      </c>
      <c r="N875" t="b">
        <v>1</v>
      </c>
      <c r="O875" t="s">
        <v>16</v>
      </c>
      <c r="P875" t="s">
        <v>17</v>
      </c>
      <c r="Q875" t="s">
        <v>38</v>
      </c>
      <c r="R875" t="b">
        <v>1</v>
      </c>
    </row>
    <row r="876" spans="1:18" x14ac:dyDescent="0.3">
      <c r="A876">
        <v>1</v>
      </c>
      <c r="B876" t="s">
        <v>27</v>
      </c>
      <c r="C876">
        <v>2</v>
      </c>
      <c r="D876" t="s">
        <v>31</v>
      </c>
      <c r="E876" t="s">
        <v>18</v>
      </c>
      <c r="F876" t="s">
        <v>39</v>
      </c>
      <c r="G876">
        <v>28</v>
      </c>
      <c r="H876">
        <v>1</v>
      </c>
      <c r="I876">
        <v>0</v>
      </c>
      <c r="J876">
        <v>24</v>
      </c>
      <c r="K876" t="s">
        <v>25</v>
      </c>
      <c r="L876" t="s">
        <v>20</v>
      </c>
      <c r="M876" t="s">
        <v>40</v>
      </c>
      <c r="N876" t="b">
        <v>0</v>
      </c>
      <c r="O876" t="s">
        <v>21</v>
      </c>
      <c r="P876" t="s">
        <v>22</v>
      </c>
      <c r="Q876" t="s">
        <v>41</v>
      </c>
      <c r="R876" t="b">
        <v>0</v>
      </c>
    </row>
    <row r="877" spans="1:18" x14ac:dyDescent="0.3">
      <c r="A877">
        <v>1</v>
      </c>
      <c r="B877" t="s">
        <v>27</v>
      </c>
      <c r="C877">
        <v>3</v>
      </c>
      <c r="D877" t="s">
        <v>32</v>
      </c>
      <c r="E877" t="s">
        <v>18</v>
      </c>
      <c r="F877" t="s">
        <v>39</v>
      </c>
      <c r="G877">
        <v>15</v>
      </c>
      <c r="H877">
        <v>0</v>
      </c>
      <c r="I877">
        <v>0</v>
      </c>
      <c r="J877">
        <v>7.2249999999999996</v>
      </c>
      <c r="K877" t="s">
        <v>14</v>
      </c>
      <c r="L877" t="s">
        <v>24</v>
      </c>
      <c r="M877" t="s">
        <v>42</v>
      </c>
      <c r="N877" t="b">
        <v>0</v>
      </c>
      <c r="O877" t="s">
        <v>21</v>
      </c>
      <c r="P877" t="s">
        <v>22</v>
      </c>
      <c r="Q877" t="s">
        <v>41</v>
      </c>
      <c r="R877" t="b">
        <v>1</v>
      </c>
    </row>
    <row r="878" spans="1:18" x14ac:dyDescent="0.3">
      <c r="A878">
        <v>0</v>
      </c>
      <c r="B878" t="s">
        <v>26</v>
      </c>
      <c r="C878">
        <v>3</v>
      </c>
      <c r="D878" t="s">
        <v>32</v>
      </c>
      <c r="E878" t="s">
        <v>13</v>
      </c>
      <c r="F878" t="s">
        <v>36</v>
      </c>
      <c r="G878">
        <v>20</v>
      </c>
      <c r="H878">
        <v>0</v>
      </c>
      <c r="I878">
        <v>0</v>
      </c>
      <c r="J878">
        <v>9.8458000000000006</v>
      </c>
      <c r="K878" t="s">
        <v>14</v>
      </c>
      <c r="L878" t="s">
        <v>15</v>
      </c>
      <c r="M878" t="s">
        <v>37</v>
      </c>
      <c r="N878" t="b">
        <v>1</v>
      </c>
      <c r="O878" t="s">
        <v>16</v>
      </c>
      <c r="P878" t="s">
        <v>17</v>
      </c>
      <c r="Q878" t="s">
        <v>38</v>
      </c>
      <c r="R878" t="b">
        <v>1</v>
      </c>
    </row>
    <row r="879" spans="1:18" x14ac:dyDescent="0.3">
      <c r="A879">
        <v>0</v>
      </c>
      <c r="B879" t="s">
        <v>26</v>
      </c>
      <c r="C879">
        <v>3</v>
      </c>
      <c r="D879" t="s">
        <v>32</v>
      </c>
      <c r="E879" t="s">
        <v>13</v>
      </c>
      <c r="F879" t="s">
        <v>36</v>
      </c>
      <c r="G879">
        <v>19</v>
      </c>
      <c r="H879">
        <v>0</v>
      </c>
      <c r="I879">
        <v>0</v>
      </c>
      <c r="J879">
        <v>7.8958000000000004</v>
      </c>
      <c r="K879" t="s">
        <v>14</v>
      </c>
      <c r="L879" t="s">
        <v>15</v>
      </c>
      <c r="M879" t="s">
        <v>37</v>
      </c>
      <c r="N879" t="b">
        <v>1</v>
      </c>
      <c r="O879" t="s">
        <v>16</v>
      </c>
      <c r="P879" t="s">
        <v>17</v>
      </c>
      <c r="Q879" t="s">
        <v>38</v>
      </c>
      <c r="R879" t="b">
        <v>1</v>
      </c>
    </row>
    <row r="880" spans="1:18" x14ac:dyDescent="0.3">
      <c r="A880">
        <v>0</v>
      </c>
      <c r="B880" t="s">
        <v>26</v>
      </c>
      <c r="C880">
        <v>3</v>
      </c>
      <c r="D880" t="s">
        <v>32</v>
      </c>
      <c r="E880" t="s">
        <v>13</v>
      </c>
      <c r="F880" t="s">
        <v>36</v>
      </c>
      <c r="G880">
        <v>30</v>
      </c>
      <c r="H880">
        <v>0</v>
      </c>
      <c r="I880">
        <v>0</v>
      </c>
      <c r="J880">
        <v>7.8958000000000004</v>
      </c>
      <c r="K880" t="s">
        <v>14</v>
      </c>
      <c r="L880" t="s">
        <v>15</v>
      </c>
      <c r="M880" t="s">
        <v>37</v>
      </c>
      <c r="N880" t="b">
        <v>1</v>
      </c>
      <c r="O880" t="s">
        <v>16</v>
      </c>
      <c r="P880" t="s">
        <v>17</v>
      </c>
      <c r="Q880" t="s">
        <v>38</v>
      </c>
      <c r="R880" t="b">
        <v>1</v>
      </c>
    </row>
    <row r="881" spans="1:18" x14ac:dyDescent="0.3">
      <c r="A881">
        <v>1</v>
      </c>
      <c r="B881" t="s">
        <v>27</v>
      </c>
      <c r="C881">
        <v>1</v>
      </c>
      <c r="D881" t="s">
        <v>30</v>
      </c>
      <c r="E881" t="s">
        <v>18</v>
      </c>
      <c r="F881" t="s">
        <v>39</v>
      </c>
      <c r="G881">
        <v>56</v>
      </c>
      <c r="H881">
        <v>0</v>
      </c>
      <c r="I881">
        <v>1</v>
      </c>
      <c r="J881">
        <v>83.158299999999997</v>
      </c>
      <c r="K881" t="s">
        <v>19</v>
      </c>
      <c r="L881" t="s">
        <v>20</v>
      </c>
      <c r="M881" t="s">
        <v>40</v>
      </c>
      <c r="N881" t="b">
        <v>0</v>
      </c>
      <c r="O881" t="s">
        <v>21</v>
      </c>
      <c r="P881" t="s">
        <v>22</v>
      </c>
      <c r="Q881" t="s">
        <v>41</v>
      </c>
      <c r="R881" t="b">
        <v>0</v>
      </c>
    </row>
    <row r="882" spans="1:18" x14ac:dyDescent="0.3">
      <c r="A882">
        <v>1</v>
      </c>
      <c r="B882" t="s">
        <v>27</v>
      </c>
      <c r="C882">
        <v>2</v>
      </c>
      <c r="D882" t="s">
        <v>31</v>
      </c>
      <c r="E882" t="s">
        <v>18</v>
      </c>
      <c r="F882" t="s">
        <v>39</v>
      </c>
      <c r="G882">
        <v>25</v>
      </c>
      <c r="H882">
        <v>0</v>
      </c>
      <c r="I882">
        <v>1</v>
      </c>
      <c r="J882">
        <v>26</v>
      </c>
      <c r="K882" t="s">
        <v>25</v>
      </c>
      <c r="L882" t="s">
        <v>20</v>
      </c>
      <c r="M882" t="s">
        <v>40</v>
      </c>
      <c r="N882" t="b">
        <v>0</v>
      </c>
      <c r="O882" t="s">
        <v>16</v>
      </c>
      <c r="P882" t="s">
        <v>22</v>
      </c>
      <c r="Q882" t="s">
        <v>41</v>
      </c>
      <c r="R882" t="b">
        <v>0</v>
      </c>
    </row>
    <row r="883" spans="1:18" x14ac:dyDescent="0.3">
      <c r="A883">
        <v>0</v>
      </c>
      <c r="B883" t="s">
        <v>26</v>
      </c>
      <c r="C883">
        <v>3</v>
      </c>
      <c r="D883" t="s">
        <v>32</v>
      </c>
      <c r="E883" t="s">
        <v>13</v>
      </c>
      <c r="F883" t="s">
        <v>36</v>
      </c>
      <c r="G883">
        <v>33</v>
      </c>
      <c r="H883">
        <v>0</v>
      </c>
      <c r="I883">
        <v>0</v>
      </c>
      <c r="J883">
        <v>7.8958000000000004</v>
      </c>
      <c r="K883" t="s">
        <v>14</v>
      </c>
      <c r="L883" t="s">
        <v>15</v>
      </c>
      <c r="M883" t="s">
        <v>37</v>
      </c>
      <c r="N883" t="b">
        <v>1</v>
      </c>
      <c r="O883" t="s">
        <v>16</v>
      </c>
      <c r="P883" t="s">
        <v>17</v>
      </c>
      <c r="Q883" t="s">
        <v>38</v>
      </c>
      <c r="R883" t="b">
        <v>1</v>
      </c>
    </row>
    <row r="884" spans="1:18" x14ac:dyDescent="0.3">
      <c r="A884">
        <v>0</v>
      </c>
      <c r="B884" t="s">
        <v>26</v>
      </c>
      <c r="C884">
        <v>3</v>
      </c>
      <c r="D884" t="s">
        <v>32</v>
      </c>
      <c r="E884" t="s">
        <v>18</v>
      </c>
      <c r="F884" t="s">
        <v>39</v>
      </c>
      <c r="G884">
        <v>22</v>
      </c>
      <c r="H884">
        <v>0</v>
      </c>
      <c r="I884">
        <v>0</v>
      </c>
      <c r="J884">
        <v>10.5167</v>
      </c>
      <c r="K884" t="s">
        <v>14</v>
      </c>
      <c r="L884" t="s">
        <v>20</v>
      </c>
      <c r="M884" t="s">
        <v>40</v>
      </c>
      <c r="N884" t="b">
        <v>0</v>
      </c>
      <c r="O884" t="s">
        <v>16</v>
      </c>
      <c r="P884" t="s">
        <v>17</v>
      </c>
      <c r="Q884" t="s">
        <v>38</v>
      </c>
      <c r="R884" t="b">
        <v>1</v>
      </c>
    </row>
    <row r="885" spans="1:18" x14ac:dyDescent="0.3">
      <c r="A885">
        <v>0</v>
      </c>
      <c r="B885" t="s">
        <v>26</v>
      </c>
      <c r="C885">
        <v>2</v>
      </c>
      <c r="D885" t="s">
        <v>31</v>
      </c>
      <c r="E885" t="s">
        <v>13</v>
      </c>
      <c r="F885" t="s">
        <v>36</v>
      </c>
      <c r="G885">
        <v>28</v>
      </c>
      <c r="H885">
        <v>0</v>
      </c>
      <c r="I885">
        <v>0</v>
      </c>
      <c r="J885">
        <v>10.5</v>
      </c>
      <c r="K885" t="s">
        <v>25</v>
      </c>
      <c r="L885" t="s">
        <v>15</v>
      </c>
      <c r="M885" t="s">
        <v>37</v>
      </c>
      <c r="N885" t="b">
        <v>1</v>
      </c>
      <c r="O885" t="s">
        <v>16</v>
      </c>
      <c r="P885" t="s">
        <v>17</v>
      </c>
      <c r="Q885" t="s">
        <v>38</v>
      </c>
      <c r="R885" t="b">
        <v>1</v>
      </c>
    </row>
    <row r="886" spans="1:18" x14ac:dyDescent="0.3">
      <c r="A886">
        <v>0</v>
      </c>
      <c r="B886" t="s">
        <v>26</v>
      </c>
      <c r="C886">
        <v>3</v>
      </c>
      <c r="D886" t="s">
        <v>32</v>
      </c>
      <c r="E886" t="s">
        <v>13</v>
      </c>
      <c r="F886" t="s">
        <v>36</v>
      </c>
      <c r="G886">
        <v>25</v>
      </c>
      <c r="H886">
        <v>0</v>
      </c>
      <c r="I886">
        <v>0</v>
      </c>
      <c r="J886">
        <v>7.05</v>
      </c>
      <c r="K886" t="s">
        <v>14</v>
      </c>
      <c r="L886" t="s">
        <v>15</v>
      </c>
      <c r="M886" t="s">
        <v>37</v>
      </c>
      <c r="N886" t="b">
        <v>1</v>
      </c>
      <c r="O886" t="s">
        <v>16</v>
      </c>
      <c r="P886" t="s">
        <v>17</v>
      </c>
      <c r="Q886" t="s">
        <v>38</v>
      </c>
      <c r="R886" t="b">
        <v>1</v>
      </c>
    </row>
    <row r="887" spans="1:18" x14ac:dyDescent="0.3">
      <c r="A887">
        <v>0</v>
      </c>
      <c r="B887" t="s">
        <v>26</v>
      </c>
      <c r="C887">
        <v>3</v>
      </c>
      <c r="D887" t="s">
        <v>32</v>
      </c>
      <c r="E887" t="s">
        <v>18</v>
      </c>
      <c r="F887" t="s">
        <v>39</v>
      </c>
      <c r="G887">
        <v>39</v>
      </c>
      <c r="H887">
        <v>0</v>
      </c>
      <c r="I887">
        <v>5</v>
      </c>
      <c r="J887">
        <v>29.125</v>
      </c>
      <c r="K887" t="s">
        <v>14</v>
      </c>
      <c r="L887" t="s">
        <v>20</v>
      </c>
      <c r="M887" t="s">
        <v>40</v>
      </c>
      <c r="N887" t="b">
        <v>0</v>
      </c>
      <c r="O887" t="s">
        <v>23</v>
      </c>
      <c r="P887" t="s">
        <v>17</v>
      </c>
      <c r="Q887" t="s">
        <v>38</v>
      </c>
      <c r="R887" t="b">
        <v>0</v>
      </c>
    </row>
    <row r="888" spans="1:18" x14ac:dyDescent="0.3">
      <c r="A888">
        <v>0</v>
      </c>
      <c r="B888" t="s">
        <v>26</v>
      </c>
      <c r="C888">
        <v>2</v>
      </c>
      <c r="D888" t="s">
        <v>31</v>
      </c>
      <c r="E888" t="s">
        <v>13</v>
      </c>
      <c r="F888" t="s">
        <v>36</v>
      </c>
      <c r="G888">
        <v>27</v>
      </c>
      <c r="H888">
        <v>0</v>
      </c>
      <c r="I888">
        <v>0</v>
      </c>
      <c r="J888">
        <v>13</v>
      </c>
      <c r="K888" t="s">
        <v>25</v>
      </c>
      <c r="L888" t="s">
        <v>15</v>
      </c>
      <c r="M888" t="s">
        <v>37</v>
      </c>
      <c r="N888" t="b">
        <v>1</v>
      </c>
      <c r="O888" t="s">
        <v>16</v>
      </c>
      <c r="P888" t="s">
        <v>17</v>
      </c>
      <c r="Q888" t="s">
        <v>38</v>
      </c>
      <c r="R888" t="b">
        <v>1</v>
      </c>
    </row>
    <row r="889" spans="1:18" x14ac:dyDescent="0.3">
      <c r="A889">
        <v>1</v>
      </c>
      <c r="B889" t="s">
        <v>27</v>
      </c>
      <c r="C889">
        <v>1</v>
      </c>
      <c r="D889" t="s">
        <v>30</v>
      </c>
      <c r="E889" t="s">
        <v>18</v>
      </c>
      <c r="F889" t="s">
        <v>39</v>
      </c>
      <c r="G889">
        <v>19</v>
      </c>
      <c r="H889">
        <v>0</v>
      </c>
      <c r="I889">
        <v>0</v>
      </c>
      <c r="J889">
        <v>30</v>
      </c>
      <c r="K889" t="s">
        <v>19</v>
      </c>
      <c r="L889" t="s">
        <v>20</v>
      </c>
      <c r="M889" t="s">
        <v>40</v>
      </c>
      <c r="N889" t="b">
        <v>0</v>
      </c>
      <c r="O889" t="s">
        <v>16</v>
      </c>
      <c r="P889" t="s">
        <v>22</v>
      </c>
      <c r="Q889" t="s">
        <v>41</v>
      </c>
      <c r="R889" t="b">
        <v>1</v>
      </c>
    </row>
    <row r="890" spans="1:18" x14ac:dyDescent="0.3">
      <c r="A890">
        <v>0</v>
      </c>
      <c r="B890" t="s">
        <v>26</v>
      </c>
      <c r="C890">
        <v>3</v>
      </c>
      <c r="D890" t="s">
        <v>32</v>
      </c>
      <c r="E890" t="s">
        <v>18</v>
      </c>
      <c r="F890" t="s">
        <v>39</v>
      </c>
      <c r="G890">
        <v>30</v>
      </c>
      <c r="H890">
        <v>1</v>
      </c>
      <c r="I890">
        <v>2</v>
      </c>
      <c r="J890">
        <v>23.45</v>
      </c>
      <c r="K890" t="s">
        <v>14</v>
      </c>
      <c r="L890" t="s">
        <v>20</v>
      </c>
      <c r="M890" t="s">
        <v>40</v>
      </c>
      <c r="N890" t="b">
        <v>0</v>
      </c>
      <c r="O890" t="s">
        <v>16</v>
      </c>
      <c r="P890" t="s">
        <v>17</v>
      </c>
      <c r="Q890" t="s">
        <v>38</v>
      </c>
      <c r="R890" t="b">
        <v>0</v>
      </c>
    </row>
    <row r="891" spans="1:18" x14ac:dyDescent="0.3">
      <c r="A891">
        <v>1</v>
      </c>
      <c r="B891" t="s">
        <v>27</v>
      </c>
      <c r="C891">
        <v>1</v>
      </c>
      <c r="D891" t="s">
        <v>30</v>
      </c>
      <c r="E891" t="s">
        <v>13</v>
      </c>
      <c r="F891" t="s">
        <v>36</v>
      </c>
      <c r="G891">
        <v>26</v>
      </c>
      <c r="H891">
        <v>0</v>
      </c>
      <c r="I891">
        <v>0</v>
      </c>
      <c r="J891">
        <v>30</v>
      </c>
      <c r="K891" t="s">
        <v>19</v>
      </c>
      <c r="L891" t="s">
        <v>15</v>
      </c>
      <c r="M891" t="s">
        <v>37</v>
      </c>
      <c r="N891" t="b">
        <v>1</v>
      </c>
      <c r="O891" t="s">
        <v>21</v>
      </c>
      <c r="P891" t="s">
        <v>22</v>
      </c>
      <c r="Q891" t="s">
        <v>41</v>
      </c>
      <c r="R891" t="b">
        <v>1</v>
      </c>
    </row>
    <row r="892" spans="1:18" x14ac:dyDescent="0.3">
      <c r="A892">
        <v>0</v>
      </c>
      <c r="B892" t="s">
        <v>26</v>
      </c>
      <c r="C892">
        <v>3</v>
      </c>
      <c r="D892" t="s">
        <v>32</v>
      </c>
      <c r="E892" t="s">
        <v>13</v>
      </c>
      <c r="F892" t="s">
        <v>36</v>
      </c>
      <c r="G892">
        <v>32</v>
      </c>
      <c r="H892">
        <v>0</v>
      </c>
      <c r="I892">
        <v>0</v>
      </c>
      <c r="J892">
        <v>7.75</v>
      </c>
      <c r="K892" t="s">
        <v>14</v>
      </c>
      <c r="L892" t="s">
        <v>15</v>
      </c>
      <c r="M892" t="s">
        <v>37</v>
      </c>
      <c r="N892" t="b">
        <v>1</v>
      </c>
      <c r="O892" t="s">
        <v>23</v>
      </c>
      <c r="P892" t="s">
        <v>17</v>
      </c>
      <c r="Q892" t="s">
        <v>38</v>
      </c>
      <c r="R892" t="b">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06C0-0C70-467B-B57B-FEEBCC79D5C4}">
  <dimension ref="A1:E130"/>
  <sheetViews>
    <sheetView topLeftCell="A110" zoomScale="145" workbookViewId="0">
      <selection activeCell="E19" sqref="E19"/>
    </sheetView>
  </sheetViews>
  <sheetFormatPr defaultRowHeight="14.4" x14ac:dyDescent="0.3"/>
  <cols>
    <col min="1" max="2" width="12.5546875" bestFit="1" customWidth="1"/>
    <col min="3" max="3" width="13.5546875" bestFit="1" customWidth="1"/>
    <col min="4" max="4" width="8.33203125" bestFit="1" customWidth="1"/>
    <col min="5" max="5" width="10.88671875" bestFit="1" customWidth="1"/>
  </cols>
  <sheetData>
    <row r="1" spans="1:5" ht="18" x14ac:dyDescent="0.35">
      <c r="A1" s="2" t="s">
        <v>46</v>
      </c>
    </row>
    <row r="3" spans="1:5" x14ac:dyDescent="0.3">
      <c r="A3" t="s">
        <v>47</v>
      </c>
    </row>
    <row r="4" spans="1:5" x14ac:dyDescent="0.3">
      <c r="A4" s="28">
        <v>891</v>
      </c>
      <c r="B4">
        <f>GETPIVOTDATA("New_survived",$A$3)</f>
        <v>891</v>
      </c>
    </row>
    <row r="8" spans="1:5" ht="18" x14ac:dyDescent="0.35">
      <c r="A8" s="2" t="s">
        <v>48</v>
      </c>
    </row>
    <row r="11" spans="1:5" x14ac:dyDescent="0.3">
      <c r="A11" s="3" t="s">
        <v>49</v>
      </c>
      <c r="B11" t="s">
        <v>47</v>
      </c>
    </row>
    <row r="12" spans="1:5" x14ac:dyDescent="0.3">
      <c r="A12" s="4" t="s">
        <v>26</v>
      </c>
      <c r="B12" s="28">
        <v>549</v>
      </c>
      <c r="C12">
        <f>GETPIVOTDATA("New_survived",$A$11,"New_survived","Not Survived")</f>
        <v>549</v>
      </c>
    </row>
    <row r="13" spans="1:5" x14ac:dyDescent="0.3">
      <c r="A13" s="4" t="s">
        <v>27</v>
      </c>
      <c r="B13" s="28">
        <v>342</v>
      </c>
      <c r="C13">
        <f>GETPIVOTDATA("New_survived",$A$11,"New_survived","Survived")</f>
        <v>342</v>
      </c>
    </row>
    <row r="14" spans="1:5" x14ac:dyDescent="0.3">
      <c r="A14" s="4" t="s">
        <v>50</v>
      </c>
      <c r="B14" s="28">
        <v>891</v>
      </c>
      <c r="C14">
        <f>GETPIVOTDATA("New_survived",$A$11)</f>
        <v>891</v>
      </c>
    </row>
    <row r="16" spans="1:5" x14ac:dyDescent="0.3">
      <c r="E16" s="6">
        <f>C14/891</f>
        <v>1</v>
      </c>
    </row>
    <row r="17" spans="1:3" ht="18" x14ac:dyDescent="0.35">
      <c r="A17" s="2" t="s">
        <v>51</v>
      </c>
    </row>
    <row r="18" spans="1:3" x14ac:dyDescent="0.3">
      <c r="C18" s="6">
        <f>(C12/C13*C14)</f>
        <v>1430.2894736842106</v>
      </c>
    </row>
    <row r="19" spans="1:3" x14ac:dyDescent="0.3">
      <c r="A19" s="5">
        <f>(C13/C14)</f>
        <v>0.38383838383838381</v>
      </c>
    </row>
    <row r="21" spans="1:3" ht="18" x14ac:dyDescent="0.35">
      <c r="A21" s="2" t="s">
        <v>52</v>
      </c>
      <c r="B21" s="2"/>
    </row>
    <row r="23" spans="1:3" x14ac:dyDescent="0.3">
      <c r="A23" s="3" t="s">
        <v>49</v>
      </c>
      <c r="B23" t="s">
        <v>53</v>
      </c>
    </row>
    <row r="24" spans="1:3" x14ac:dyDescent="0.3">
      <c r="A24" s="4" t="s">
        <v>39</v>
      </c>
      <c r="B24" s="28">
        <v>314</v>
      </c>
    </row>
    <row r="25" spans="1:3" x14ac:dyDescent="0.3">
      <c r="A25" s="4" t="s">
        <v>36</v>
      </c>
      <c r="B25" s="28">
        <v>577</v>
      </c>
    </row>
    <row r="26" spans="1:3" x14ac:dyDescent="0.3">
      <c r="A26" s="4" t="s">
        <v>50</v>
      </c>
      <c r="B26" s="28">
        <v>891</v>
      </c>
    </row>
    <row r="29" spans="1:3" x14ac:dyDescent="0.3">
      <c r="A29" s="4" t="s">
        <v>54</v>
      </c>
    </row>
    <row r="31" spans="1:3" x14ac:dyDescent="0.3">
      <c r="A31" s="3" t="s">
        <v>49</v>
      </c>
      <c r="B31" t="s">
        <v>55</v>
      </c>
    </row>
    <row r="32" spans="1:3" x14ac:dyDescent="0.3">
      <c r="A32" s="4" t="s">
        <v>30</v>
      </c>
      <c r="B32" s="28">
        <v>216</v>
      </c>
    </row>
    <row r="33" spans="1:2" x14ac:dyDescent="0.3">
      <c r="A33" s="4" t="s">
        <v>31</v>
      </c>
      <c r="B33" s="28">
        <v>184</v>
      </c>
    </row>
    <row r="34" spans="1:2" x14ac:dyDescent="0.3">
      <c r="A34" s="4" t="s">
        <v>32</v>
      </c>
      <c r="B34" s="28">
        <v>491</v>
      </c>
    </row>
    <row r="35" spans="1:2" x14ac:dyDescent="0.3">
      <c r="A35" s="4" t="s">
        <v>50</v>
      </c>
      <c r="B35" s="28">
        <v>891</v>
      </c>
    </row>
    <row r="38" spans="1:2" x14ac:dyDescent="0.3">
      <c r="A38" s="4" t="s">
        <v>56</v>
      </c>
    </row>
    <row r="41" spans="1:2" x14ac:dyDescent="0.3">
      <c r="A41" s="3" t="s">
        <v>49</v>
      </c>
      <c r="B41" t="s">
        <v>57</v>
      </c>
    </row>
    <row r="42" spans="1:2" x14ac:dyDescent="0.3">
      <c r="A42" s="4" t="s">
        <v>21</v>
      </c>
      <c r="B42" s="28">
        <v>168</v>
      </c>
    </row>
    <row r="43" spans="1:2" x14ac:dyDescent="0.3">
      <c r="A43" s="4" t="s">
        <v>23</v>
      </c>
      <c r="B43" s="28">
        <v>77</v>
      </c>
    </row>
    <row r="44" spans="1:2" x14ac:dyDescent="0.3">
      <c r="A44" s="4" t="s">
        <v>16</v>
      </c>
      <c r="B44" s="28">
        <v>646</v>
      </c>
    </row>
    <row r="45" spans="1:2" x14ac:dyDescent="0.3">
      <c r="A45" s="4" t="s">
        <v>50</v>
      </c>
      <c r="B45" s="28">
        <v>891</v>
      </c>
    </row>
    <row r="48" spans="1:2" ht="18" x14ac:dyDescent="0.35">
      <c r="A48" s="2" t="s">
        <v>58</v>
      </c>
    </row>
    <row r="51" spans="1:5" x14ac:dyDescent="0.3">
      <c r="B51" s="3" t="s">
        <v>53</v>
      </c>
      <c r="C51" s="3" t="s">
        <v>59</v>
      </c>
    </row>
    <row r="52" spans="1:5" x14ac:dyDescent="0.3">
      <c r="B52" s="3" t="s">
        <v>49</v>
      </c>
      <c r="C52" t="s">
        <v>26</v>
      </c>
      <c r="D52" t="s">
        <v>27</v>
      </c>
      <c r="E52" t="s">
        <v>50</v>
      </c>
    </row>
    <row r="53" spans="1:5" x14ac:dyDescent="0.3">
      <c r="B53" s="4" t="s">
        <v>39</v>
      </c>
      <c r="C53" s="28">
        <v>81</v>
      </c>
      <c r="D53" s="28">
        <v>233</v>
      </c>
      <c r="E53" s="28">
        <v>314</v>
      </c>
    </row>
    <row r="54" spans="1:5" x14ac:dyDescent="0.3">
      <c r="B54" s="4" t="s">
        <v>36</v>
      </c>
      <c r="C54" s="28">
        <v>468</v>
      </c>
      <c r="D54" s="28">
        <v>109</v>
      </c>
      <c r="E54" s="28">
        <v>577</v>
      </c>
    </row>
    <row r="55" spans="1:5" x14ac:dyDescent="0.3">
      <c r="B55" s="4" t="s">
        <v>50</v>
      </c>
      <c r="C55" s="28">
        <v>549</v>
      </c>
      <c r="D55" s="28">
        <v>342</v>
      </c>
      <c r="E55" s="28">
        <v>891</v>
      </c>
    </row>
    <row r="60" spans="1:5" ht="18" x14ac:dyDescent="0.35">
      <c r="A60" s="2" t="s">
        <v>60</v>
      </c>
    </row>
    <row r="63" spans="1:5" x14ac:dyDescent="0.3">
      <c r="B63" s="3" t="s">
        <v>55</v>
      </c>
      <c r="C63" s="3" t="s">
        <v>59</v>
      </c>
    </row>
    <row r="64" spans="1:5" x14ac:dyDescent="0.3">
      <c r="B64" s="3" t="s">
        <v>49</v>
      </c>
      <c r="C64" t="s">
        <v>26</v>
      </c>
      <c r="D64" t="s">
        <v>27</v>
      </c>
      <c r="E64" t="s">
        <v>50</v>
      </c>
    </row>
    <row r="65" spans="1:5" x14ac:dyDescent="0.3">
      <c r="B65" s="4" t="s">
        <v>30</v>
      </c>
      <c r="C65" s="28">
        <v>80</v>
      </c>
      <c r="D65" s="28">
        <v>136</v>
      </c>
      <c r="E65" s="28">
        <v>216</v>
      </c>
    </row>
    <row r="66" spans="1:5" x14ac:dyDescent="0.3">
      <c r="B66" s="4" t="s">
        <v>31</v>
      </c>
      <c r="C66" s="28">
        <v>97</v>
      </c>
      <c r="D66" s="28">
        <v>87</v>
      </c>
      <c r="E66" s="28">
        <v>184</v>
      </c>
    </row>
    <row r="67" spans="1:5" x14ac:dyDescent="0.3">
      <c r="B67" s="4" t="s">
        <v>32</v>
      </c>
      <c r="C67" s="28">
        <v>372</v>
      </c>
      <c r="D67" s="28">
        <v>119</v>
      </c>
      <c r="E67" s="28">
        <v>491</v>
      </c>
    </row>
    <row r="68" spans="1:5" x14ac:dyDescent="0.3">
      <c r="B68" s="4" t="s">
        <v>50</v>
      </c>
      <c r="C68" s="28">
        <v>549</v>
      </c>
      <c r="D68" s="28">
        <v>342</v>
      </c>
      <c r="E68" s="28">
        <v>891</v>
      </c>
    </row>
    <row r="72" spans="1:5" x14ac:dyDescent="0.3">
      <c r="A72" t="s">
        <v>61</v>
      </c>
    </row>
    <row r="75" spans="1:5" x14ac:dyDescent="0.3">
      <c r="B75" s="3" t="s">
        <v>57</v>
      </c>
      <c r="C75" s="3" t="s">
        <v>59</v>
      </c>
    </row>
    <row r="76" spans="1:5" x14ac:dyDescent="0.3">
      <c r="B76" s="3" t="s">
        <v>49</v>
      </c>
      <c r="C76" t="s">
        <v>26</v>
      </c>
      <c r="D76" t="s">
        <v>27</v>
      </c>
      <c r="E76" t="s">
        <v>50</v>
      </c>
    </row>
    <row r="77" spans="1:5" x14ac:dyDescent="0.3">
      <c r="B77" s="4" t="s">
        <v>21</v>
      </c>
      <c r="C77" s="28">
        <v>75</v>
      </c>
      <c r="D77" s="28">
        <v>93</v>
      </c>
      <c r="E77" s="28">
        <v>168</v>
      </c>
    </row>
    <row r="78" spans="1:5" x14ac:dyDescent="0.3">
      <c r="B78" s="4" t="s">
        <v>23</v>
      </c>
      <c r="C78" s="28">
        <v>47</v>
      </c>
      <c r="D78" s="28">
        <v>30</v>
      </c>
      <c r="E78" s="28">
        <v>77</v>
      </c>
    </row>
    <row r="79" spans="1:5" x14ac:dyDescent="0.3">
      <c r="B79" s="4" t="s">
        <v>16</v>
      </c>
      <c r="C79" s="28">
        <v>427</v>
      </c>
      <c r="D79" s="28">
        <v>219</v>
      </c>
      <c r="E79" s="28">
        <v>646</v>
      </c>
    </row>
    <row r="80" spans="1:5" x14ac:dyDescent="0.3">
      <c r="B80" s="4" t="s">
        <v>50</v>
      </c>
      <c r="C80" s="28">
        <v>549</v>
      </c>
      <c r="D80" s="28">
        <v>342</v>
      </c>
      <c r="E80" s="28">
        <v>891</v>
      </c>
    </row>
    <row r="84" spans="1:3" x14ac:dyDescent="0.3">
      <c r="A84" t="s">
        <v>62</v>
      </c>
    </row>
    <row r="87" spans="1:3" x14ac:dyDescent="0.3">
      <c r="B87" s="3" t="s">
        <v>49</v>
      </c>
      <c r="C87" t="s">
        <v>65</v>
      </c>
    </row>
    <row r="88" spans="1:3" x14ac:dyDescent="0.3">
      <c r="B88" s="4" t="s">
        <v>63</v>
      </c>
      <c r="C88" s="28">
        <v>354</v>
      </c>
    </row>
    <row r="89" spans="1:3" x14ac:dyDescent="0.3">
      <c r="B89" s="4" t="s">
        <v>64</v>
      </c>
      <c r="C89" s="28">
        <v>537</v>
      </c>
    </row>
    <row r="90" spans="1:3" x14ac:dyDescent="0.3">
      <c r="B90" s="4" t="s">
        <v>50</v>
      </c>
      <c r="C90" s="28">
        <v>891</v>
      </c>
    </row>
    <row r="95" spans="1:3" x14ac:dyDescent="0.3">
      <c r="A95" t="s">
        <v>66</v>
      </c>
    </row>
    <row r="98" spans="1:5" x14ac:dyDescent="0.3">
      <c r="B98" s="3" t="s">
        <v>65</v>
      </c>
      <c r="C98" s="3" t="s">
        <v>59</v>
      </c>
    </row>
    <row r="99" spans="1:5" x14ac:dyDescent="0.3">
      <c r="B99" s="3" t="s">
        <v>49</v>
      </c>
      <c r="C99" t="s">
        <v>26</v>
      </c>
      <c r="D99" t="s">
        <v>27</v>
      </c>
      <c r="E99" t="s">
        <v>50</v>
      </c>
    </row>
    <row r="100" spans="1:5" x14ac:dyDescent="0.3">
      <c r="B100" s="4" t="s">
        <v>63</v>
      </c>
      <c r="C100" s="28">
        <v>175</v>
      </c>
      <c r="D100" s="28">
        <v>179</v>
      </c>
      <c r="E100" s="28">
        <v>354</v>
      </c>
    </row>
    <row r="101" spans="1:5" x14ac:dyDescent="0.3">
      <c r="B101" s="4" t="s">
        <v>64</v>
      </c>
      <c r="C101" s="28">
        <v>374</v>
      </c>
      <c r="D101" s="28">
        <v>163</v>
      </c>
      <c r="E101" s="28">
        <v>537</v>
      </c>
    </row>
    <row r="102" spans="1:5" x14ac:dyDescent="0.3">
      <c r="B102" s="4" t="s">
        <v>50</v>
      </c>
      <c r="C102" s="28">
        <v>549</v>
      </c>
      <c r="D102" s="28">
        <v>342</v>
      </c>
      <c r="E102" s="28">
        <v>891</v>
      </c>
    </row>
    <row r="106" spans="1:5" x14ac:dyDescent="0.3">
      <c r="A106" t="s">
        <v>67</v>
      </c>
    </row>
    <row r="109" spans="1:5" x14ac:dyDescent="0.3">
      <c r="A109" s="3" t="s">
        <v>49</v>
      </c>
      <c r="B109" t="s">
        <v>68</v>
      </c>
    </row>
    <row r="110" spans="1:5" x14ac:dyDescent="0.3">
      <c r="A110" s="4" t="s">
        <v>63</v>
      </c>
      <c r="B110" s="28">
        <v>354</v>
      </c>
    </row>
    <row r="111" spans="1:5" x14ac:dyDescent="0.3">
      <c r="A111" s="4" t="s">
        <v>64</v>
      </c>
      <c r="B111" s="28">
        <v>537</v>
      </c>
    </row>
    <row r="112" spans="1:5" x14ac:dyDescent="0.3">
      <c r="A112" s="4" t="s">
        <v>50</v>
      </c>
      <c r="B112" s="28">
        <v>891</v>
      </c>
    </row>
    <row r="115" spans="1:5" x14ac:dyDescent="0.3">
      <c r="A115" s="4" t="s">
        <v>69</v>
      </c>
    </row>
    <row r="117" spans="1:5" x14ac:dyDescent="0.3">
      <c r="B117" s="3" t="s">
        <v>68</v>
      </c>
      <c r="C117" s="3" t="s">
        <v>59</v>
      </c>
    </row>
    <row r="118" spans="1:5" x14ac:dyDescent="0.3">
      <c r="B118" s="3" t="s">
        <v>49</v>
      </c>
      <c r="C118" t="s">
        <v>26</v>
      </c>
      <c r="D118" t="s">
        <v>27</v>
      </c>
      <c r="E118" t="s">
        <v>50</v>
      </c>
    </row>
    <row r="119" spans="1:5" x14ac:dyDescent="0.3">
      <c r="B119" s="4" t="s">
        <v>63</v>
      </c>
      <c r="C119" s="28">
        <v>100</v>
      </c>
      <c r="D119" s="28">
        <v>254</v>
      </c>
      <c r="E119" s="28">
        <v>354</v>
      </c>
    </row>
    <row r="120" spans="1:5" x14ac:dyDescent="0.3">
      <c r="B120" s="4" t="s">
        <v>64</v>
      </c>
      <c r="C120" s="28">
        <v>449</v>
      </c>
      <c r="D120" s="28">
        <v>88</v>
      </c>
      <c r="E120" s="28">
        <v>537</v>
      </c>
    </row>
    <row r="121" spans="1:5" x14ac:dyDescent="0.3">
      <c r="B121" s="4" t="s">
        <v>50</v>
      </c>
      <c r="C121" s="28">
        <v>549</v>
      </c>
      <c r="D121" s="28">
        <v>342</v>
      </c>
      <c r="E121" s="28">
        <v>891</v>
      </c>
    </row>
    <row r="124" spans="1:5" x14ac:dyDescent="0.3">
      <c r="A124" t="s">
        <v>70</v>
      </c>
    </row>
    <row r="126" spans="1:5" x14ac:dyDescent="0.3">
      <c r="A126" s="3" t="s">
        <v>49</v>
      </c>
      <c r="B126" t="s">
        <v>71</v>
      </c>
    </row>
    <row r="127" spans="1:5" x14ac:dyDescent="0.3">
      <c r="A127" s="4" t="s">
        <v>42</v>
      </c>
      <c r="B127" s="28">
        <v>83</v>
      </c>
    </row>
    <row r="128" spans="1:5" x14ac:dyDescent="0.3">
      <c r="A128" s="4" t="s">
        <v>37</v>
      </c>
      <c r="B128" s="28">
        <v>537</v>
      </c>
    </row>
    <row r="129" spans="1:2" x14ac:dyDescent="0.3">
      <c r="A129" s="4" t="s">
        <v>40</v>
      </c>
      <c r="B129" s="28">
        <v>271</v>
      </c>
    </row>
    <row r="130" spans="1:2" x14ac:dyDescent="0.3">
      <c r="A130" s="4" t="s">
        <v>50</v>
      </c>
      <c r="B130" s="28">
        <v>891</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615AF-9B25-4BF4-9BD7-CDBCB0A23160}">
  <dimension ref="A1:T161"/>
  <sheetViews>
    <sheetView tabSelected="1" zoomScale="53" zoomScaleNormal="62" workbookViewId="0">
      <selection activeCell="X17" sqref="X17"/>
    </sheetView>
  </sheetViews>
  <sheetFormatPr defaultRowHeight="14.4" x14ac:dyDescent="0.3"/>
  <sheetData>
    <row r="1" spans="1:20" x14ac:dyDescent="0.3">
      <c r="A1" s="26" t="s">
        <v>72</v>
      </c>
      <c r="B1" s="27"/>
      <c r="C1" s="27"/>
      <c r="D1" s="27"/>
      <c r="E1" s="27"/>
      <c r="F1" s="27"/>
      <c r="G1" s="27"/>
      <c r="H1" s="27"/>
      <c r="I1" s="27"/>
      <c r="J1" s="27"/>
      <c r="K1" s="27"/>
      <c r="L1" s="27"/>
      <c r="M1" s="27"/>
      <c r="N1" s="27"/>
      <c r="O1" s="27"/>
      <c r="P1" s="27"/>
      <c r="Q1" s="27"/>
      <c r="R1" s="27"/>
      <c r="S1" s="27"/>
      <c r="T1" s="27"/>
    </row>
    <row r="2" spans="1:20" x14ac:dyDescent="0.3">
      <c r="A2" s="27"/>
      <c r="B2" s="27"/>
      <c r="C2" s="27"/>
      <c r="D2" s="27"/>
      <c r="E2" s="27"/>
      <c r="F2" s="27"/>
      <c r="G2" s="27"/>
      <c r="H2" s="27"/>
      <c r="I2" s="27"/>
      <c r="J2" s="27"/>
      <c r="K2" s="27"/>
      <c r="L2" s="27"/>
      <c r="M2" s="27"/>
      <c r="N2" s="27"/>
      <c r="O2" s="27"/>
      <c r="P2" s="27"/>
      <c r="Q2" s="27"/>
      <c r="R2" s="27"/>
      <c r="S2" s="27"/>
      <c r="T2" s="27"/>
    </row>
    <row r="3" spans="1:20" x14ac:dyDescent="0.3">
      <c r="A3" s="27"/>
      <c r="B3" s="27"/>
      <c r="C3" s="27"/>
      <c r="D3" s="27"/>
      <c r="E3" s="27"/>
      <c r="F3" s="27"/>
      <c r="G3" s="27"/>
      <c r="H3" s="27"/>
      <c r="I3" s="27"/>
      <c r="J3" s="27"/>
      <c r="K3" s="27"/>
      <c r="L3" s="27"/>
      <c r="M3" s="27"/>
      <c r="N3" s="27"/>
      <c r="O3" s="27"/>
      <c r="P3" s="27"/>
      <c r="Q3" s="27"/>
      <c r="R3" s="27"/>
      <c r="S3" s="27"/>
      <c r="T3" s="27"/>
    </row>
    <row r="4" spans="1:20" ht="14.4" customHeight="1" x14ac:dyDescent="0.3">
      <c r="A4" s="8" t="s">
        <v>73</v>
      </c>
      <c r="B4" s="9"/>
      <c r="C4" s="9"/>
      <c r="D4" s="9"/>
      <c r="E4" s="9"/>
      <c r="F4" s="10"/>
      <c r="G4" s="11"/>
      <c r="H4" s="11"/>
      <c r="I4" s="11"/>
      <c r="J4" s="11"/>
      <c r="K4" s="11"/>
      <c r="L4" s="11"/>
      <c r="M4" s="11"/>
      <c r="N4" s="11"/>
      <c r="O4" s="8" t="s">
        <v>74</v>
      </c>
      <c r="P4" s="9"/>
      <c r="Q4" s="9"/>
      <c r="R4" s="9"/>
      <c r="S4" s="9"/>
      <c r="T4" s="10"/>
    </row>
    <row r="5" spans="1:20" ht="14.4" customHeight="1" x14ac:dyDescent="0.3">
      <c r="A5" s="12"/>
      <c r="B5" s="13"/>
      <c r="C5" s="13"/>
      <c r="D5" s="13"/>
      <c r="E5" s="13"/>
      <c r="F5" s="14"/>
      <c r="G5" s="11"/>
      <c r="H5" s="11"/>
      <c r="I5" s="11"/>
      <c r="J5" s="11"/>
      <c r="K5" s="11"/>
      <c r="L5" s="11"/>
      <c r="M5" s="11"/>
      <c r="N5" s="15"/>
      <c r="O5" s="12"/>
      <c r="P5" s="13"/>
      <c r="Q5" s="13"/>
      <c r="R5" s="13"/>
      <c r="S5" s="13"/>
      <c r="T5" s="14"/>
    </row>
    <row r="6" spans="1:20" ht="14.4" customHeight="1" x14ac:dyDescent="0.3">
      <c r="A6" s="12"/>
      <c r="B6" s="13"/>
      <c r="C6" s="13"/>
      <c r="D6" s="13"/>
      <c r="E6" s="13"/>
      <c r="F6" s="14"/>
      <c r="G6" s="11"/>
      <c r="H6" s="11"/>
      <c r="I6" s="11"/>
      <c r="J6" s="11"/>
      <c r="K6" s="11"/>
      <c r="L6" s="11"/>
      <c r="M6" s="11"/>
      <c r="N6" s="15"/>
      <c r="O6" s="12"/>
      <c r="P6" s="13"/>
      <c r="Q6" s="13"/>
      <c r="R6" s="13"/>
      <c r="S6" s="13"/>
      <c r="T6" s="14"/>
    </row>
    <row r="7" spans="1:20" ht="14.4" customHeight="1" x14ac:dyDescent="0.3">
      <c r="A7" s="16"/>
      <c r="B7" s="17"/>
      <c r="C7" s="17"/>
      <c r="D7" s="17"/>
      <c r="E7" s="17"/>
      <c r="F7" s="18"/>
      <c r="G7" s="11"/>
      <c r="H7" s="11"/>
      <c r="I7" s="11"/>
      <c r="J7" s="11"/>
      <c r="K7" s="11"/>
      <c r="L7" s="11"/>
      <c r="M7" s="11"/>
      <c r="N7" s="15"/>
      <c r="O7" s="16"/>
      <c r="P7" s="17"/>
      <c r="Q7" s="17"/>
      <c r="R7" s="17"/>
      <c r="S7" s="17"/>
      <c r="T7" s="18"/>
    </row>
    <row r="8" spans="1:20" ht="14.4" customHeight="1" x14ac:dyDescent="0.3">
      <c r="A8" s="8">
        <f>'Pivot Table'!B4</f>
        <v>891</v>
      </c>
      <c r="B8" s="9"/>
      <c r="C8" s="9"/>
      <c r="D8" s="9"/>
      <c r="E8" s="9"/>
      <c r="F8" s="10"/>
      <c r="G8" s="11"/>
      <c r="H8" s="11"/>
      <c r="I8" s="11"/>
      <c r="J8" s="11"/>
      <c r="K8" s="11"/>
      <c r="L8" s="11"/>
      <c r="M8" s="11"/>
      <c r="N8" s="19"/>
      <c r="O8" s="20">
        <f>'Pivot Table'!E16</f>
        <v>1</v>
      </c>
      <c r="P8" s="21"/>
      <c r="Q8" s="21"/>
      <c r="R8" s="21"/>
      <c r="S8" s="21"/>
      <c r="T8" s="22"/>
    </row>
    <row r="9" spans="1:20" ht="14.4" customHeight="1" x14ac:dyDescent="0.3">
      <c r="A9" s="16"/>
      <c r="B9" s="17"/>
      <c r="C9" s="17"/>
      <c r="D9" s="17"/>
      <c r="E9" s="17"/>
      <c r="F9" s="18"/>
      <c r="G9" s="11"/>
      <c r="H9" s="11"/>
      <c r="I9" s="11"/>
      <c r="J9" s="11"/>
      <c r="K9" s="11"/>
      <c r="L9" s="11"/>
      <c r="M9" s="11"/>
      <c r="N9" s="19"/>
      <c r="O9" s="23"/>
      <c r="P9" s="24"/>
      <c r="Q9" s="24"/>
      <c r="R9" s="24"/>
      <c r="S9" s="24"/>
      <c r="T9" s="25"/>
    </row>
    <row r="10" spans="1:20" x14ac:dyDescent="0.3">
      <c r="A10" s="11"/>
      <c r="B10" s="11"/>
      <c r="C10" s="11"/>
      <c r="D10" s="11"/>
      <c r="E10" s="11"/>
      <c r="F10" s="11"/>
      <c r="G10" s="11"/>
      <c r="H10" s="11"/>
      <c r="I10" s="11"/>
      <c r="J10" s="11"/>
      <c r="K10" s="11"/>
      <c r="L10" s="11"/>
      <c r="M10" s="11"/>
      <c r="N10" s="11"/>
      <c r="O10" s="11"/>
      <c r="P10" s="11"/>
      <c r="Q10" s="11"/>
      <c r="R10" s="11"/>
      <c r="S10" s="11"/>
      <c r="T10" s="11"/>
    </row>
    <row r="11" spans="1:20" x14ac:dyDescent="0.3">
      <c r="A11" s="11"/>
      <c r="B11" s="11"/>
      <c r="C11" s="11"/>
      <c r="D11" s="11"/>
      <c r="E11" s="11"/>
      <c r="F11" s="11"/>
      <c r="G11" s="11"/>
      <c r="H11" s="11"/>
      <c r="I11" s="11"/>
      <c r="J11" s="11"/>
      <c r="K11" s="11"/>
      <c r="L11" s="11"/>
      <c r="M11" s="11"/>
      <c r="N11" s="11"/>
      <c r="O11" s="11"/>
      <c r="P11" s="11"/>
      <c r="Q11" s="11"/>
      <c r="R11" s="11"/>
      <c r="S11" s="11"/>
      <c r="T11" s="11"/>
    </row>
    <row r="12" spans="1:20" x14ac:dyDescent="0.3">
      <c r="A12" s="11"/>
      <c r="B12" s="11"/>
      <c r="C12" s="11"/>
      <c r="D12" s="11"/>
      <c r="E12" s="11"/>
      <c r="F12" s="11"/>
      <c r="G12" s="11"/>
      <c r="H12" s="11"/>
      <c r="I12" s="11"/>
      <c r="J12" s="11"/>
      <c r="K12" s="11"/>
      <c r="L12" s="11"/>
      <c r="M12" s="11"/>
      <c r="N12" s="11"/>
      <c r="O12" s="11"/>
      <c r="P12" s="11"/>
      <c r="Q12" s="11"/>
      <c r="R12" s="11"/>
      <c r="S12" s="11"/>
      <c r="T12" s="11"/>
    </row>
    <row r="13" spans="1:20" x14ac:dyDescent="0.3">
      <c r="A13" s="11"/>
      <c r="B13" s="11"/>
      <c r="C13" s="11"/>
      <c r="D13" s="11"/>
      <c r="E13" s="11"/>
      <c r="F13" s="11"/>
      <c r="G13" s="11"/>
      <c r="H13" s="11"/>
      <c r="I13" s="11"/>
      <c r="J13" s="11"/>
      <c r="K13" s="11"/>
      <c r="L13" s="11"/>
      <c r="M13" s="11"/>
      <c r="N13" s="11"/>
      <c r="O13" s="11"/>
      <c r="P13" s="11"/>
      <c r="Q13" s="11"/>
      <c r="R13" s="11"/>
      <c r="S13" s="11"/>
      <c r="T13" s="11"/>
    </row>
    <row r="14" spans="1:20" x14ac:dyDescent="0.3">
      <c r="A14" s="11"/>
      <c r="B14" s="11"/>
      <c r="C14" s="11"/>
      <c r="D14" s="11"/>
      <c r="E14" s="11"/>
      <c r="F14" s="11"/>
      <c r="G14" s="11"/>
      <c r="H14" s="11"/>
      <c r="I14" s="11"/>
      <c r="J14" s="11"/>
      <c r="K14" s="11"/>
      <c r="L14" s="11"/>
      <c r="M14" s="11"/>
      <c r="N14" s="11"/>
      <c r="O14" s="11"/>
      <c r="P14" s="11"/>
      <c r="Q14" s="11"/>
      <c r="R14" s="11"/>
      <c r="S14" s="11"/>
      <c r="T14" s="11"/>
    </row>
    <row r="15" spans="1:20" x14ac:dyDescent="0.3">
      <c r="A15" s="11"/>
      <c r="B15" s="11"/>
      <c r="C15" s="11"/>
      <c r="D15" s="11"/>
      <c r="E15" s="11"/>
      <c r="F15" s="11"/>
      <c r="G15" s="11"/>
      <c r="H15" s="11"/>
      <c r="I15" s="11"/>
      <c r="J15" s="11"/>
      <c r="K15" s="11"/>
      <c r="L15" s="11"/>
      <c r="M15" s="11"/>
      <c r="N15" s="11"/>
      <c r="O15" s="11"/>
      <c r="P15" s="11"/>
      <c r="Q15" s="11"/>
      <c r="R15" s="11"/>
      <c r="S15" s="11"/>
      <c r="T15" s="11"/>
    </row>
    <row r="16" spans="1:20" x14ac:dyDescent="0.3">
      <c r="A16" s="11"/>
      <c r="B16" s="11"/>
      <c r="C16" s="11"/>
      <c r="D16" s="11"/>
      <c r="E16" s="11"/>
      <c r="F16" s="11"/>
      <c r="G16" s="11"/>
      <c r="H16" s="11"/>
      <c r="I16" s="11"/>
      <c r="J16" s="11"/>
      <c r="K16" s="11"/>
      <c r="L16" s="11"/>
      <c r="M16" s="11"/>
      <c r="N16" s="11"/>
      <c r="O16" s="11"/>
      <c r="P16" s="11"/>
      <c r="Q16" s="11"/>
      <c r="R16" s="11"/>
      <c r="S16" s="11"/>
      <c r="T16" s="11"/>
    </row>
    <row r="17" spans="1:20" x14ac:dyDescent="0.3">
      <c r="A17" s="11"/>
      <c r="B17" s="11"/>
      <c r="C17" s="11"/>
      <c r="D17" s="11"/>
      <c r="E17" s="11"/>
      <c r="F17" s="11"/>
      <c r="G17" s="11"/>
      <c r="H17" s="11"/>
      <c r="I17" s="11"/>
      <c r="J17" s="11"/>
      <c r="K17" s="11"/>
      <c r="L17" s="11"/>
      <c r="M17" s="11"/>
      <c r="N17" s="11"/>
      <c r="O17" s="11"/>
      <c r="P17" s="11"/>
      <c r="Q17" s="11"/>
      <c r="R17" s="11"/>
      <c r="S17" s="11"/>
      <c r="T17" s="11"/>
    </row>
    <row r="18" spans="1:20" x14ac:dyDescent="0.3">
      <c r="A18" s="11"/>
      <c r="B18" s="11"/>
      <c r="C18" s="11"/>
      <c r="D18" s="11"/>
      <c r="E18" s="11"/>
      <c r="F18" s="11"/>
      <c r="G18" s="11"/>
      <c r="H18" s="11"/>
      <c r="I18" s="11"/>
      <c r="J18" s="11"/>
      <c r="K18" s="11"/>
      <c r="L18" s="11"/>
      <c r="M18" s="11"/>
      <c r="N18" s="11"/>
      <c r="O18" s="11"/>
      <c r="P18" s="11"/>
      <c r="Q18" s="11"/>
      <c r="R18" s="11"/>
      <c r="S18" s="11"/>
      <c r="T18" s="11"/>
    </row>
    <row r="19" spans="1:20" x14ac:dyDescent="0.3">
      <c r="A19" s="11"/>
      <c r="B19" s="11"/>
      <c r="C19" s="11"/>
      <c r="D19" s="11"/>
      <c r="E19" s="11"/>
      <c r="F19" s="11"/>
      <c r="G19" s="11"/>
      <c r="H19" s="11"/>
      <c r="I19" s="11"/>
      <c r="J19" s="11"/>
      <c r="K19" s="11"/>
      <c r="L19" s="11"/>
      <c r="M19" s="11"/>
      <c r="N19" s="11"/>
      <c r="O19" s="11"/>
      <c r="P19" s="11"/>
      <c r="Q19" s="11"/>
      <c r="R19" s="11"/>
      <c r="S19" s="11"/>
      <c r="T19" s="11"/>
    </row>
    <row r="20" spans="1:20" x14ac:dyDescent="0.3">
      <c r="A20" s="11"/>
      <c r="B20" s="11"/>
      <c r="C20" s="11"/>
      <c r="D20" s="11"/>
      <c r="E20" s="11"/>
      <c r="F20" s="11"/>
      <c r="G20" s="11"/>
      <c r="H20" s="11"/>
      <c r="I20" s="11"/>
      <c r="J20" s="11"/>
      <c r="K20" s="11"/>
      <c r="L20" s="11"/>
      <c r="M20" s="11"/>
      <c r="N20" s="11"/>
      <c r="O20" s="11"/>
      <c r="P20" s="11"/>
      <c r="Q20" s="11"/>
      <c r="R20" s="11"/>
      <c r="S20" s="11"/>
      <c r="T20" s="11"/>
    </row>
    <row r="21" spans="1:20" x14ac:dyDescent="0.3">
      <c r="A21" s="11"/>
      <c r="B21" s="11"/>
      <c r="C21" s="11"/>
      <c r="D21" s="11"/>
      <c r="E21" s="11"/>
      <c r="F21" s="11"/>
      <c r="G21" s="11"/>
      <c r="H21" s="11"/>
      <c r="I21" s="11"/>
      <c r="J21" s="11"/>
      <c r="K21" s="11"/>
      <c r="L21" s="11"/>
      <c r="M21" s="11"/>
      <c r="N21" s="11"/>
      <c r="O21" s="11"/>
      <c r="P21" s="11"/>
      <c r="Q21" s="11"/>
      <c r="R21" s="11"/>
      <c r="S21" s="11"/>
      <c r="T21" s="11"/>
    </row>
    <row r="22" spans="1:20" x14ac:dyDescent="0.3">
      <c r="A22" s="11"/>
      <c r="B22" s="11"/>
      <c r="C22" s="11"/>
      <c r="D22" s="11"/>
      <c r="E22" s="11"/>
      <c r="F22" s="11"/>
      <c r="G22" s="11"/>
      <c r="H22" s="11"/>
      <c r="I22" s="11"/>
      <c r="J22" s="11"/>
      <c r="K22" s="11"/>
      <c r="L22" s="11"/>
      <c r="M22" s="11"/>
      <c r="N22" s="11"/>
      <c r="O22" s="11"/>
      <c r="P22" s="11"/>
      <c r="Q22" s="11"/>
      <c r="R22" s="11"/>
      <c r="S22" s="11"/>
      <c r="T22" s="11"/>
    </row>
    <row r="23" spans="1:20" x14ac:dyDescent="0.3">
      <c r="A23" s="11"/>
      <c r="B23" s="11"/>
      <c r="C23" s="11"/>
      <c r="D23" s="11"/>
      <c r="E23" s="11"/>
      <c r="F23" s="11"/>
      <c r="G23" s="11"/>
      <c r="H23" s="11"/>
      <c r="I23" s="11"/>
      <c r="J23" s="11"/>
      <c r="K23" s="11"/>
      <c r="L23" s="11"/>
      <c r="M23" s="11"/>
      <c r="N23" s="11"/>
      <c r="O23" s="11"/>
      <c r="P23" s="11"/>
      <c r="Q23" s="11"/>
      <c r="R23" s="11"/>
      <c r="S23" s="11"/>
      <c r="T23" s="11"/>
    </row>
    <row r="24" spans="1:20" x14ac:dyDescent="0.3">
      <c r="A24" s="11"/>
      <c r="B24" s="11"/>
      <c r="C24" s="11"/>
      <c r="D24" s="11"/>
      <c r="E24" s="11"/>
      <c r="F24" s="11"/>
      <c r="G24" s="11"/>
      <c r="H24" s="11"/>
      <c r="I24" s="11"/>
      <c r="J24" s="11"/>
      <c r="K24" s="11"/>
      <c r="L24" s="11"/>
      <c r="M24" s="11"/>
      <c r="N24" s="11"/>
      <c r="O24" s="11"/>
      <c r="P24" s="11"/>
      <c r="Q24" s="11"/>
      <c r="R24" s="11"/>
      <c r="S24" s="11"/>
      <c r="T24" s="11"/>
    </row>
    <row r="25" spans="1:20" x14ac:dyDescent="0.3">
      <c r="A25" s="11"/>
      <c r="B25" s="11"/>
      <c r="C25" s="11"/>
      <c r="D25" s="11"/>
      <c r="E25" s="11"/>
      <c r="F25" s="11"/>
      <c r="G25" s="11"/>
      <c r="H25" s="11"/>
      <c r="I25" s="11"/>
      <c r="J25" s="11"/>
      <c r="K25" s="11"/>
      <c r="L25" s="11"/>
      <c r="M25" s="11"/>
      <c r="N25" s="11"/>
      <c r="O25" s="11"/>
      <c r="P25" s="11"/>
      <c r="Q25" s="11"/>
      <c r="R25" s="11"/>
      <c r="S25" s="11"/>
      <c r="T25" s="11"/>
    </row>
    <row r="26" spans="1:20" x14ac:dyDescent="0.3">
      <c r="A26" s="11"/>
      <c r="B26" s="11"/>
      <c r="C26" s="11"/>
      <c r="D26" s="11"/>
      <c r="E26" s="11"/>
      <c r="F26" s="11"/>
      <c r="G26" s="11"/>
      <c r="H26" s="11"/>
      <c r="I26" s="11"/>
      <c r="J26" s="11"/>
      <c r="K26" s="11"/>
      <c r="L26" s="11"/>
      <c r="M26" s="11"/>
      <c r="N26" s="11"/>
      <c r="O26" s="11"/>
      <c r="P26" s="11"/>
      <c r="Q26" s="11"/>
      <c r="R26" s="11"/>
      <c r="S26" s="11"/>
      <c r="T26" s="11"/>
    </row>
    <row r="27" spans="1:20" x14ac:dyDescent="0.3">
      <c r="A27" s="11"/>
      <c r="B27" s="11"/>
      <c r="C27" s="11"/>
      <c r="D27" s="11"/>
      <c r="E27" s="11"/>
      <c r="F27" s="11"/>
      <c r="G27" s="11"/>
      <c r="H27" s="11"/>
      <c r="I27" s="11"/>
      <c r="J27" s="11"/>
      <c r="K27" s="11"/>
      <c r="L27" s="11"/>
      <c r="M27" s="11"/>
      <c r="N27" s="11"/>
      <c r="O27" s="11"/>
      <c r="P27" s="11"/>
      <c r="Q27" s="11"/>
      <c r="R27" s="11"/>
      <c r="S27" s="11"/>
      <c r="T27" s="11"/>
    </row>
    <row r="28" spans="1:20" x14ac:dyDescent="0.3">
      <c r="A28" s="11"/>
      <c r="B28" s="11"/>
      <c r="C28" s="11"/>
      <c r="D28" s="11"/>
      <c r="E28" s="11"/>
      <c r="F28" s="11"/>
      <c r="G28" s="11"/>
      <c r="H28" s="11"/>
      <c r="I28" s="11"/>
      <c r="J28" s="11"/>
      <c r="K28" s="11"/>
      <c r="L28" s="11"/>
      <c r="M28" s="11"/>
      <c r="N28" s="11"/>
      <c r="O28" s="11"/>
      <c r="P28" s="11"/>
      <c r="Q28" s="11"/>
      <c r="R28" s="11"/>
      <c r="S28" s="11"/>
      <c r="T28" s="11"/>
    </row>
    <row r="29" spans="1:20" x14ac:dyDescent="0.3">
      <c r="A29" s="11"/>
      <c r="B29" s="11"/>
      <c r="C29" s="11"/>
      <c r="D29" s="11"/>
      <c r="E29" s="11"/>
      <c r="F29" s="11"/>
      <c r="G29" s="11"/>
      <c r="H29" s="11"/>
      <c r="I29" s="11"/>
      <c r="J29" s="11"/>
      <c r="K29" s="11"/>
      <c r="L29" s="11"/>
      <c r="M29" s="11"/>
      <c r="N29" s="11"/>
      <c r="O29" s="11"/>
      <c r="P29" s="11"/>
      <c r="Q29" s="11"/>
      <c r="R29" s="11"/>
      <c r="S29" s="11"/>
      <c r="T29" s="11"/>
    </row>
    <row r="30" spans="1:20" x14ac:dyDescent="0.3">
      <c r="A30" s="11"/>
      <c r="B30" s="11"/>
      <c r="C30" s="11"/>
      <c r="D30" s="11"/>
      <c r="E30" s="11"/>
      <c r="F30" s="11"/>
      <c r="G30" s="11"/>
      <c r="H30" s="11"/>
      <c r="I30" s="11"/>
      <c r="J30" s="11"/>
      <c r="K30" s="11"/>
      <c r="L30" s="11"/>
      <c r="M30" s="11"/>
      <c r="N30" s="11"/>
      <c r="O30" s="11"/>
      <c r="P30" s="11"/>
      <c r="Q30" s="11"/>
      <c r="R30" s="11"/>
      <c r="S30" s="11"/>
      <c r="T30" s="11"/>
    </row>
    <row r="31" spans="1:20" x14ac:dyDescent="0.3">
      <c r="A31" s="11"/>
      <c r="B31" s="11"/>
      <c r="C31" s="11"/>
      <c r="D31" s="11"/>
      <c r="E31" s="11"/>
      <c r="F31" s="11"/>
      <c r="G31" s="11"/>
      <c r="H31" s="11"/>
      <c r="I31" s="11"/>
      <c r="J31" s="11"/>
      <c r="K31" s="11"/>
      <c r="L31" s="11"/>
      <c r="M31" s="11"/>
      <c r="N31" s="11"/>
      <c r="O31" s="11"/>
      <c r="P31" s="11"/>
      <c r="Q31" s="11"/>
      <c r="R31" s="11"/>
      <c r="S31" s="11"/>
      <c r="T31" s="11"/>
    </row>
    <row r="32" spans="1:20" x14ac:dyDescent="0.3">
      <c r="A32" s="11"/>
      <c r="B32" s="11"/>
      <c r="C32" s="11"/>
      <c r="D32" s="11"/>
      <c r="E32" s="11"/>
      <c r="F32" s="11"/>
      <c r="G32" s="11"/>
      <c r="H32" s="11"/>
      <c r="I32" s="11"/>
      <c r="J32" s="11"/>
      <c r="K32" s="11"/>
      <c r="L32" s="11"/>
      <c r="M32" s="11"/>
      <c r="N32" s="11"/>
      <c r="O32" s="11"/>
      <c r="P32" s="11"/>
      <c r="Q32" s="11"/>
      <c r="R32" s="11"/>
      <c r="S32" s="11"/>
      <c r="T32" s="11"/>
    </row>
    <row r="33" spans="1:20" x14ac:dyDescent="0.3">
      <c r="A33" s="11"/>
      <c r="B33" s="11"/>
      <c r="C33" s="11"/>
      <c r="D33" s="11"/>
      <c r="E33" s="11"/>
      <c r="F33" s="11"/>
      <c r="G33" s="11"/>
      <c r="H33" s="11"/>
      <c r="I33" s="11"/>
      <c r="J33" s="11"/>
      <c r="K33" s="11"/>
      <c r="L33" s="11"/>
      <c r="M33" s="11"/>
      <c r="N33" s="11"/>
      <c r="O33" s="11"/>
      <c r="P33" s="11"/>
      <c r="Q33" s="11"/>
      <c r="R33" s="11"/>
      <c r="S33" s="11"/>
      <c r="T33" s="11"/>
    </row>
    <row r="34" spans="1:20" x14ac:dyDescent="0.3">
      <c r="A34" s="11"/>
      <c r="B34" s="11"/>
      <c r="C34" s="11"/>
      <c r="D34" s="11"/>
      <c r="E34" s="11"/>
      <c r="F34" s="11"/>
      <c r="G34" s="11"/>
      <c r="H34" s="11"/>
      <c r="I34" s="11"/>
      <c r="J34" s="11"/>
      <c r="K34" s="11"/>
      <c r="L34" s="11"/>
      <c r="M34" s="11"/>
      <c r="N34" s="11"/>
      <c r="O34" s="11"/>
      <c r="P34" s="11"/>
      <c r="Q34" s="11"/>
      <c r="R34" s="11"/>
      <c r="S34" s="11"/>
      <c r="T34" s="11"/>
    </row>
    <row r="35" spans="1:20" x14ac:dyDescent="0.3">
      <c r="A35" s="11"/>
      <c r="B35" s="11"/>
      <c r="C35" s="11"/>
      <c r="D35" s="11"/>
      <c r="E35" s="11"/>
      <c r="F35" s="11"/>
      <c r="G35" s="11"/>
      <c r="H35" s="11"/>
      <c r="I35" s="11"/>
      <c r="J35" s="11"/>
      <c r="K35" s="11"/>
      <c r="L35" s="11"/>
      <c r="M35" s="11"/>
      <c r="N35" s="11"/>
      <c r="O35" s="11"/>
      <c r="P35" s="11"/>
      <c r="Q35" s="11"/>
      <c r="R35" s="11"/>
      <c r="S35" s="11"/>
      <c r="T35" s="11"/>
    </row>
    <row r="36" spans="1:20" x14ac:dyDescent="0.3">
      <c r="A36" s="11"/>
      <c r="B36" s="11"/>
      <c r="C36" s="11"/>
      <c r="D36" s="11"/>
      <c r="E36" s="11"/>
      <c r="F36" s="11"/>
      <c r="G36" s="11"/>
      <c r="H36" s="11"/>
      <c r="I36" s="11"/>
      <c r="J36" s="11"/>
      <c r="K36" s="11"/>
      <c r="L36" s="11"/>
      <c r="M36" s="11"/>
      <c r="N36" s="11"/>
      <c r="O36" s="11"/>
      <c r="P36" s="11"/>
      <c r="Q36" s="11"/>
      <c r="R36" s="11"/>
      <c r="S36" s="11"/>
      <c r="T36" s="11"/>
    </row>
    <row r="37" spans="1:20" x14ac:dyDescent="0.3">
      <c r="A37" s="11"/>
      <c r="B37" s="11"/>
      <c r="C37" s="11"/>
      <c r="D37" s="11"/>
      <c r="E37" s="11"/>
      <c r="F37" s="11"/>
      <c r="G37" s="11"/>
      <c r="H37" s="11"/>
      <c r="I37" s="11"/>
      <c r="J37" s="11"/>
      <c r="K37" s="11"/>
      <c r="L37" s="11"/>
      <c r="M37" s="11"/>
      <c r="N37" s="11"/>
      <c r="O37" s="11"/>
      <c r="P37" s="11"/>
      <c r="Q37" s="11"/>
      <c r="R37" s="11"/>
      <c r="S37" s="11"/>
      <c r="T37" s="11"/>
    </row>
    <row r="38" spans="1:20" x14ac:dyDescent="0.3">
      <c r="A38" s="11"/>
      <c r="B38" s="11"/>
      <c r="C38" s="11"/>
      <c r="D38" s="11"/>
      <c r="E38" s="11"/>
      <c r="F38" s="11"/>
      <c r="G38" s="11"/>
      <c r="H38" s="11"/>
      <c r="I38" s="11"/>
      <c r="J38" s="11"/>
      <c r="K38" s="11"/>
      <c r="L38" s="11"/>
      <c r="M38" s="11"/>
      <c r="N38" s="11"/>
      <c r="O38" s="11"/>
      <c r="P38" s="11"/>
      <c r="Q38" s="11"/>
      <c r="R38" s="11"/>
      <c r="S38" s="11"/>
      <c r="T38" s="11"/>
    </row>
    <row r="39" spans="1:20" x14ac:dyDescent="0.3">
      <c r="A39" s="11"/>
      <c r="B39" s="11"/>
      <c r="C39" s="11"/>
      <c r="D39" s="11"/>
      <c r="E39" s="11"/>
      <c r="F39" s="11"/>
      <c r="G39" s="11"/>
      <c r="H39" s="11"/>
      <c r="I39" s="11"/>
      <c r="J39" s="11"/>
      <c r="K39" s="11"/>
      <c r="L39" s="11"/>
      <c r="M39" s="11"/>
      <c r="N39" s="11"/>
      <c r="O39" s="11"/>
      <c r="P39" s="11"/>
      <c r="Q39" s="11"/>
      <c r="R39" s="11"/>
      <c r="S39" s="11"/>
      <c r="T39" s="11"/>
    </row>
    <row r="40" spans="1:20" x14ac:dyDescent="0.3">
      <c r="A40" s="11"/>
      <c r="B40" s="11"/>
      <c r="C40" s="11"/>
      <c r="D40" s="11"/>
      <c r="E40" s="11"/>
      <c r="F40" s="11"/>
      <c r="G40" s="11"/>
      <c r="H40" s="11"/>
      <c r="I40" s="11"/>
      <c r="J40" s="11"/>
      <c r="K40" s="11"/>
      <c r="L40" s="11"/>
      <c r="M40" s="11"/>
      <c r="N40" s="11"/>
      <c r="O40" s="11"/>
      <c r="P40" s="11"/>
      <c r="Q40" s="11"/>
      <c r="R40" s="11"/>
      <c r="S40" s="11"/>
      <c r="T40" s="11"/>
    </row>
    <row r="41" spans="1:20" x14ac:dyDescent="0.3">
      <c r="A41" s="11"/>
      <c r="B41" s="11"/>
      <c r="C41" s="11"/>
      <c r="D41" s="11"/>
      <c r="E41" s="11"/>
      <c r="F41" s="11"/>
      <c r="G41" s="11"/>
      <c r="H41" s="11"/>
      <c r="I41" s="11"/>
      <c r="J41" s="11"/>
      <c r="K41" s="11"/>
      <c r="L41" s="11"/>
      <c r="M41" s="11"/>
      <c r="N41" s="11"/>
      <c r="O41" s="11"/>
      <c r="P41" s="11"/>
      <c r="Q41" s="11"/>
      <c r="R41" s="11"/>
      <c r="S41" s="11"/>
      <c r="T41" s="11"/>
    </row>
    <row r="42" spans="1:20" x14ac:dyDescent="0.3">
      <c r="A42" s="7"/>
      <c r="B42" s="7"/>
      <c r="C42" s="7"/>
      <c r="D42" s="7"/>
      <c r="E42" s="7"/>
      <c r="F42" s="7"/>
      <c r="G42" s="7"/>
      <c r="H42" s="7"/>
      <c r="I42" s="7"/>
      <c r="J42" s="7"/>
      <c r="K42" s="7"/>
      <c r="L42" s="7"/>
      <c r="M42" s="7"/>
      <c r="N42" s="7"/>
      <c r="O42" s="7"/>
      <c r="P42" s="7"/>
      <c r="Q42" s="7"/>
      <c r="R42" s="7"/>
      <c r="S42" s="7"/>
      <c r="T42" s="7"/>
    </row>
    <row r="43" spans="1:20" x14ac:dyDescent="0.3">
      <c r="A43" s="7"/>
      <c r="B43" s="7"/>
      <c r="C43" s="7"/>
      <c r="D43" s="7"/>
      <c r="E43" s="7"/>
      <c r="F43" s="7"/>
      <c r="G43" s="7"/>
      <c r="H43" s="7"/>
      <c r="I43" s="7"/>
      <c r="J43" s="7"/>
      <c r="K43" s="7"/>
      <c r="L43" s="7"/>
      <c r="M43" s="7"/>
      <c r="N43" s="7"/>
      <c r="O43" s="7"/>
      <c r="P43" s="7"/>
      <c r="Q43" s="7"/>
      <c r="R43" s="7"/>
      <c r="S43" s="7"/>
      <c r="T43" s="7"/>
    </row>
    <row r="44" spans="1:20" x14ac:dyDescent="0.3">
      <c r="A44" s="7"/>
      <c r="B44" s="7"/>
      <c r="C44" s="7"/>
      <c r="D44" s="7"/>
      <c r="E44" s="7"/>
      <c r="F44" s="7"/>
      <c r="G44" s="7"/>
      <c r="H44" s="7"/>
      <c r="I44" s="7"/>
      <c r="J44" s="7"/>
      <c r="K44" s="7"/>
      <c r="L44" s="7"/>
      <c r="M44" s="7"/>
      <c r="N44" s="7"/>
      <c r="O44" s="7"/>
      <c r="P44" s="7"/>
      <c r="Q44" s="7"/>
      <c r="R44" s="7"/>
      <c r="S44" s="7"/>
      <c r="T44" s="7"/>
    </row>
    <row r="45" spans="1:20" x14ac:dyDescent="0.3">
      <c r="A45" s="7"/>
      <c r="B45" s="7"/>
      <c r="C45" s="7"/>
      <c r="D45" s="7"/>
      <c r="E45" s="7"/>
      <c r="F45" s="7"/>
      <c r="G45" s="7"/>
      <c r="H45" s="7"/>
      <c r="I45" s="7"/>
      <c r="J45" s="7"/>
      <c r="K45" s="7"/>
      <c r="L45" s="7"/>
      <c r="M45" s="7"/>
      <c r="N45" s="7"/>
      <c r="O45" s="7"/>
      <c r="P45" s="7"/>
      <c r="Q45" s="7"/>
      <c r="R45" s="7"/>
      <c r="S45" s="7"/>
      <c r="T45" s="7"/>
    </row>
    <row r="46" spans="1:20" x14ac:dyDescent="0.3">
      <c r="A46" s="7"/>
      <c r="B46" s="7"/>
      <c r="C46" s="7"/>
      <c r="D46" s="7"/>
      <c r="E46" s="7"/>
      <c r="F46" s="7"/>
      <c r="G46" s="7"/>
      <c r="H46" s="7"/>
      <c r="I46" s="7"/>
      <c r="J46" s="7"/>
      <c r="K46" s="7"/>
      <c r="L46" s="7"/>
      <c r="M46" s="7"/>
      <c r="N46" s="7"/>
      <c r="O46" s="7"/>
      <c r="P46" s="7"/>
      <c r="Q46" s="7"/>
      <c r="R46" s="7"/>
      <c r="S46" s="7"/>
      <c r="T46" s="7"/>
    </row>
    <row r="47" spans="1:20" x14ac:dyDescent="0.3">
      <c r="A47" s="7"/>
      <c r="B47" s="7"/>
      <c r="C47" s="7"/>
      <c r="D47" s="7"/>
      <c r="E47" s="7"/>
      <c r="F47" s="7"/>
      <c r="G47" s="7"/>
      <c r="H47" s="7"/>
      <c r="I47" s="7"/>
      <c r="J47" s="7"/>
      <c r="K47" s="7"/>
      <c r="L47" s="7"/>
      <c r="M47" s="7"/>
      <c r="N47" s="7"/>
      <c r="O47" s="7"/>
      <c r="P47" s="7"/>
      <c r="Q47" s="7"/>
      <c r="R47" s="7"/>
      <c r="S47" s="7"/>
      <c r="T47" s="7"/>
    </row>
    <row r="48" spans="1:20" x14ac:dyDescent="0.3">
      <c r="A48" s="7"/>
      <c r="B48" s="7"/>
      <c r="C48" s="7"/>
      <c r="D48" s="7"/>
      <c r="E48" s="7"/>
      <c r="F48" s="7"/>
      <c r="G48" s="7"/>
      <c r="H48" s="7"/>
      <c r="I48" s="7"/>
      <c r="J48" s="7"/>
      <c r="K48" s="7"/>
      <c r="L48" s="7"/>
      <c r="M48" s="7"/>
      <c r="N48" s="7"/>
      <c r="O48" s="7"/>
      <c r="P48" s="7"/>
      <c r="Q48" s="7"/>
      <c r="R48" s="7"/>
      <c r="S48" s="7"/>
      <c r="T48" s="7"/>
    </row>
    <row r="49" spans="1:20" x14ac:dyDescent="0.3">
      <c r="A49" s="7"/>
      <c r="B49" s="7"/>
      <c r="C49" s="7"/>
      <c r="D49" s="7"/>
      <c r="E49" s="7"/>
      <c r="F49" s="7"/>
      <c r="G49" s="7"/>
      <c r="H49" s="7"/>
      <c r="I49" s="7"/>
      <c r="J49" s="7"/>
      <c r="K49" s="7"/>
      <c r="L49" s="7"/>
      <c r="M49" s="7"/>
      <c r="N49" s="7"/>
      <c r="O49" s="7"/>
      <c r="P49" s="7"/>
      <c r="Q49" s="7"/>
      <c r="R49" s="7"/>
      <c r="S49" s="7"/>
      <c r="T49" s="7"/>
    </row>
    <row r="50" spans="1:20" x14ac:dyDescent="0.3">
      <c r="A50" s="7"/>
      <c r="B50" s="7"/>
      <c r="C50" s="7"/>
      <c r="D50" s="7"/>
      <c r="E50" s="7"/>
      <c r="F50" s="7"/>
      <c r="G50" s="7"/>
      <c r="H50" s="7"/>
      <c r="I50" s="7"/>
      <c r="J50" s="7"/>
      <c r="K50" s="7"/>
      <c r="L50" s="7"/>
      <c r="M50" s="7"/>
      <c r="N50" s="7"/>
      <c r="O50" s="7"/>
      <c r="P50" s="7"/>
      <c r="Q50" s="7"/>
      <c r="R50" s="7"/>
      <c r="S50" s="7"/>
      <c r="T50" s="7"/>
    </row>
    <row r="51" spans="1:20" x14ac:dyDescent="0.3">
      <c r="A51" s="7"/>
      <c r="B51" s="7"/>
      <c r="C51" s="7"/>
      <c r="D51" s="7"/>
      <c r="E51" s="7"/>
      <c r="F51" s="7"/>
      <c r="G51" s="7"/>
      <c r="H51" s="7"/>
      <c r="I51" s="7"/>
      <c r="J51" s="7"/>
      <c r="K51" s="7"/>
      <c r="L51" s="7"/>
      <c r="M51" s="7"/>
      <c r="N51" s="7"/>
      <c r="O51" s="7"/>
      <c r="P51" s="7"/>
      <c r="Q51" s="7"/>
      <c r="R51" s="7"/>
      <c r="S51" s="7"/>
      <c r="T51" s="7"/>
    </row>
    <row r="52" spans="1:20" x14ac:dyDescent="0.3">
      <c r="A52" s="7"/>
      <c r="B52" s="7"/>
      <c r="C52" s="7"/>
      <c r="D52" s="7"/>
      <c r="E52" s="7"/>
      <c r="F52" s="7"/>
      <c r="G52" s="7"/>
      <c r="H52" s="7"/>
      <c r="I52" s="7"/>
      <c r="J52" s="7"/>
      <c r="K52" s="7"/>
      <c r="L52" s="7"/>
      <c r="M52" s="7"/>
      <c r="N52" s="7"/>
      <c r="O52" s="7"/>
      <c r="P52" s="7"/>
      <c r="Q52" s="7"/>
      <c r="R52" s="7"/>
      <c r="S52" s="7"/>
      <c r="T52" s="7"/>
    </row>
    <row r="53" spans="1:20" x14ac:dyDescent="0.3">
      <c r="A53" s="7"/>
      <c r="B53" s="7"/>
      <c r="C53" s="7"/>
      <c r="D53" s="7"/>
      <c r="E53" s="7"/>
      <c r="F53" s="7"/>
      <c r="G53" s="7"/>
      <c r="H53" s="7"/>
      <c r="I53" s="7"/>
      <c r="J53" s="7"/>
      <c r="K53" s="7"/>
      <c r="L53" s="7"/>
      <c r="M53" s="7"/>
      <c r="N53" s="7"/>
      <c r="O53" s="7"/>
      <c r="P53" s="7"/>
      <c r="Q53" s="7"/>
      <c r="R53" s="7"/>
      <c r="S53" s="7"/>
      <c r="T53" s="7"/>
    </row>
    <row r="54" spans="1:20" x14ac:dyDescent="0.3">
      <c r="A54" s="7"/>
      <c r="B54" s="7"/>
      <c r="C54" s="7"/>
      <c r="D54" s="7"/>
      <c r="E54" s="7"/>
      <c r="F54" s="7"/>
      <c r="G54" s="7"/>
      <c r="H54" s="7"/>
      <c r="I54" s="7"/>
      <c r="J54" s="7"/>
      <c r="K54" s="7"/>
      <c r="L54" s="7"/>
      <c r="M54" s="7"/>
      <c r="N54" s="7"/>
      <c r="O54" s="7"/>
      <c r="P54" s="7"/>
      <c r="Q54" s="7"/>
      <c r="R54" s="7"/>
      <c r="S54" s="7"/>
      <c r="T54" s="7"/>
    </row>
    <row r="55" spans="1:20" x14ac:dyDescent="0.3">
      <c r="A55" s="7"/>
      <c r="B55" s="7"/>
      <c r="C55" s="7"/>
      <c r="D55" s="7"/>
      <c r="E55" s="7"/>
      <c r="F55" s="7"/>
      <c r="G55" s="7"/>
      <c r="H55" s="7"/>
      <c r="I55" s="7"/>
      <c r="J55" s="7"/>
      <c r="K55" s="7"/>
      <c r="L55" s="7"/>
      <c r="M55" s="7"/>
      <c r="N55" s="7"/>
      <c r="O55" s="7"/>
      <c r="P55" s="7"/>
      <c r="Q55" s="7"/>
      <c r="R55" s="7"/>
      <c r="S55" s="7"/>
      <c r="T55" s="7"/>
    </row>
    <row r="56" spans="1:20" x14ac:dyDescent="0.3">
      <c r="A56" s="7"/>
      <c r="B56" s="7"/>
      <c r="C56" s="7"/>
      <c r="D56" s="7"/>
      <c r="E56" s="7"/>
      <c r="F56" s="7"/>
      <c r="G56" s="7"/>
      <c r="H56" s="7"/>
      <c r="I56" s="7"/>
      <c r="J56" s="7"/>
      <c r="K56" s="7"/>
      <c r="L56" s="7"/>
      <c r="M56" s="7"/>
      <c r="N56" s="7"/>
      <c r="O56" s="7"/>
      <c r="P56" s="7"/>
      <c r="Q56" s="7"/>
      <c r="R56" s="7"/>
      <c r="S56" s="7"/>
      <c r="T56" s="7"/>
    </row>
    <row r="57" spans="1:20" x14ac:dyDescent="0.3">
      <c r="A57" s="7"/>
      <c r="B57" s="7"/>
      <c r="C57" s="7"/>
      <c r="D57" s="7"/>
      <c r="E57" s="7"/>
      <c r="F57" s="7"/>
      <c r="G57" s="7"/>
      <c r="H57" s="7"/>
      <c r="I57" s="7"/>
      <c r="J57" s="7"/>
      <c r="K57" s="7"/>
      <c r="L57" s="7"/>
      <c r="M57" s="7"/>
      <c r="N57" s="7"/>
      <c r="O57" s="7"/>
      <c r="P57" s="7"/>
      <c r="Q57" s="7"/>
      <c r="R57" s="7"/>
      <c r="S57" s="7"/>
      <c r="T57" s="7"/>
    </row>
    <row r="58" spans="1:20" x14ac:dyDescent="0.3">
      <c r="A58" s="7"/>
      <c r="B58" s="7"/>
      <c r="C58" s="7"/>
      <c r="D58" s="7"/>
      <c r="E58" s="7"/>
      <c r="F58" s="7"/>
      <c r="G58" s="7"/>
      <c r="H58" s="7"/>
      <c r="I58" s="7"/>
      <c r="J58" s="7"/>
      <c r="K58" s="7"/>
      <c r="L58" s="7"/>
      <c r="M58" s="7"/>
      <c r="N58" s="7"/>
      <c r="O58" s="7"/>
      <c r="P58" s="7"/>
      <c r="Q58" s="7"/>
      <c r="R58" s="7"/>
      <c r="S58" s="7"/>
      <c r="T58" s="7"/>
    </row>
    <row r="59" spans="1:20" x14ac:dyDescent="0.3">
      <c r="A59" s="7"/>
      <c r="B59" s="7"/>
      <c r="C59" s="7"/>
      <c r="D59" s="7"/>
      <c r="E59" s="7"/>
      <c r="F59" s="7"/>
      <c r="G59" s="7"/>
      <c r="H59" s="7"/>
      <c r="I59" s="7"/>
      <c r="J59" s="7"/>
      <c r="K59" s="7"/>
      <c r="L59" s="7"/>
      <c r="M59" s="7"/>
      <c r="N59" s="7"/>
      <c r="O59" s="7"/>
      <c r="P59" s="7"/>
      <c r="Q59" s="7"/>
      <c r="R59" s="7"/>
      <c r="S59" s="7"/>
      <c r="T59" s="7"/>
    </row>
    <row r="60" spans="1:20" x14ac:dyDescent="0.3">
      <c r="A60" s="7"/>
      <c r="B60" s="7"/>
      <c r="C60" s="7"/>
      <c r="D60" s="7"/>
      <c r="E60" s="7"/>
      <c r="F60" s="7"/>
      <c r="G60" s="7"/>
      <c r="H60" s="7"/>
      <c r="I60" s="7"/>
      <c r="J60" s="7"/>
      <c r="K60" s="7"/>
      <c r="L60" s="7"/>
      <c r="M60" s="7"/>
      <c r="N60" s="7"/>
      <c r="O60" s="7"/>
      <c r="P60" s="7"/>
      <c r="Q60" s="7"/>
      <c r="R60" s="7"/>
      <c r="S60" s="7"/>
      <c r="T60" s="7"/>
    </row>
    <row r="61" spans="1:20" x14ac:dyDescent="0.3">
      <c r="A61" s="7"/>
      <c r="B61" s="7"/>
      <c r="C61" s="7"/>
      <c r="D61" s="7"/>
      <c r="E61" s="7"/>
      <c r="F61" s="7"/>
      <c r="G61" s="7"/>
      <c r="H61" s="7"/>
      <c r="I61" s="7"/>
      <c r="J61" s="7"/>
      <c r="K61" s="7"/>
      <c r="L61" s="7"/>
      <c r="M61" s="7"/>
      <c r="N61" s="7"/>
      <c r="O61" s="7"/>
      <c r="P61" s="7"/>
      <c r="Q61" s="7"/>
      <c r="R61" s="7"/>
      <c r="S61" s="7"/>
      <c r="T61" s="7"/>
    </row>
    <row r="62" spans="1:20" x14ac:dyDescent="0.3">
      <c r="A62" s="7"/>
      <c r="B62" s="7"/>
      <c r="C62" s="7"/>
      <c r="D62" s="7"/>
      <c r="E62" s="7"/>
      <c r="F62" s="7"/>
      <c r="G62" s="7"/>
      <c r="H62" s="7"/>
      <c r="I62" s="7"/>
      <c r="J62" s="7"/>
      <c r="K62" s="7"/>
      <c r="L62" s="7"/>
      <c r="M62" s="7"/>
      <c r="N62" s="7"/>
      <c r="O62" s="7"/>
      <c r="P62" s="7"/>
      <c r="Q62" s="7"/>
      <c r="R62" s="7"/>
      <c r="S62" s="7"/>
      <c r="T62" s="7"/>
    </row>
    <row r="63" spans="1:20" x14ac:dyDescent="0.3">
      <c r="A63" s="7"/>
      <c r="B63" s="7"/>
      <c r="C63" s="7"/>
      <c r="D63" s="7"/>
      <c r="E63" s="7"/>
      <c r="F63" s="7"/>
      <c r="G63" s="7"/>
      <c r="H63" s="7"/>
      <c r="I63" s="7"/>
      <c r="J63" s="7"/>
      <c r="K63" s="7"/>
      <c r="L63" s="7"/>
      <c r="M63" s="7"/>
      <c r="N63" s="7"/>
      <c r="O63" s="7"/>
      <c r="P63" s="7"/>
      <c r="Q63" s="7"/>
      <c r="R63" s="7"/>
      <c r="S63" s="7"/>
      <c r="T63" s="7"/>
    </row>
    <row r="64" spans="1:20" x14ac:dyDescent="0.3">
      <c r="A64" s="7"/>
      <c r="B64" s="7"/>
      <c r="C64" s="7"/>
      <c r="D64" s="7"/>
      <c r="E64" s="7"/>
      <c r="F64" s="7"/>
      <c r="G64" s="7"/>
      <c r="H64" s="7"/>
      <c r="I64" s="7"/>
      <c r="J64" s="7"/>
      <c r="K64" s="7"/>
      <c r="L64" s="7"/>
      <c r="M64" s="7"/>
      <c r="N64" s="7"/>
      <c r="O64" s="7"/>
      <c r="P64" s="7"/>
      <c r="Q64" s="7"/>
      <c r="R64" s="7"/>
      <c r="S64" s="7"/>
      <c r="T64" s="7"/>
    </row>
    <row r="65" spans="1:20" x14ac:dyDescent="0.3">
      <c r="A65" s="7"/>
      <c r="B65" s="7"/>
      <c r="C65" s="7"/>
      <c r="D65" s="7"/>
      <c r="E65" s="7"/>
      <c r="F65" s="7"/>
      <c r="G65" s="7"/>
      <c r="H65" s="7"/>
      <c r="I65" s="7"/>
      <c r="J65" s="7"/>
      <c r="K65" s="7"/>
      <c r="L65" s="7"/>
      <c r="M65" s="7"/>
      <c r="N65" s="7"/>
      <c r="O65" s="7"/>
      <c r="P65" s="7"/>
      <c r="Q65" s="7"/>
      <c r="R65" s="7"/>
      <c r="S65" s="7"/>
      <c r="T65" s="7"/>
    </row>
    <row r="66" spans="1:20" x14ac:dyDescent="0.3">
      <c r="A66" s="7"/>
      <c r="B66" s="7"/>
      <c r="C66" s="7"/>
      <c r="D66" s="7"/>
      <c r="E66" s="7"/>
      <c r="F66" s="7"/>
      <c r="G66" s="7"/>
      <c r="H66" s="7"/>
      <c r="I66" s="7"/>
      <c r="J66" s="7"/>
      <c r="K66" s="7"/>
      <c r="L66" s="7"/>
      <c r="M66" s="7"/>
      <c r="N66" s="7"/>
      <c r="O66" s="7"/>
      <c r="P66" s="7"/>
      <c r="Q66" s="7"/>
      <c r="R66" s="7"/>
      <c r="S66" s="7"/>
      <c r="T66" s="7"/>
    </row>
    <row r="67" spans="1:20" x14ac:dyDescent="0.3">
      <c r="A67" s="7"/>
      <c r="B67" s="7"/>
      <c r="C67" s="7"/>
      <c r="D67" s="7"/>
      <c r="E67" s="7"/>
      <c r="F67" s="7"/>
      <c r="G67" s="7"/>
      <c r="H67" s="7"/>
      <c r="I67" s="7"/>
      <c r="J67" s="7"/>
      <c r="K67" s="7"/>
      <c r="L67" s="7"/>
      <c r="M67" s="7"/>
      <c r="N67" s="7"/>
      <c r="O67" s="7"/>
      <c r="P67" s="7"/>
      <c r="Q67" s="7"/>
      <c r="R67" s="7"/>
      <c r="S67" s="7"/>
      <c r="T67" s="7"/>
    </row>
    <row r="68" spans="1:20" x14ac:dyDescent="0.3">
      <c r="A68" s="7"/>
      <c r="B68" s="7"/>
      <c r="C68" s="7"/>
      <c r="D68" s="7"/>
      <c r="E68" s="7"/>
      <c r="F68" s="7"/>
      <c r="G68" s="7"/>
      <c r="H68" s="7"/>
      <c r="I68" s="7"/>
      <c r="J68" s="7"/>
      <c r="K68" s="7"/>
      <c r="L68" s="7"/>
      <c r="M68" s="7"/>
      <c r="N68" s="7"/>
      <c r="O68" s="7"/>
      <c r="P68" s="7"/>
      <c r="Q68" s="7"/>
      <c r="R68" s="7"/>
      <c r="S68" s="7"/>
      <c r="T68" s="7"/>
    </row>
    <row r="69" spans="1:20" x14ac:dyDescent="0.3">
      <c r="A69" s="7"/>
      <c r="B69" s="7"/>
      <c r="C69" s="7"/>
      <c r="D69" s="7"/>
      <c r="E69" s="7"/>
      <c r="F69" s="7"/>
      <c r="G69" s="7"/>
      <c r="H69" s="7"/>
      <c r="I69" s="7"/>
      <c r="J69" s="7"/>
      <c r="K69" s="7"/>
      <c r="L69" s="7"/>
      <c r="M69" s="7"/>
      <c r="N69" s="7"/>
      <c r="O69" s="7"/>
      <c r="P69" s="7"/>
      <c r="Q69" s="7"/>
      <c r="R69" s="7"/>
      <c r="S69" s="7"/>
      <c r="T69" s="7"/>
    </row>
    <row r="70" spans="1:20" x14ac:dyDescent="0.3">
      <c r="A70" s="7"/>
      <c r="B70" s="7"/>
      <c r="C70" s="7"/>
      <c r="D70" s="7"/>
      <c r="E70" s="7"/>
      <c r="F70" s="7"/>
      <c r="G70" s="7"/>
      <c r="H70" s="7"/>
      <c r="I70" s="7"/>
      <c r="J70" s="7"/>
      <c r="K70" s="7"/>
      <c r="L70" s="7"/>
      <c r="M70" s="7"/>
      <c r="N70" s="7"/>
      <c r="O70" s="7"/>
      <c r="P70" s="7"/>
      <c r="Q70" s="7"/>
      <c r="R70" s="7"/>
      <c r="S70" s="7"/>
      <c r="T70" s="7"/>
    </row>
    <row r="71" spans="1:20" x14ac:dyDescent="0.3">
      <c r="A71" s="7"/>
      <c r="B71" s="7"/>
      <c r="C71" s="7"/>
      <c r="D71" s="7"/>
      <c r="E71" s="7"/>
      <c r="F71" s="7"/>
      <c r="G71" s="7"/>
      <c r="H71" s="7"/>
      <c r="I71" s="7"/>
      <c r="J71" s="7"/>
      <c r="K71" s="7"/>
      <c r="L71" s="7"/>
      <c r="M71" s="7"/>
      <c r="N71" s="7"/>
      <c r="O71" s="7"/>
      <c r="P71" s="7"/>
      <c r="Q71" s="7"/>
      <c r="R71" s="7"/>
      <c r="S71" s="7"/>
      <c r="T71" s="7"/>
    </row>
    <row r="72" spans="1:20" x14ac:dyDescent="0.3">
      <c r="A72" s="7"/>
      <c r="B72" s="7"/>
      <c r="C72" s="7"/>
      <c r="D72" s="7"/>
      <c r="E72" s="7"/>
      <c r="F72" s="7"/>
      <c r="G72" s="7"/>
      <c r="H72" s="7"/>
      <c r="I72" s="7"/>
      <c r="J72" s="7"/>
      <c r="K72" s="7"/>
      <c r="L72" s="7"/>
      <c r="M72" s="7"/>
      <c r="N72" s="7"/>
      <c r="O72" s="7"/>
      <c r="P72" s="7"/>
      <c r="Q72" s="7"/>
      <c r="R72" s="7"/>
      <c r="S72" s="7"/>
      <c r="T72" s="7"/>
    </row>
    <row r="73" spans="1:20" x14ac:dyDescent="0.3">
      <c r="A73" s="7"/>
      <c r="B73" s="7"/>
      <c r="C73" s="7"/>
      <c r="D73" s="7"/>
      <c r="E73" s="7"/>
      <c r="F73" s="7"/>
      <c r="G73" s="7"/>
      <c r="H73" s="7"/>
      <c r="I73" s="7"/>
      <c r="J73" s="7"/>
      <c r="K73" s="7"/>
      <c r="L73" s="7"/>
      <c r="M73" s="7"/>
      <c r="N73" s="7"/>
      <c r="O73" s="7"/>
      <c r="P73" s="7"/>
      <c r="Q73" s="7"/>
      <c r="R73" s="7"/>
      <c r="S73" s="7"/>
      <c r="T73" s="7"/>
    </row>
    <row r="74" spans="1:20" x14ac:dyDescent="0.3">
      <c r="A74" s="7"/>
      <c r="B74" s="7"/>
      <c r="C74" s="7"/>
      <c r="D74" s="7"/>
      <c r="E74" s="7"/>
      <c r="F74" s="7"/>
      <c r="G74" s="7"/>
      <c r="H74" s="7"/>
      <c r="I74" s="7"/>
      <c r="J74" s="7"/>
      <c r="K74" s="7"/>
      <c r="L74" s="7"/>
      <c r="M74" s="7"/>
      <c r="N74" s="7"/>
      <c r="O74" s="7"/>
      <c r="P74" s="7"/>
      <c r="Q74" s="7"/>
      <c r="R74" s="7"/>
      <c r="S74" s="7"/>
      <c r="T74" s="7"/>
    </row>
    <row r="75" spans="1:20" x14ac:dyDescent="0.3">
      <c r="A75" s="7"/>
      <c r="B75" s="7"/>
      <c r="C75" s="7"/>
      <c r="D75" s="7"/>
      <c r="E75" s="7"/>
      <c r="F75" s="7"/>
      <c r="G75" s="7"/>
      <c r="H75" s="7"/>
      <c r="I75" s="7"/>
      <c r="J75" s="7"/>
      <c r="K75" s="7"/>
      <c r="L75" s="7"/>
      <c r="M75" s="7"/>
      <c r="N75" s="7"/>
      <c r="O75" s="7"/>
      <c r="P75" s="7"/>
      <c r="Q75" s="7"/>
      <c r="R75" s="7"/>
      <c r="S75" s="7"/>
      <c r="T75" s="7"/>
    </row>
    <row r="76" spans="1:20" x14ac:dyDescent="0.3">
      <c r="A76" s="7"/>
      <c r="B76" s="7"/>
      <c r="C76" s="7"/>
      <c r="D76" s="7"/>
      <c r="E76" s="7"/>
      <c r="F76" s="7"/>
      <c r="G76" s="7"/>
      <c r="H76" s="7"/>
      <c r="I76" s="7"/>
      <c r="J76" s="7"/>
      <c r="K76" s="7"/>
      <c r="L76" s="7"/>
      <c r="M76" s="7"/>
      <c r="N76" s="7"/>
      <c r="O76" s="7"/>
      <c r="P76" s="7"/>
      <c r="Q76" s="7"/>
      <c r="R76" s="7"/>
      <c r="S76" s="7"/>
      <c r="T76" s="7"/>
    </row>
    <row r="77" spans="1:20" x14ac:dyDescent="0.3">
      <c r="A77" s="7"/>
      <c r="B77" s="7"/>
      <c r="C77" s="7"/>
      <c r="D77" s="7"/>
      <c r="E77" s="7"/>
      <c r="F77" s="7"/>
      <c r="G77" s="7"/>
      <c r="H77" s="7"/>
      <c r="I77" s="7"/>
      <c r="J77" s="7"/>
      <c r="K77" s="7"/>
      <c r="L77" s="7"/>
      <c r="M77" s="7"/>
      <c r="N77" s="7"/>
      <c r="O77" s="7"/>
      <c r="P77" s="7"/>
      <c r="Q77" s="7"/>
      <c r="R77" s="7"/>
      <c r="S77" s="7"/>
      <c r="T77" s="7"/>
    </row>
    <row r="78" spans="1:20" x14ac:dyDescent="0.3">
      <c r="A78" s="7"/>
      <c r="B78" s="7"/>
      <c r="C78" s="7"/>
      <c r="D78" s="7"/>
      <c r="E78" s="7"/>
      <c r="F78" s="7"/>
      <c r="G78" s="7"/>
      <c r="H78" s="7"/>
      <c r="I78" s="7"/>
      <c r="J78" s="7"/>
      <c r="K78" s="7"/>
      <c r="L78" s="7"/>
      <c r="M78" s="7"/>
      <c r="N78" s="7"/>
      <c r="O78" s="7"/>
      <c r="P78" s="7"/>
      <c r="Q78" s="7"/>
      <c r="R78" s="7"/>
      <c r="S78" s="7"/>
      <c r="T78" s="7"/>
    </row>
    <row r="79" spans="1:20" x14ac:dyDescent="0.3">
      <c r="A79" s="7"/>
      <c r="B79" s="7"/>
      <c r="C79" s="7"/>
      <c r="D79" s="7"/>
      <c r="E79" s="7"/>
      <c r="F79" s="7"/>
      <c r="G79" s="7"/>
      <c r="H79" s="7"/>
      <c r="I79" s="7"/>
      <c r="J79" s="7"/>
      <c r="K79" s="7"/>
      <c r="L79" s="7"/>
      <c r="M79" s="7"/>
      <c r="N79" s="7"/>
      <c r="O79" s="7"/>
      <c r="P79" s="7"/>
      <c r="Q79" s="7"/>
      <c r="R79" s="7"/>
      <c r="S79" s="7"/>
      <c r="T79" s="7"/>
    </row>
    <row r="80" spans="1:20" x14ac:dyDescent="0.3">
      <c r="A80" s="7"/>
      <c r="B80" s="7"/>
      <c r="C80" s="7"/>
      <c r="D80" s="7"/>
      <c r="E80" s="7"/>
      <c r="F80" s="7"/>
      <c r="G80" s="7"/>
      <c r="H80" s="7"/>
      <c r="I80" s="7"/>
      <c r="J80" s="7"/>
      <c r="K80" s="7"/>
      <c r="L80" s="7"/>
      <c r="M80" s="7"/>
      <c r="N80" s="7"/>
      <c r="O80" s="7"/>
      <c r="P80" s="7"/>
      <c r="Q80" s="7"/>
      <c r="R80" s="7"/>
      <c r="S80" s="7"/>
      <c r="T80" s="7"/>
    </row>
    <row r="81" spans="1:20" x14ac:dyDescent="0.3">
      <c r="A81" s="7"/>
      <c r="B81" s="7"/>
      <c r="C81" s="7"/>
      <c r="D81" s="7"/>
      <c r="E81" s="7"/>
      <c r="F81" s="7"/>
      <c r="G81" s="7"/>
      <c r="H81" s="7"/>
      <c r="I81" s="7"/>
      <c r="J81" s="7"/>
      <c r="K81" s="7"/>
      <c r="L81" s="7"/>
      <c r="M81" s="7"/>
      <c r="N81" s="7"/>
      <c r="O81" s="7"/>
      <c r="P81" s="7"/>
      <c r="Q81" s="7"/>
      <c r="R81" s="7"/>
      <c r="S81" s="7"/>
      <c r="T81" s="7"/>
    </row>
    <row r="82" spans="1:20" x14ac:dyDescent="0.3">
      <c r="A82" s="7"/>
      <c r="B82" s="7"/>
      <c r="C82" s="7"/>
      <c r="D82" s="7"/>
      <c r="E82" s="7"/>
      <c r="F82" s="7"/>
      <c r="G82" s="7"/>
      <c r="H82" s="7"/>
      <c r="I82" s="7"/>
      <c r="J82" s="7"/>
      <c r="K82" s="7"/>
      <c r="L82" s="7"/>
      <c r="M82" s="7"/>
      <c r="N82" s="7"/>
      <c r="O82" s="7"/>
      <c r="P82" s="7"/>
      <c r="Q82" s="7"/>
      <c r="R82" s="7"/>
      <c r="S82" s="7"/>
      <c r="T82" s="7"/>
    </row>
    <row r="83" spans="1:20" x14ac:dyDescent="0.3">
      <c r="A83" s="7"/>
      <c r="B83" s="7"/>
      <c r="C83" s="7"/>
      <c r="D83" s="7"/>
      <c r="E83" s="7"/>
      <c r="F83" s="7"/>
      <c r="G83" s="7"/>
      <c r="H83" s="7"/>
      <c r="I83" s="7"/>
      <c r="J83" s="7"/>
      <c r="K83" s="7"/>
      <c r="L83" s="7"/>
      <c r="M83" s="7"/>
      <c r="N83" s="7"/>
      <c r="O83" s="7"/>
      <c r="P83" s="7"/>
      <c r="Q83" s="7"/>
      <c r="R83" s="7"/>
      <c r="S83" s="7"/>
      <c r="T83" s="7"/>
    </row>
    <row r="84" spans="1:20" x14ac:dyDescent="0.3">
      <c r="A84" s="7"/>
      <c r="B84" s="7"/>
      <c r="C84" s="7"/>
      <c r="D84" s="7"/>
      <c r="E84" s="7"/>
      <c r="F84" s="7"/>
      <c r="G84" s="7"/>
      <c r="H84" s="7"/>
      <c r="I84" s="7"/>
      <c r="J84" s="7"/>
      <c r="K84" s="7"/>
      <c r="L84" s="7"/>
      <c r="M84" s="7"/>
      <c r="N84" s="7"/>
      <c r="O84" s="7"/>
      <c r="P84" s="7"/>
      <c r="Q84" s="7"/>
      <c r="R84" s="7"/>
      <c r="S84" s="7"/>
      <c r="T84" s="7"/>
    </row>
    <row r="85" spans="1:20" x14ac:dyDescent="0.3">
      <c r="A85" s="7"/>
      <c r="B85" s="7"/>
      <c r="C85" s="7"/>
      <c r="D85" s="7"/>
      <c r="E85" s="7"/>
      <c r="F85" s="7"/>
      <c r="G85" s="7"/>
      <c r="H85" s="7"/>
      <c r="I85" s="7"/>
      <c r="J85" s="7"/>
      <c r="K85" s="7"/>
      <c r="L85" s="7"/>
      <c r="M85" s="7"/>
      <c r="N85" s="7"/>
      <c r="O85" s="7"/>
      <c r="P85" s="7"/>
      <c r="Q85" s="7"/>
      <c r="R85" s="7"/>
      <c r="S85" s="7"/>
      <c r="T85" s="7"/>
    </row>
    <row r="86" spans="1:20" x14ac:dyDescent="0.3">
      <c r="A86" s="7"/>
      <c r="B86" s="7"/>
      <c r="C86" s="7"/>
      <c r="D86" s="7"/>
      <c r="E86" s="7"/>
      <c r="F86" s="7"/>
      <c r="G86" s="7"/>
      <c r="H86" s="7"/>
      <c r="I86" s="7"/>
      <c r="J86" s="7"/>
      <c r="K86" s="7"/>
      <c r="L86" s="7"/>
      <c r="M86" s="7"/>
      <c r="N86" s="7"/>
      <c r="O86" s="7"/>
      <c r="P86" s="7"/>
      <c r="Q86" s="7"/>
      <c r="R86" s="7"/>
      <c r="S86" s="7"/>
      <c r="T86" s="7"/>
    </row>
    <row r="87" spans="1:20" x14ac:dyDescent="0.3">
      <c r="A87" s="7"/>
      <c r="B87" s="7"/>
      <c r="C87" s="7"/>
      <c r="D87" s="7"/>
      <c r="E87" s="7"/>
      <c r="F87" s="7"/>
      <c r="G87" s="7"/>
      <c r="H87" s="7"/>
      <c r="I87" s="7"/>
      <c r="J87" s="7"/>
      <c r="K87" s="7"/>
      <c r="L87" s="7"/>
      <c r="M87" s="7"/>
      <c r="N87" s="7"/>
      <c r="O87" s="7"/>
      <c r="P87" s="7"/>
      <c r="Q87" s="7"/>
      <c r="R87" s="7"/>
      <c r="S87" s="7"/>
      <c r="T87" s="7"/>
    </row>
    <row r="88" spans="1:20" x14ac:dyDescent="0.3">
      <c r="A88" s="7"/>
      <c r="B88" s="7"/>
      <c r="C88" s="7"/>
      <c r="D88" s="7"/>
      <c r="E88" s="7"/>
      <c r="F88" s="7"/>
      <c r="G88" s="7"/>
      <c r="H88" s="7"/>
      <c r="I88" s="7"/>
      <c r="J88" s="7"/>
      <c r="K88" s="7"/>
      <c r="L88" s="7"/>
      <c r="M88" s="7"/>
      <c r="N88" s="7"/>
      <c r="O88" s="7"/>
      <c r="P88" s="7"/>
      <c r="Q88" s="7"/>
      <c r="R88" s="7"/>
      <c r="S88" s="7"/>
      <c r="T88" s="7"/>
    </row>
    <row r="89" spans="1:20" x14ac:dyDescent="0.3">
      <c r="A89" s="7"/>
      <c r="B89" s="7"/>
      <c r="C89" s="7"/>
      <c r="D89" s="7"/>
      <c r="E89" s="7"/>
      <c r="F89" s="7"/>
      <c r="G89" s="7"/>
      <c r="H89" s="7"/>
      <c r="I89" s="7"/>
      <c r="J89" s="7"/>
      <c r="K89" s="7"/>
      <c r="L89" s="7"/>
      <c r="M89" s="7"/>
      <c r="N89" s="7"/>
      <c r="O89" s="7"/>
      <c r="P89" s="7"/>
      <c r="Q89" s="7"/>
      <c r="R89" s="7"/>
      <c r="S89" s="7"/>
      <c r="T89" s="7"/>
    </row>
    <row r="90" spans="1:20" x14ac:dyDescent="0.3">
      <c r="A90" s="7"/>
      <c r="B90" s="7"/>
      <c r="C90" s="7"/>
      <c r="D90" s="7"/>
      <c r="E90" s="7"/>
      <c r="F90" s="7"/>
      <c r="G90" s="7"/>
      <c r="H90" s="7"/>
      <c r="I90" s="7"/>
      <c r="J90" s="7"/>
      <c r="K90" s="7"/>
      <c r="L90" s="7"/>
      <c r="M90" s="7"/>
      <c r="N90" s="7"/>
      <c r="O90" s="7"/>
      <c r="P90" s="7"/>
      <c r="Q90" s="7"/>
      <c r="R90" s="7"/>
      <c r="S90" s="7"/>
      <c r="T90" s="7"/>
    </row>
    <row r="91" spans="1:20" x14ac:dyDescent="0.3">
      <c r="A91" s="7"/>
      <c r="B91" s="7"/>
      <c r="C91" s="7"/>
      <c r="D91" s="7"/>
      <c r="E91" s="7"/>
      <c r="F91" s="7"/>
      <c r="G91" s="7"/>
      <c r="H91" s="7"/>
      <c r="I91" s="7"/>
      <c r="J91" s="7"/>
      <c r="K91" s="7"/>
      <c r="L91" s="7"/>
      <c r="M91" s="7"/>
      <c r="N91" s="7"/>
      <c r="O91" s="7"/>
      <c r="P91" s="7"/>
      <c r="Q91" s="7"/>
      <c r="R91" s="7"/>
      <c r="S91" s="7"/>
      <c r="T91" s="7"/>
    </row>
    <row r="92" spans="1:20" x14ac:dyDescent="0.3">
      <c r="A92" s="7"/>
      <c r="B92" s="7"/>
      <c r="C92" s="7"/>
      <c r="D92" s="7"/>
      <c r="E92" s="7"/>
      <c r="F92" s="7"/>
      <c r="G92" s="7"/>
      <c r="H92" s="7"/>
      <c r="I92" s="7"/>
      <c r="J92" s="7"/>
      <c r="K92" s="7"/>
      <c r="L92" s="7"/>
      <c r="M92" s="7"/>
      <c r="N92" s="7"/>
      <c r="O92" s="7"/>
      <c r="P92" s="7"/>
      <c r="Q92" s="7"/>
      <c r="R92" s="7"/>
      <c r="S92" s="7"/>
      <c r="T92" s="7"/>
    </row>
    <row r="93" spans="1:20" x14ac:dyDescent="0.3">
      <c r="A93" s="7"/>
      <c r="B93" s="7"/>
      <c r="C93" s="7"/>
      <c r="D93" s="7"/>
      <c r="E93" s="7"/>
      <c r="F93" s="7"/>
      <c r="G93" s="7"/>
      <c r="H93" s="7"/>
      <c r="I93" s="7"/>
      <c r="J93" s="7"/>
      <c r="K93" s="7"/>
      <c r="L93" s="7"/>
      <c r="M93" s="7"/>
      <c r="N93" s="7"/>
      <c r="O93" s="7"/>
      <c r="P93" s="7"/>
      <c r="Q93" s="7"/>
      <c r="R93" s="7"/>
      <c r="S93" s="7"/>
      <c r="T93" s="7"/>
    </row>
    <row r="94" spans="1:20" x14ac:dyDescent="0.3">
      <c r="A94" s="7"/>
      <c r="B94" s="7"/>
      <c r="C94" s="7"/>
      <c r="D94" s="7"/>
      <c r="E94" s="7"/>
      <c r="F94" s="7"/>
      <c r="G94" s="7"/>
      <c r="H94" s="7"/>
      <c r="I94" s="7"/>
      <c r="J94" s="7"/>
      <c r="K94" s="7"/>
      <c r="L94" s="7"/>
      <c r="M94" s="7"/>
      <c r="N94" s="7"/>
      <c r="O94" s="7"/>
      <c r="P94" s="7"/>
      <c r="Q94" s="7"/>
      <c r="R94" s="7"/>
      <c r="S94" s="7"/>
      <c r="T94" s="7"/>
    </row>
    <row r="95" spans="1:20" x14ac:dyDescent="0.3">
      <c r="A95" s="7"/>
      <c r="B95" s="7"/>
      <c r="C95" s="7"/>
      <c r="D95" s="7"/>
      <c r="E95" s="7"/>
      <c r="F95" s="7"/>
      <c r="G95" s="7"/>
      <c r="H95" s="7"/>
      <c r="I95" s="7"/>
      <c r="J95" s="7"/>
      <c r="K95" s="7"/>
      <c r="L95" s="7"/>
      <c r="M95" s="7"/>
      <c r="N95" s="7"/>
      <c r="O95" s="7"/>
      <c r="P95" s="7"/>
      <c r="Q95" s="7"/>
      <c r="R95" s="7"/>
      <c r="S95" s="7"/>
      <c r="T95" s="7"/>
    </row>
    <row r="96" spans="1:20" x14ac:dyDescent="0.3">
      <c r="A96" s="7"/>
      <c r="B96" s="7"/>
      <c r="C96" s="7"/>
      <c r="D96" s="7"/>
      <c r="E96" s="7"/>
      <c r="F96" s="7"/>
      <c r="G96" s="7"/>
      <c r="H96" s="7"/>
      <c r="I96" s="7"/>
      <c r="J96" s="7"/>
      <c r="K96" s="7"/>
      <c r="L96" s="7"/>
      <c r="M96" s="7"/>
      <c r="N96" s="7"/>
      <c r="O96" s="7"/>
      <c r="P96" s="7"/>
      <c r="Q96" s="7"/>
      <c r="R96" s="7"/>
      <c r="S96" s="7"/>
      <c r="T96" s="7"/>
    </row>
    <row r="97" spans="1:20" x14ac:dyDescent="0.3">
      <c r="A97" s="7"/>
      <c r="B97" s="7"/>
      <c r="C97" s="7"/>
      <c r="D97" s="7"/>
      <c r="E97" s="7"/>
      <c r="F97" s="7"/>
      <c r="G97" s="7"/>
      <c r="H97" s="7"/>
      <c r="I97" s="7"/>
      <c r="J97" s="7"/>
      <c r="K97" s="7"/>
      <c r="L97" s="7"/>
      <c r="M97" s="7"/>
      <c r="N97" s="7"/>
      <c r="O97" s="7"/>
      <c r="P97" s="7"/>
      <c r="Q97" s="7"/>
      <c r="R97" s="7"/>
      <c r="S97" s="7"/>
      <c r="T97" s="7"/>
    </row>
    <row r="98" spans="1:20" x14ac:dyDescent="0.3">
      <c r="A98" s="7"/>
      <c r="B98" s="7"/>
      <c r="C98" s="7"/>
      <c r="D98" s="7"/>
      <c r="E98" s="7"/>
      <c r="F98" s="7"/>
      <c r="G98" s="7"/>
      <c r="H98" s="7"/>
      <c r="I98" s="7"/>
      <c r="J98" s="7"/>
      <c r="K98" s="7"/>
      <c r="L98" s="7"/>
      <c r="M98" s="7"/>
      <c r="N98" s="7"/>
      <c r="O98" s="7"/>
      <c r="P98" s="7"/>
      <c r="Q98" s="7"/>
      <c r="R98" s="7"/>
      <c r="S98" s="7"/>
      <c r="T98" s="7"/>
    </row>
    <row r="99" spans="1:20" x14ac:dyDescent="0.3">
      <c r="A99" s="7"/>
      <c r="B99" s="7"/>
      <c r="C99" s="7"/>
      <c r="D99" s="7"/>
      <c r="E99" s="7"/>
      <c r="F99" s="7"/>
      <c r="G99" s="7"/>
      <c r="H99" s="7"/>
      <c r="I99" s="7"/>
      <c r="J99" s="7"/>
      <c r="K99" s="7"/>
      <c r="L99" s="7"/>
      <c r="M99" s="7"/>
      <c r="N99" s="7"/>
      <c r="O99" s="7"/>
      <c r="P99" s="7"/>
      <c r="Q99" s="7"/>
      <c r="R99" s="7"/>
      <c r="S99" s="7"/>
      <c r="T99" s="7"/>
    </row>
    <row r="100" spans="1:20" x14ac:dyDescent="0.3">
      <c r="A100" s="7"/>
      <c r="B100" s="7"/>
      <c r="C100" s="7"/>
      <c r="D100" s="7"/>
      <c r="E100" s="7"/>
      <c r="F100" s="7"/>
      <c r="G100" s="7"/>
      <c r="H100" s="7"/>
      <c r="I100" s="7"/>
      <c r="J100" s="7"/>
      <c r="K100" s="7"/>
      <c r="L100" s="7"/>
      <c r="M100" s="7"/>
      <c r="N100" s="7"/>
      <c r="O100" s="7"/>
      <c r="P100" s="7"/>
      <c r="Q100" s="7"/>
      <c r="R100" s="7"/>
      <c r="S100" s="7"/>
      <c r="T100" s="7"/>
    </row>
    <row r="101" spans="1:20" x14ac:dyDescent="0.3">
      <c r="A101" s="7"/>
      <c r="B101" s="7"/>
      <c r="C101" s="7"/>
      <c r="D101" s="7"/>
      <c r="E101" s="7"/>
      <c r="F101" s="7"/>
      <c r="G101" s="7"/>
      <c r="H101" s="7"/>
      <c r="I101" s="7"/>
      <c r="J101" s="7"/>
      <c r="K101" s="7"/>
      <c r="L101" s="7"/>
      <c r="M101" s="7"/>
      <c r="N101" s="7"/>
      <c r="O101" s="7"/>
      <c r="P101" s="7"/>
      <c r="Q101" s="7"/>
      <c r="R101" s="7"/>
      <c r="S101" s="7"/>
      <c r="T101" s="7"/>
    </row>
    <row r="102" spans="1:20" x14ac:dyDescent="0.3">
      <c r="A102" s="7"/>
      <c r="B102" s="7"/>
      <c r="C102" s="7"/>
      <c r="D102" s="7"/>
      <c r="E102" s="7"/>
      <c r="F102" s="7"/>
      <c r="G102" s="7"/>
      <c r="H102" s="7"/>
      <c r="I102" s="7"/>
      <c r="J102" s="7"/>
      <c r="K102" s="7"/>
      <c r="L102" s="7"/>
      <c r="M102" s="7"/>
      <c r="N102" s="7"/>
      <c r="O102" s="7"/>
      <c r="P102" s="7"/>
      <c r="Q102" s="7"/>
      <c r="R102" s="7"/>
      <c r="S102" s="7"/>
      <c r="T102" s="7"/>
    </row>
    <row r="103" spans="1:20" x14ac:dyDescent="0.3">
      <c r="A103" s="7"/>
      <c r="B103" s="7"/>
      <c r="C103" s="7"/>
      <c r="D103" s="7"/>
      <c r="E103" s="7"/>
      <c r="F103" s="7"/>
      <c r="G103" s="7"/>
      <c r="H103" s="7"/>
      <c r="I103" s="7"/>
      <c r="J103" s="7"/>
      <c r="K103" s="7"/>
      <c r="L103" s="7"/>
      <c r="M103" s="7"/>
      <c r="N103" s="7"/>
      <c r="O103" s="7"/>
      <c r="P103" s="7"/>
      <c r="Q103" s="7"/>
      <c r="R103" s="7"/>
      <c r="S103" s="7"/>
      <c r="T103" s="7"/>
    </row>
    <row r="104" spans="1:20" x14ac:dyDescent="0.3">
      <c r="A104" s="7"/>
      <c r="B104" s="7"/>
      <c r="C104" s="7"/>
      <c r="D104" s="7"/>
      <c r="E104" s="7"/>
      <c r="F104" s="7"/>
      <c r="G104" s="7"/>
      <c r="H104" s="7"/>
      <c r="I104" s="7"/>
      <c r="J104" s="7"/>
      <c r="K104" s="7"/>
      <c r="L104" s="7"/>
      <c r="M104" s="7"/>
      <c r="N104" s="7"/>
      <c r="O104" s="7"/>
      <c r="P104" s="7"/>
      <c r="Q104" s="7"/>
      <c r="R104" s="7"/>
      <c r="S104" s="7"/>
      <c r="T104" s="7"/>
    </row>
    <row r="105" spans="1:20" x14ac:dyDescent="0.3">
      <c r="A105" s="7"/>
      <c r="B105" s="7"/>
      <c r="C105" s="7"/>
      <c r="D105" s="7"/>
      <c r="E105" s="7"/>
      <c r="F105" s="7"/>
      <c r="G105" s="7"/>
      <c r="H105" s="7"/>
      <c r="I105" s="7"/>
      <c r="J105" s="7"/>
      <c r="K105" s="7"/>
      <c r="L105" s="7"/>
      <c r="M105" s="7"/>
      <c r="N105" s="7"/>
      <c r="O105" s="7"/>
      <c r="P105" s="7"/>
      <c r="Q105" s="7"/>
      <c r="R105" s="7"/>
      <c r="S105" s="7"/>
      <c r="T105" s="7"/>
    </row>
    <row r="106" spans="1:20" x14ac:dyDescent="0.3">
      <c r="A106" s="7"/>
      <c r="B106" s="7"/>
      <c r="C106" s="7"/>
      <c r="D106" s="7"/>
      <c r="E106" s="7"/>
      <c r="F106" s="7"/>
      <c r="G106" s="7"/>
      <c r="H106" s="7"/>
      <c r="I106" s="7"/>
      <c r="J106" s="7"/>
      <c r="K106" s="7"/>
      <c r="L106" s="7"/>
      <c r="M106" s="7"/>
      <c r="N106" s="7"/>
      <c r="O106" s="7"/>
      <c r="P106" s="7"/>
      <c r="Q106" s="7"/>
      <c r="R106" s="7"/>
      <c r="S106" s="7"/>
      <c r="T106" s="7"/>
    </row>
    <row r="107" spans="1:20" x14ac:dyDescent="0.3">
      <c r="A107" s="7"/>
      <c r="B107" s="7"/>
      <c r="C107" s="7"/>
      <c r="D107" s="7"/>
      <c r="E107" s="7"/>
      <c r="F107" s="7"/>
      <c r="G107" s="7"/>
      <c r="H107" s="7"/>
      <c r="I107" s="7"/>
      <c r="J107" s="7"/>
      <c r="K107" s="7"/>
      <c r="L107" s="7"/>
      <c r="M107" s="7"/>
      <c r="N107" s="7"/>
      <c r="O107" s="7"/>
      <c r="P107" s="7"/>
      <c r="Q107" s="7"/>
      <c r="R107" s="7"/>
      <c r="S107" s="7"/>
      <c r="T107" s="7"/>
    </row>
    <row r="108" spans="1:20" x14ac:dyDescent="0.3">
      <c r="A108" s="7"/>
      <c r="B108" s="7"/>
      <c r="C108" s="7"/>
      <c r="D108" s="7"/>
      <c r="E108" s="7"/>
      <c r="F108" s="7"/>
      <c r="G108" s="7"/>
      <c r="H108" s="7"/>
      <c r="I108" s="7"/>
      <c r="J108" s="7"/>
      <c r="K108" s="7"/>
      <c r="L108" s="7"/>
      <c r="M108" s="7"/>
      <c r="N108" s="7"/>
      <c r="O108" s="7"/>
      <c r="P108" s="7"/>
      <c r="Q108" s="7"/>
      <c r="R108" s="7"/>
      <c r="S108" s="7"/>
      <c r="T108" s="7"/>
    </row>
    <row r="109" spans="1:20" x14ac:dyDescent="0.3">
      <c r="A109" s="7"/>
      <c r="B109" s="7"/>
      <c r="C109" s="7"/>
      <c r="D109" s="7"/>
      <c r="E109" s="7"/>
      <c r="F109" s="7"/>
      <c r="G109" s="7"/>
      <c r="H109" s="7"/>
      <c r="I109" s="7"/>
      <c r="J109" s="7"/>
      <c r="K109" s="7"/>
      <c r="L109" s="7"/>
      <c r="M109" s="7"/>
      <c r="N109" s="7"/>
      <c r="O109" s="7"/>
      <c r="P109" s="7"/>
      <c r="Q109" s="7"/>
      <c r="R109" s="7"/>
      <c r="S109" s="7"/>
      <c r="T109" s="7"/>
    </row>
    <row r="110" spans="1:20" x14ac:dyDescent="0.3">
      <c r="A110" s="7"/>
      <c r="B110" s="7"/>
      <c r="C110" s="7"/>
      <c r="D110" s="7"/>
      <c r="E110" s="7"/>
      <c r="F110" s="7"/>
      <c r="G110" s="7"/>
      <c r="H110" s="7"/>
      <c r="I110" s="7"/>
      <c r="J110" s="7"/>
      <c r="K110" s="7"/>
      <c r="L110" s="7"/>
      <c r="M110" s="7"/>
      <c r="N110" s="7"/>
      <c r="O110" s="7"/>
      <c r="P110" s="7"/>
      <c r="Q110" s="7"/>
      <c r="R110" s="7"/>
      <c r="S110" s="7"/>
      <c r="T110" s="7"/>
    </row>
    <row r="111" spans="1:20" x14ac:dyDescent="0.3">
      <c r="A111" s="7"/>
      <c r="B111" s="7"/>
      <c r="C111" s="7"/>
      <c r="D111" s="7"/>
      <c r="E111" s="7"/>
      <c r="F111" s="7"/>
      <c r="G111" s="7"/>
      <c r="H111" s="7"/>
      <c r="I111" s="7"/>
      <c r="J111" s="7"/>
      <c r="K111" s="7"/>
      <c r="L111" s="7"/>
      <c r="M111" s="7"/>
      <c r="N111" s="7"/>
      <c r="O111" s="7"/>
      <c r="P111" s="7"/>
      <c r="Q111" s="7"/>
      <c r="R111" s="7"/>
      <c r="S111" s="7"/>
      <c r="T111" s="7"/>
    </row>
    <row r="112" spans="1:20" x14ac:dyDescent="0.3">
      <c r="A112" s="7"/>
      <c r="B112" s="7"/>
      <c r="C112" s="7"/>
      <c r="D112" s="7"/>
      <c r="E112" s="7"/>
      <c r="F112" s="7"/>
      <c r="G112" s="7"/>
      <c r="H112" s="7"/>
      <c r="I112" s="7"/>
      <c r="J112" s="7"/>
      <c r="K112" s="7"/>
      <c r="L112" s="7"/>
      <c r="M112" s="7"/>
      <c r="N112" s="7"/>
      <c r="O112" s="7"/>
      <c r="P112" s="7"/>
      <c r="Q112" s="7"/>
      <c r="R112" s="7"/>
      <c r="S112" s="7"/>
      <c r="T112" s="7"/>
    </row>
    <row r="113" spans="1:20" x14ac:dyDescent="0.3">
      <c r="A113" s="7"/>
      <c r="B113" s="7"/>
      <c r="C113" s="7"/>
      <c r="D113" s="7"/>
      <c r="E113" s="7"/>
      <c r="F113" s="7"/>
      <c r="G113" s="7"/>
      <c r="H113" s="7"/>
      <c r="I113" s="7"/>
      <c r="J113" s="7"/>
      <c r="K113" s="7"/>
      <c r="L113" s="7"/>
      <c r="M113" s="7"/>
      <c r="N113" s="7"/>
      <c r="O113" s="7"/>
      <c r="P113" s="7"/>
      <c r="Q113" s="7"/>
      <c r="R113" s="7"/>
      <c r="S113" s="7"/>
      <c r="T113" s="7"/>
    </row>
    <row r="114" spans="1:20" x14ac:dyDescent="0.3">
      <c r="A114" s="7"/>
      <c r="B114" s="7"/>
      <c r="C114" s="7"/>
      <c r="D114" s="7"/>
      <c r="E114" s="7"/>
      <c r="F114" s="7"/>
      <c r="G114" s="7"/>
      <c r="H114" s="7"/>
      <c r="I114" s="7"/>
      <c r="J114" s="7"/>
      <c r="K114" s="7"/>
      <c r="L114" s="7"/>
      <c r="M114" s="7"/>
      <c r="N114" s="7"/>
      <c r="O114" s="7"/>
      <c r="P114" s="7"/>
      <c r="Q114" s="7"/>
      <c r="R114" s="7"/>
      <c r="S114" s="7"/>
      <c r="T114" s="7"/>
    </row>
    <row r="115" spans="1:20" x14ac:dyDescent="0.3">
      <c r="A115" s="7"/>
      <c r="B115" s="7"/>
      <c r="C115" s="7"/>
      <c r="D115" s="7"/>
      <c r="E115" s="7"/>
      <c r="F115" s="7"/>
      <c r="G115" s="7"/>
      <c r="H115" s="7"/>
      <c r="I115" s="7"/>
      <c r="J115" s="7"/>
      <c r="K115" s="7"/>
      <c r="L115" s="7"/>
      <c r="M115" s="7"/>
      <c r="N115" s="7"/>
      <c r="O115" s="7"/>
      <c r="P115" s="7"/>
      <c r="Q115" s="7"/>
      <c r="R115" s="7"/>
      <c r="S115" s="7"/>
      <c r="T115" s="7"/>
    </row>
    <row r="116" spans="1:20" x14ac:dyDescent="0.3">
      <c r="A116" s="7"/>
      <c r="B116" s="7"/>
      <c r="C116" s="7"/>
      <c r="D116" s="7"/>
      <c r="E116" s="7"/>
      <c r="F116" s="7"/>
      <c r="G116" s="7"/>
      <c r="H116" s="7"/>
      <c r="I116" s="7"/>
      <c r="J116" s="7"/>
      <c r="K116" s="7"/>
      <c r="L116" s="7"/>
      <c r="M116" s="7"/>
      <c r="N116" s="7"/>
      <c r="O116" s="7"/>
      <c r="P116" s="7"/>
      <c r="Q116" s="7"/>
      <c r="R116" s="7"/>
      <c r="S116" s="7"/>
      <c r="T116" s="7"/>
    </row>
    <row r="117" spans="1:20" x14ac:dyDescent="0.3">
      <c r="A117" s="7"/>
      <c r="B117" s="7"/>
      <c r="C117" s="7"/>
      <c r="D117" s="7"/>
      <c r="E117" s="7"/>
      <c r="F117" s="7"/>
      <c r="G117" s="7"/>
      <c r="H117" s="7"/>
      <c r="I117" s="7"/>
      <c r="J117" s="7"/>
      <c r="K117" s="7"/>
      <c r="L117" s="7"/>
      <c r="M117" s="7"/>
      <c r="N117" s="7"/>
      <c r="O117" s="7"/>
      <c r="P117" s="7"/>
      <c r="Q117" s="7"/>
      <c r="R117" s="7"/>
      <c r="S117" s="7"/>
      <c r="T117" s="7"/>
    </row>
    <row r="118" spans="1:20" x14ac:dyDescent="0.3">
      <c r="A118" s="7"/>
      <c r="B118" s="7"/>
      <c r="C118" s="7"/>
      <c r="D118" s="7"/>
      <c r="E118" s="7"/>
      <c r="F118" s="7"/>
      <c r="G118" s="7"/>
      <c r="H118" s="7"/>
      <c r="I118" s="7"/>
      <c r="J118" s="7"/>
      <c r="K118" s="7"/>
      <c r="L118" s="7"/>
      <c r="M118" s="7"/>
      <c r="N118" s="7"/>
      <c r="O118" s="7"/>
      <c r="P118" s="7"/>
      <c r="Q118" s="7"/>
      <c r="R118" s="7"/>
      <c r="S118" s="7"/>
      <c r="T118" s="7"/>
    </row>
    <row r="119" spans="1:20" x14ac:dyDescent="0.3">
      <c r="A119" s="7"/>
      <c r="B119" s="7"/>
      <c r="C119" s="7"/>
      <c r="D119" s="7"/>
      <c r="E119" s="7"/>
      <c r="F119" s="7"/>
      <c r="G119" s="7"/>
      <c r="H119" s="7"/>
      <c r="I119" s="7"/>
      <c r="J119" s="7"/>
      <c r="K119" s="7"/>
      <c r="L119" s="7"/>
      <c r="M119" s="7"/>
      <c r="N119" s="7"/>
      <c r="O119" s="7"/>
      <c r="P119" s="7"/>
      <c r="Q119" s="7"/>
      <c r="R119" s="7"/>
      <c r="S119" s="7"/>
      <c r="T119" s="7"/>
    </row>
    <row r="120" spans="1:20" x14ac:dyDescent="0.3">
      <c r="A120" s="7"/>
      <c r="B120" s="7"/>
      <c r="C120" s="7"/>
      <c r="D120" s="7"/>
      <c r="E120" s="7"/>
      <c r="F120" s="7"/>
      <c r="G120" s="7"/>
      <c r="H120" s="7"/>
      <c r="I120" s="7"/>
      <c r="J120" s="7"/>
      <c r="K120" s="7"/>
      <c r="L120" s="7"/>
      <c r="M120" s="7"/>
      <c r="N120" s="7"/>
      <c r="O120" s="7"/>
      <c r="P120" s="7"/>
      <c r="Q120" s="7"/>
      <c r="R120" s="7"/>
      <c r="S120" s="7"/>
      <c r="T120" s="7"/>
    </row>
    <row r="121" spans="1:20" x14ac:dyDescent="0.3">
      <c r="A121" s="7"/>
      <c r="B121" s="7"/>
      <c r="C121" s="7"/>
      <c r="D121" s="7"/>
      <c r="E121" s="7"/>
      <c r="F121" s="7"/>
      <c r="G121" s="7"/>
      <c r="H121" s="7"/>
      <c r="I121" s="7"/>
      <c r="J121" s="7"/>
      <c r="K121" s="7"/>
      <c r="L121" s="7"/>
      <c r="M121" s="7"/>
      <c r="N121" s="7"/>
      <c r="O121" s="7"/>
      <c r="P121" s="7"/>
      <c r="Q121" s="7"/>
      <c r="R121" s="7"/>
      <c r="S121" s="7"/>
      <c r="T121" s="7"/>
    </row>
    <row r="122" spans="1:20" x14ac:dyDescent="0.3">
      <c r="A122" s="7"/>
      <c r="B122" s="7"/>
      <c r="C122" s="7"/>
      <c r="D122" s="7"/>
      <c r="E122" s="7"/>
      <c r="F122" s="7"/>
      <c r="G122" s="7"/>
      <c r="H122" s="7"/>
      <c r="I122" s="7"/>
      <c r="J122" s="7"/>
      <c r="K122" s="7"/>
      <c r="L122" s="7"/>
      <c r="M122" s="7"/>
      <c r="N122" s="7"/>
      <c r="O122" s="7"/>
      <c r="P122" s="7"/>
      <c r="Q122" s="7"/>
      <c r="R122" s="7"/>
      <c r="S122" s="7"/>
      <c r="T122" s="7"/>
    </row>
    <row r="123" spans="1:20" x14ac:dyDescent="0.3">
      <c r="A123" s="7"/>
      <c r="B123" s="7"/>
      <c r="C123" s="7"/>
      <c r="D123" s="7"/>
      <c r="E123" s="7"/>
      <c r="F123" s="7"/>
      <c r="G123" s="7"/>
      <c r="H123" s="7"/>
      <c r="I123" s="7"/>
      <c r="J123" s="7"/>
      <c r="K123" s="7"/>
      <c r="L123" s="7"/>
      <c r="M123" s="7"/>
      <c r="N123" s="7"/>
      <c r="O123" s="7"/>
      <c r="P123" s="7"/>
      <c r="Q123" s="7"/>
      <c r="R123" s="7"/>
      <c r="S123" s="7"/>
      <c r="T123" s="7"/>
    </row>
    <row r="124" spans="1:20" x14ac:dyDescent="0.3">
      <c r="A124" s="7"/>
      <c r="B124" s="7"/>
      <c r="C124" s="7"/>
      <c r="D124" s="7"/>
      <c r="E124" s="7"/>
      <c r="F124" s="7"/>
      <c r="G124" s="7"/>
      <c r="H124" s="7"/>
      <c r="I124" s="7"/>
      <c r="J124" s="7"/>
      <c r="K124" s="7"/>
      <c r="L124" s="7"/>
      <c r="M124" s="7"/>
      <c r="N124" s="7"/>
      <c r="O124" s="7"/>
      <c r="P124" s="7"/>
      <c r="Q124" s="7"/>
      <c r="R124" s="7"/>
      <c r="S124" s="7"/>
      <c r="T124" s="7"/>
    </row>
    <row r="125" spans="1:20" x14ac:dyDescent="0.3">
      <c r="A125" s="7"/>
      <c r="B125" s="7"/>
      <c r="C125" s="7"/>
      <c r="D125" s="7"/>
      <c r="E125" s="7"/>
      <c r="F125" s="7"/>
      <c r="G125" s="7"/>
      <c r="H125" s="7"/>
      <c r="I125" s="7"/>
      <c r="J125" s="7"/>
      <c r="K125" s="7"/>
      <c r="L125" s="7"/>
      <c r="M125" s="7"/>
      <c r="N125" s="7"/>
      <c r="O125" s="7"/>
      <c r="P125" s="7"/>
      <c r="Q125" s="7"/>
      <c r="R125" s="7"/>
      <c r="S125" s="7"/>
      <c r="T125" s="7"/>
    </row>
    <row r="126" spans="1:20" x14ac:dyDescent="0.3">
      <c r="A126" s="7"/>
      <c r="B126" s="7"/>
      <c r="C126" s="7"/>
      <c r="D126" s="7"/>
      <c r="E126" s="7"/>
      <c r="F126" s="7"/>
      <c r="G126" s="7"/>
      <c r="H126" s="7"/>
      <c r="I126" s="7"/>
      <c r="J126" s="7"/>
      <c r="K126" s="7"/>
      <c r="L126" s="7"/>
      <c r="M126" s="7"/>
      <c r="N126" s="7"/>
      <c r="O126" s="7"/>
      <c r="P126" s="7"/>
      <c r="Q126" s="7"/>
      <c r="R126" s="7"/>
      <c r="S126" s="7"/>
      <c r="T126" s="7"/>
    </row>
    <row r="127" spans="1:20" x14ac:dyDescent="0.3">
      <c r="A127" s="7"/>
      <c r="B127" s="7"/>
      <c r="C127" s="7"/>
      <c r="D127" s="7"/>
      <c r="E127" s="7"/>
      <c r="F127" s="7"/>
      <c r="G127" s="7"/>
      <c r="H127" s="7"/>
      <c r="I127" s="7"/>
      <c r="J127" s="7"/>
      <c r="K127" s="7"/>
      <c r="L127" s="7"/>
      <c r="M127" s="7"/>
      <c r="N127" s="7"/>
      <c r="O127" s="7"/>
      <c r="P127" s="7"/>
      <c r="Q127" s="7"/>
      <c r="R127" s="7"/>
      <c r="S127" s="7"/>
      <c r="T127" s="7"/>
    </row>
    <row r="128" spans="1:20" x14ac:dyDescent="0.3">
      <c r="A128" s="7"/>
      <c r="B128" s="7"/>
      <c r="C128" s="7"/>
      <c r="D128" s="7"/>
      <c r="E128" s="7"/>
      <c r="F128" s="7"/>
      <c r="G128" s="7"/>
      <c r="H128" s="7"/>
      <c r="I128" s="7"/>
      <c r="J128" s="7"/>
      <c r="K128" s="7"/>
      <c r="L128" s="7"/>
      <c r="M128" s="7"/>
      <c r="N128" s="7"/>
      <c r="O128" s="7"/>
      <c r="P128" s="7"/>
      <c r="Q128" s="7"/>
      <c r="R128" s="7"/>
      <c r="S128" s="7"/>
      <c r="T128" s="7"/>
    </row>
    <row r="129" spans="1:20" x14ac:dyDescent="0.3">
      <c r="A129" s="7"/>
      <c r="B129" s="7"/>
      <c r="C129" s="7"/>
      <c r="D129" s="7"/>
      <c r="E129" s="7"/>
      <c r="F129" s="7"/>
      <c r="G129" s="7"/>
      <c r="H129" s="7"/>
      <c r="I129" s="7"/>
      <c r="J129" s="7"/>
      <c r="K129" s="7"/>
      <c r="L129" s="7"/>
      <c r="M129" s="7"/>
      <c r="N129" s="7"/>
      <c r="O129" s="7"/>
      <c r="P129" s="7"/>
      <c r="Q129" s="7"/>
      <c r="R129" s="7"/>
      <c r="S129" s="7"/>
      <c r="T129" s="7"/>
    </row>
    <row r="130" spans="1:20" x14ac:dyDescent="0.3">
      <c r="A130" s="7"/>
      <c r="B130" s="7"/>
      <c r="C130" s="7"/>
      <c r="D130" s="7"/>
      <c r="E130" s="7"/>
      <c r="F130" s="7"/>
      <c r="G130" s="7"/>
      <c r="H130" s="7"/>
      <c r="I130" s="7"/>
      <c r="J130" s="7"/>
      <c r="K130" s="7"/>
      <c r="L130" s="7"/>
      <c r="M130" s="7"/>
      <c r="N130" s="7"/>
      <c r="O130" s="7"/>
      <c r="P130" s="7"/>
      <c r="Q130" s="7"/>
      <c r="R130" s="7"/>
      <c r="S130" s="7"/>
      <c r="T130" s="7"/>
    </row>
    <row r="131" spans="1:20" x14ac:dyDescent="0.3">
      <c r="A131" s="7"/>
      <c r="B131" s="7"/>
      <c r="C131" s="7"/>
      <c r="D131" s="7"/>
      <c r="E131" s="7"/>
      <c r="F131" s="7"/>
      <c r="G131" s="7"/>
      <c r="H131" s="7"/>
      <c r="I131" s="7"/>
      <c r="J131" s="7"/>
      <c r="K131" s="7"/>
      <c r="L131" s="7"/>
      <c r="M131" s="7"/>
      <c r="N131" s="7"/>
      <c r="O131" s="7"/>
      <c r="P131" s="7"/>
      <c r="Q131" s="7"/>
      <c r="R131" s="7"/>
      <c r="S131" s="7"/>
      <c r="T131" s="7"/>
    </row>
    <row r="132" spans="1:20" x14ac:dyDescent="0.3">
      <c r="A132" s="7"/>
      <c r="B132" s="7"/>
      <c r="C132" s="7"/>
      <c r="D132" s="7"/>
      <c r="E132" s="7"/>
      <c r="F132" s="7"/>
      <c r="G132" s="7"/>
      <c r="H132" s="7"/>
      <c r="I132" s="7"/>
      <c r="J132" s="7"/>
      <c r="K132" s="7"/>
      <c r="L132" s="7"/>
      <c r="M132" s="7"/>
      <c r="N132" s="7"/>
      <c r="O132" s="7"/>
      <c r="P132" s="7"/>
      <c r="Q132" s="7"/>
      <c r="R132" s="7"/>
      <c r="S132" s="7"/>
      <c r="T132" s="7"/>
    </row>
    <row r="133" spans="1:20" x14ac:dyDescent="0.3">
      <c r="A133" s="7"/>
      <c r="B133" s="7"/>
      <c r="C133" s="7"/>
      <c r="D133" s="7"/>
      <c r="E133" s="7"/>
      <c r="F133" s="7"/>
      <c r="G133" s="7"/>
      <c r="H133" s="7"/>
      <c r="I133" s="7"/>
      <c r="J133" s="7"/>
      <c r="K133" s="7"/>
      <c r="L133" s="7"/>
      <c r="M133" s="7"/>
      <c r="N133" s="7"/>
      <c r="O133" s="7"/>
      <c r="P133" s="7"/>
      <c r="Q133" s="7"/>
      <c r="R133" s="7"/>
      <c r="S133" s="7"/>
      <c r="T133" s="7"/>
    </row>
    <row r="134" spans="1:20" x14ac:dyDescent="0.3">
      <c r="A134" s="7"/>
      <c r="B134" s="7"/>
      <c r="C134" s="7"/>
      <c r="D134" s="7"/>
      <c r="E134" s="7"/>
      <c r="F134" s="7"/>
      <c r="G134" s="7"/>
      <c r="H134" s="7"/>
      <c r="I134" s="7"/>
      <c r="J134" s="7"/>
      <c r="K134" s="7"/>
      <c r="L134" s="7"/>
      <c r="M134" s="7"/>
      <c r="N134" s="7"/>
      <c r="O134" s="7"/>
      <c r="P134" s="7"/>
      <c r="Q134" s="7"/>
      <c r="R134" s="7"/>
      <c r="S134" s="7"/>
      <c r="T134" s="7"/>
    </row>
    <row r="135" spans="1:20" x14ac:dyDescent="0.3">
      <c r="A135" s="7"/>
      <c r="B135" s="7"/>
      <c r="C135" s="7"/>
      <c r="D135" s="7"/>
      <c r="E135" s="7"/>
      <c r="F135" s="7"/>
      <c r="G135" s="7"/>
      <c r="H135" s="7"/>
      <c r="I135" s="7"/>
      <c r="J135" s="7"/>
      <c r="K135" s="7"/>
      <c r="L135" s="7"/>
      <c r="M135" s="7"/>
      <c r="N135" s="7"/>
      <c r="O135" s="7"/>
      <c r="P135" s="7"/>
      <c r="Q135" s="7"/>
      <c r="R135" s="7"/>
      <c r="S135" s="7"/>
      <c r="T135" s="7"/>
    </row>
    <row r="136" spans="1:20" x14ac:dyDescent="0.3">
      <c r="A136" s="7"/>
      <c r="B136" s="7"/>
      <c r="C136" s="7"/>
      <c r="D136" s="7"/>
      <c r="E136" s="7"/>
      <c r="F136" s="7"/>
      <c r="G136" s="7"/>
      <c r="H136" s="7"/>
      <c r="I136" s="7"/>
      <c r="J136" s="7"/>
      <c r="K136" s="7"/>
      <c r="L136" s="7"/>
      <c r="M136" s="7"/>
      <c r="N136" s="7"/>
      <c r="O136" s="7"/>
      <c r="P136" s="7"/>
      <c r="Q136" s="7"/>
      <c r="R136" s="7"/>
      <c r="S136" s="7"/>
      <c r="T136" s="7"/>
    </row>
    <row r="137" spans="1:20" x14ac:dyDescent="0.3">
      <c r="A137" s="7"/>
      <c r="B137" s="7"/>
      <c r="C137" s="7"/>
      <c r="D137" s="7"/>
      <c r="E137" s="7"/>
      <c r="F137" s="7"/>
      <c r="G137" s="7"/>
      <c r="H137" s="7"/>
      <c r="I137" s="7"/>
      <c r="J137" s="7"/>
      <c r="K137" s="7"/>
      <c r="L137" s="7"/>
      <c r="M137" s="7"/>
      <c r="N137" s="7"/>
      <c r="O137" s="7"/>
      <c r="P137" s="7"/>
      <c r="Q137" s="7"/>
      <c r="R137" s="7"/>
      <c r="S137" s="7"/>
      <c r="T137" s="7"/>
    </row>
    <row r="138" spans="1:20" x14ac:dyDescent="0.3">
      <c r="A138" s="7"/>
      <c r="B138" s="7"/>
      <c r="C138" s="7"/>
      <c r="D138" s="7"/>
      <c r="E138" s="7"/>
      <c r="F138" s="7"/>
      <c r="G138" s="7"/>
      <c r="H138" s="7"/>
      <c r="I138" s="7"/>
      <c r="J138" s="7"/>
      <c r="K138" s="7"/>
      <c r="L138" s="7"/>
      <c r="M138" s="7"/>
      <c r="N138" s="7"/>
      <c r="O138" s="7"/>
      <c r="P138" s="7"/>
      <c r="Q138" s="7"/>
      <c r="R138" s="7"/>
      <c r="S138" s="7"/>
      <c r="T138" s="7"/>
    </row>
    <row r="139" spans="1:20" x14ac:dyDescent="0.3">
      <c r="A139" s="7"/>
      <c r="B139" s="7"/>
      <c r="C139" s="7"/>
      <c r="D139" s="7"/>
      <c r="E139" s="7"/>
      <c r="F139" s="7"/>
      <c r="G139" s="7"/>
      <c r="H139" s="7"/>
      <c r="I139" s="7"/>
      <c r="J139" s="7"/>
      <c r="K139" s="7"/>
      <c r="L139" s="7"/>
      <c r="M139" s="7"/>
      <c r="N139" s="7"/>
      <c r="O139" s="7"/>
      <c r="P139" s="7"/>
      <c r="Q139" s="7"/>
      <c r="R139" s="7"/>
      <c r="S139" s="7"/>
      <c r="T139" s="7"/>
    </row>
    <row r="140" spans="1:20" x14ac:dyDescent="0.3">
      <c r="A140" s="7"/>
      <c r="B140" s="7"/>
      <c r="C140" s="7"/>
      <c r="D140" s="7"/>
      <c r="E140" s="7"/>
      <c r="F140" s="7"/>
      <c r="G140" s="7"/>
      <c r="H140" s="7"/>
      <c r="I140" s="7"/>
      <c r="J140" s="7"/>
      <c r="K140" s="7"/>
      <c r="L140" s="7"/>
      <c r="M140" s="7"/>
      <c r="N140" s="7"/>
      <c r="O140" s="7"/>
      <c r="P140" s="7"/>
      <c r="Q140" s="7"/>
      <c r="R140" s="7"/>
      <c r="S140" s="7"/>
      <c r="T140" s="7"/>
    </row>
    <row r="141" spans="1:20" x14ac:dyDescent="0.3">
      <c r="A141" s="7"/>
      <c r="B141" s="7"/>
      <c r="C141" s="7"/>
      <c r="D141" s="7"/>
      <c r="E141" s="7"/>
      <c r="F141" s="7"/>
      <c r="G141" s="7"/>
      <c r="H141" s="7"/>
      <c r="I141" s="7"/>
      <c r="J141" s="7"/>
      <c r="K141" s="7"/>
      <c r="L141" s="7"/>
      <c r="M141" s="7"/>
      <c r="N141" s="7"/>
      <c r="O141" s="7"/>
      <c r="P141" s="7"/>
      <c r="Q141" s="7"/>
      <c r="R141" s="7"/>
      <c r="S141" s="7"/>
      <c r="T141" s="7"/>
    </row>
    <row r="142" spans="1:20" x14ac:dyDescent="0.3">
      <c r="A142" s="7"/>
      <c r="B142" s="7"/>
      <c r="C142" s="7"/>
      <c r="D142" s="7"/>
      <c r="E142" s="7"/>
      <c r="F142" s="7"/>
      <c r="G142" s="7"/>
      <c r="H142" s="7"/>
      <c r="I142" s="7"/>
      <c r="J142" s="7"/>
      <c r="K142" s="7"/>
      <c r="L142" s="7"/>
      <c r="M142" s="7"/>
      <c r="N142" s="7"/>
      <c r="O142" s="7"/>
      <c r="P142" s="7"/>
      <c r="Q142" s="7"/>
      <c r="R142" s="7"/>
      <c r="S142" s="7"/>
      <c r="T142" s="7"/>
    </row>
    <row r="143" spans="1:20" x14ac:dyDescent="0.3">
      <c r="A143" s="7"/>
      <c r="B143" s="7"/>
      <c r="C143" s="7"/>
      <c r="D143" s="7"/>
      <c r="E143" s="7"/>
      <c r="F143" s="7"/>
      <c r="G143" s="7"/>
      <c r="H143" s="7"/>
      <c r="I143" s="7"/>
      <c r="J143" s="7"/>
      <c r="K143" s="7"/>
      <c r="L143" s="7"/>
      <c r="M143" s="7"/>
      <c r="N143" s="7"/>
      <c r="O143" s="7"/>
      <c r="P143" s="7"/>
      <c r="Q143" s="7"/>
      <c r="R143" s="7"/>
      <c r="S143" s="7"/>
      <c r="T143" s="7"/>
    </row>
    <row r="144" spans="1:20" x14ac:dyDescent="0.3">
      <c r="A144" s="7"/>
      <c r="B144" s="7"/>
      <c r="C144" s="7"/>
      <c r="D144" s="7"/>
      <c r="E144" s="7"/>
      <c r="F144" s="7"/>
      <c r="G144" s="7"/>
      <c r="H144" s="7"/>
      <c r="I144" s="7"/>
      <c r="J144" s="7"/>
      <c r="K144" s="7"/>
      <c r="L144" s="7"/>
      <c r="M144" s="7"/>
      <c r="N144" s="7"/>
      <c r="O144" s="7"/>
      <c r="P144" s="7"/>
      <c r="Q144" s="7"/>
      <c r="R144" s="7"/>
      <c r="S144" s="7"/>
      <c r="T144" s="7"/>
    </row>
    <row r="145" spans="1:20" x14ac:dyDescent="0.3">
      <c r="A145" s="7"/>
      <c r="B145" s="7"/>
      <c r="C145" s="7"/>
      <c r="D145" s="7"/>
      <c r="E145" s="7"/>
      <c r="F145" s="7"/>
      <c r="G145" s="7"/>
      <c r="H145" s="7"/>
      <c r="I145" s="7"/>
      <c r="J145" s="7"/>
      <c r="K145" s="7"/>
      <c r="L145" s="7"/>
      <c r="M145" s="7"/>
      <c r="N145" s="7"/>
      <c r="O145" s="7"/>
      <c r="P145" s="7"/>
      <c r="Q145" s="7"/>
      <c r="R145" s="7"/>
      <c r="S145" s="7"/>
      <c r="T145" s="7"/>
    </row>
    <row r="146" spans="1:20" x14ac:dyDescent="0.3">
      <c r="A146" s="7"/>
      <c r="B146" s="7"/>
      <c r="C146" s="7"/>
      <c r="D146" s="7"/>
      <c r="E146" s="7"/>
      <c r="F146" s="7"/>
      <c r="G146" s="7"/>
      <c r="H146" s="7"/>
      <c r="I146" s="7"/>
      <c r="J146" s="7"/>
      <c r="K146" s="7"/>
      <c r="L146" s="7"/>
      <c r="M146" s="7"/>
      <c r="N146" s="7"/>
      <c r="O146" s="7"/>
      <c r="P146" s="7"/>
      <c r="Q146" s="7"/>
      <c r="R146" s="7"/>
      <c r="S146" s="7"/>
      <c r="T146" s="7"/>
    </row>
    <row r="147" spans="1:20" x14ac:dyDescent="0.3">
      <c r="A147" s="7"/>
      <c r="B147" s="7"/>
      <c r="C147" s="7"/>
      <c r="D147" s="7"/>
      <c r="E147" s="7"/>
      <c r="F147" s="7"/>
      <c r="G147" s="7"/>
      <c r="H147" s="7"/>
      <c r="I147" s="7"/>
      <c r="J147" s="7"/>
      <c r="K147" s="7"/>
      <c r="L147" s="7"/>
      <c r="M147" s="7"/>
      <c r="N147" s="7"/>
      <c r="O147" s="7"/>
      <c r="P147" s="7"/>
      <c r="Q147" s="7"/>
      <c r="R147" s="7"/>
      <c r="S147" s="7"/>
      <c r="T147" s="7"/>
    </row>
    <row r="148" spans="1:20" x14ac:dyDescent="0.3">
      <c r="A148" s="7"/>
      <c r="B148" s="7"/>
      <c r="C148" s="7"/>
      <c r="D148" s="7"/>
      <c r="E148" s="7"/>
      <c r="F148" s="7"/>
      <c r="G148" s="7"/>
      <c r="H148" s="7"/>
      <c r="I148" s="7"/>
      <c r="J148" s="7"/>
      <c r="K148" s="7"/>
      <c r="L148" s="7"/>
      <c r="M148" s="7"/>
      <c r="N148" s="7"/>
      <c r="O148" s="7"/>
      <c r="P148" s="7"/>
      <c r="Q148" s="7"/>
      <c r="R148" s="7"/>
      <c r="S148" s="7"/>
      <c r="T148" s="7"/>
    </row>
    <row r="149" spans="1:20" x14ac:dyDescent="0.3">
      <c r="A149" s="7"/>
      <c r="B149" s="7"/>
      <c r="C149" s="7"/>
      <c r="D149" s="7"/>
      <c r="E149" s="7"/>
      <c r="F149" s="7"/>
      <c r="G149" s="7"/>
      <c r="H149" s="7"/>
      <c r="I149" s="7"/>
      <c r="J149" s="7"/>
      <c r="K149" s="7"/>
      <c r="L149" s="7"/>
      <c r="M149" s="7"/>
      <c r="N149" s="7"/>
      <c r="O149" s="7"/>
      <c r="P149" s="7"/>
      <c r="Q149" s="7"/>
      <c r="R149" s="7"/>
      <c r="S149" s="7"/>
      <c r="T149" s="7"/>
    </row>
    <row r="150" spans="1:20" x14ac:dyDescent="0.3">
      <c r="A150" s="7"/>
      <c r="B150" s="7"/>
      <c r="C150" s="7"/>
      <c r="D150" s="7"/>
      <c r="E150" s="7"/>
      <c r="F150" s="7"/>
      <c r="G150" s="7"/>
      <c r="H150" s="7"/>
      <c r="I150" s="7"/>
      <c r="J150" s="7"/>
      <c r="K150" s="7"/>
      <c r="L150" s="7"/>
      <c r="M150" s="7"/>
      <c r="N150" s="7"/>
      <c r="O150" s="7"/>
      <c r="P150" s="7"/>
      <c r="Q150" s="7"/>
      <c r="R150" s="7"/>
      <c r="S150" s="7"/>
      <c r="T150" s="7"/>
    </row>
    <row r="151" spans="1:20" x14ac:dyDescent="0.3">
      <c r="A151" s="7"/>
      <c r="B151" s="7"/>
      <c r="C151" s="7"/>
      <c r="D151" s="7"/>
      <c r="E151" s="7"/>
      <c r="F151" s="7"/>
      <c r="G151" s="7"/>
      <c r="H151" s="7"/>
      <c r="I151" s="7"/>
      <c r="J151" s="7"/>
      <c r="K151" s="7"/>
      <c r="L151" s="7"/>
      <c r="M151" s="7"/>
      <c r="N151" s="7"/>
      <c r="O151" s="7"/>
      <c r="P151" s="7"/>
      <c r="Q151" s="7"/>
      <c r="R151" s="7"/>
      <c r="S151" s="7"/>
      <c r="T151" s="7"/>
    </row>
    <row r="152" spans="1:20" x14ac:dyDescent="0.3">
      <c r="A152" s="7"/>
      <c r="B152" s="7"/>
      <c r="C152" s="7"/>
      <c r="D152" s="7"/>
      <c r="E152" s="7"/>
      <c r="F152" s="7"/>
      <c r="G152" s="7"/>
      <c r="H152" s="7"/>
      <c r="I152" s="7"/>
      <c r="J152" s="7"/>
      <c r="K152" s="7"/>
      <c r="L152" s="7"/>
      <c r="M152" s="7"/>
      <c r="N152" s="7"/>
      <c r="O152" s="7"/>
      <c r="P152" s="7"/>
      <c r="Q152" s="7"/>
      <c r="R152" s="7"/>
      <c r="S152" s="7"/>
      <c r="T152" s="7"/>
    </row>
    <row r="153" spans="1:20" x14ac:dyDescent="0.3">
      <c r="A153" s="7"/>
      <c r="B153" s="7"/>
      <c r="C153" s="7"/>
      <c r="D153" s="7"/>
      <c r="E153" s="7"/>
      <c r="F153" s="7"/>
      <c r="G153" s="7"/>
      <c r="H153" s="7"/>
      <c r="I153" s="7"/>
      <c r="J153" s="7"/>
      <c r="K153" s="7"/>
      <c r="L153" s="7"/>
      <c r="M153" s="7"/>
      <c r="N153" s="7"/>
      <c r="O153" s="7"/>
      <c r="P153" s="7"/>
      <c r="Q153" s="7"/>
      <c r="R153" s="7"/>
      <c r="S153" s="7"/>
      <c r="T153" s="7"/>
    </row>
    <row r="154" spans="1:20" x14ac:dyDescent="0.3">
      <c r="A154" s="7"/>
      <c r="B154" s="7"/>
      <c r="C154" s="7"/>
      <c r="D154" s="7"/>
      <c r="E154" s="7"/>
      <c r="F154" s="7"/>
      <c r="G154" s="7"/>
      <c r="H154" s="7"/>
      <c r="I154" s="7"/>
      <c r="J154" s="7"/>
      <c r="K154" s="7"/>
      <c r="L154" s="7"/>
      <c r="M154" s="7"/>
      <c r="N154" s="7"/>
      <c r="O154" s="7"/>
      <c r="P154" s="7"/>
      <c r="Q154" s="7"/>
      <c r="R154" s="7"/>
      <c r="S154" s="7"/>
      <c r="T154" s="7"/>
    </row>
    <row r="155" spans="1:20" x14ac:dyDescent="0.3">
      <c r="A155" s="7"/>
      <c r="B155" s="7"/>
      <c r="C155" s="7"/>
      <c r="D155" s="7"/>
      <c r="E155" s="7"/>
      <c r="F155" s="7"/>
      <c r="G155" s="7"/>
      <c r="H155" s="7"/>
      <c r="I155" s="7"/>
      <c r="J155" s="7"/>
      <c r="K155" s="7"/>
      <c r="L155" s="7"/>
      <c r="M155" s="7"/>
      <c r="N155" s="7"/>
      <c r="O155" s="7"/>
      <c r="P155" s="7"/>
      <c r="Q155" s="7"/>
      <c r="R155" s="7"/>
      <c r="S155" s="7"/>
      <c r="T155" s="7"/>
    </row>
    <row r="156" spans="1:20" x14ac:dyDescent="0.3">
      <c r="A156" s="7"/>
      <c r="B156" s="7"/>
      <c r="C156" s="7"/>
      <c r="D156" s="7"/>
      <c r="E156" s="7"/>
      <c r="F156" s="7"/>
      <c r="G156" s="7"/>
      <c r="H156" s="7"/>
      <c r="I156" s="7"/>
      <c r="J156" s="7"/>
      <c r="K156" s="7"/>
      <c r="L156" s="7"/>
      <c r="M156" s="7"/>
      <c r="N156" s="7"/>
      <c r="O156" s="7"/>
      <c r="P156" s="7"/>
      <c r="Q156" s="7"/>
      <c r="R156" s="7"/>
      <c r="S156" s="7"/>
      <c r="T156" s="7"/>
    </row>
    <row r="157" spans="1:20" x14ac:dyDescent="0.3">
      <c r="A157" s="7"/>
      <c r="B157" s="7"/>
      <c r="C157" s="7"/>
      <c r="D157" s="7"/>
      <c r="E157" s="7"/>
      <c r="F157" s="7"/>
      <c r="G157" s="7"/>
      <c r="H157" s="7"/>
      <c r="I157" s="7"/>
      <c r="J157" s="7"/>
      <c r="K157" s="7"/>
      <c r="L157" s="7"/>
      <c r="M157" s="7"/>
      <c r="N157" s="7"/>
      <c r="O157" s="7"/>
      <c r="P157" s="7"/>
      <c r="Q157" s="7"/>
      <c r="R157" s="7"/>
      <c r="S157" s="7"/>
      <c r="T157" s="7"/>
    </row>
    <row r="158" spans="1:20" x14ac:dyDescent="0.3">
      <c r="A158" s="7"/>
      <c r="B158" s="7"/>
      <c r="C158" s="7"/>
      <c r="D158" s="7"/>
      <c r="E158" s="7"/>
      <c r="F158" s="7"/>
      <c r="G158" s="7"/>
      <c r="H158" s="7"/>
      <c r="I158" s="7"/>
      <c r="J158" s="7"/>
      <c r="K158" s="7"/>
      <c r="L158" s="7"/>
      <c r="M158" s="7"/>
      <c r="N158" s="7"/>
      <c r="O158" s="7"/>
      <c r="P158" s="7"/>
      <c r="Q158" s="7"/>
      <c r="R158" s="7"/>
      <c r="S158" s="7"/>
      <c r="T158" s="7"/>
    </row>
    <row r="159" spans="1:20" x14ac:dyDescent="0.3">
      <c r="A159" s="7"/>
      <c r="B159" s="7"/>
      <c r="C159" s="7"/>
      <c r="D159" s="7"/>
      <c r="E159" s="7"/>
      <c r="F159" s="7"/>
      <c r="G159" s="7"/>
      <c r="H159" s="7"/>
      <c r="I159" s="7"/>
      <c r="J159" s="7"/>
      <c r="K159" s="7"/>
      <c r="L159" s="7"/>
      <c r="M159" s="7"/>
      <c r="N159" s="7"/>
      <c r="O159" s="7"/>
      <c r="P159" s="7"/>
      <c r="Q159" s="7"/>
      <c r="R159" s="7"/>
      <c r="S159" s="7"/>
      <c r="T159" s="7"/>
    </row>
    <row r="160" spans="1:20" x14ac:dyDescent="0.3">
      <c r="A160" s="7"/>
      <c r="B160" s="7"/>
      <c r="C160" s="7"/>
      <c r="D160" s="7"/>
      <c r="E160" s="7"/>
      <c r="F160" s="7"/>
      <c r="G160" s="7"/>
      <c r="H160" s="7"/>
      <c r="I160" s="7"/>
      <c r="J160" s="7"/>
      <c r="K160" s="7"/>
      <c r="L160" s="7"/>
      <c r="M160" s="7"/>
      <c r="N160" s="7"/>
      <c r="O160" s="7"/>
      <c r="P160" s="7"/>
      <c r="Q160" s="7"/>
      <c r="R160" s="7"/>
      <c r="S160" s="7"/>
      <c r="T160" s="7"/>
    </row>
    <row r="161" spans="1:20" x14ac:dyDescent="0.3">
      <c r="A161" s="7"/>
      <c r="B161" s="7"/>
      <c r="C161" s="7"/>
      <c r="D161" s="7"/>
      <c r="E161" s="7"/>
      <c r="F161" s="7"/>
      <c r="G161" s="7"/>
      <c r="H161" s="7"/>
      <c r="I161" s="7"/>
      <c r="J161" s="7"/>
      <c r="K161" s="7"/>
      <c r="L161" s="7"/>
      <c r="M161" s="7"/>
      <c r="N161" s="7"/>
      <c r="O161" s="7"/>
      <c r="P161" s="7"/>
      <c r="Q161" s="7"/>
      <c r="R161" s="7"/>
      <c r="S161" s="7"/>
      <c r="T161" s="7"/>
    </row>
  </sheetData>
  <mergeCells count="5">
    <mergeCell ref="A1:T3"/>
    <mergeCell ref="A8:F9"/>
    <mergeCell ref="A4:F7"/>
    <mergeCell ref="O4:T7"/>
    <mergeCell ref="O8:T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titanic</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dc:creator>
  <cp:lastModifiedBy>Sagar Shende</cp:lastModifiedBy>
  <dcterms:created xsi:type="dcterms:W3CDTF">2026-01-07T14:38:47Z</dcterms:created>
  <dcterms:modified xsi:type="dcterms:W3CDTF">2026-06-05T02:40:37Z</dcterms:modified>
</cp:coreProperties>
</file>